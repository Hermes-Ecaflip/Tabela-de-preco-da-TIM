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10-2026\"/>
    </mc:Choice>
  </mc:AlternateContent>
  <xr:revisionPtr revIDLastSave="0" documentId="13_ncr:1_{2BEB1DB8-82A7-4CF3-9D79-9E346CA4B60D}" xr6:coauthVersionLast="47" xr6:coauthVersionMax="47" xr10:uidLastSave="{00000000-0000-0000-0000-000000000000}"/>
  <bookViews>
    <workbookView xWindow="-110" yWindow="-110" windowWidth="19420" windowHeight="11500" xr2:uid="{5DE78749-F5E7-4B00-AF80-28BF3B233763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REV'!$B$7:$AN$123</definedName>
    <definedName name="_xlnm._FilterDatabase" localSheetId="3" hidden="1">'COMPRE E LEVE'!$A$2:$AA$180</definedName>
    <definedName name="_xlnm._FilterDatabase" localSheetId="0" hidden="1">REV!$A$12:$BA$512</definedName>
    <definedName name="_xlnm._FilterDatabase" localSheetId="2" hidden="1">'TRADE IN'!$A$12:$BJ$522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522" i="3" l="1"/>
  <c r="AK522" i="3"/>
  <c r="AJ522" i="3"/>
  <c r="AI522" i="3"/>
  <c r="AH522" i="3"/>
  <c r="AG522" i="3"/>
  <c r="AF522" i="3"/>
  <c r="AE522" i="3"/>
  <c r="AD522" i="3"/>
  <c r="AC522" i="3"/>
  <c r="AB522" i="3"/>
  <c r="AA522" i="3"/>
  <c r="Z522" i="3"/>
  <c r="Y522" i="3"/>
  <c r="X522" i="3"/>
  <c r="W522" i="3"/>
  <c r="V522" i="3"/>
  <c r="U522" i="3"/>
  <c r="T522" i="3"/>
  <c r="S522" i="3"/>
  <c r="R522" i="3"/>
  <c r="Q522" i="3"/>
  <c r="P522" i="3"/>
  <c r="O522" i="3"/>
  <c r="N522" i="3"/>
  <c r="M522" i="3"/>
  <c r="L522" i="3"/>
  <c r="K522" i="3"/>
  <c r="J522" i="3"/>
  <c r="AL521" i="3"/>
  <c r="AK521" i="3"/>
  <c r="AJ521" i="3"/>
  <c r="AI521" i="3"/>
  <c r="AH521" i="3"/>
  <c r="AG521" i="3"/>
  <c r="AF521" i="3"/>
  <c r="AE521" i="3"/>
  <c r="AD521" i="3"/>
  <c r="AC521" i="3"/>
  <c r="AB521" i="3"/>
  <c r="AA521" i="3"/>
  <c r="Z521" i="3"/>
  <c r="Y521" i="3"/>
  <c r="X521" i="3"/>
  <c r="W521" i="3"/>
  <c r="V521" i="3"/>
  <c r="U521" i="3"/>
  <c r="T521" i="3"/>
  <c r="S521" i="3"/>
  <c r="R521" i="3"/>
  <c r="Q521" i="3"/>
  <c r="P521" i="3"/>
  <c r="O521" i="3"/>
  <c r="N521" i="3"/>
  <c r="M521" i="3"/>
  <c r="L521" i="3"/>
  <c r="K521" i="3"/>
  <c r="J521" i="3"/>
  <c r="AL520" i="3"/>
  <c r="AK520" i="3"/>
  <c r="AJ520" i="3"/>
  <c r="AI520" i="3"/>
  <c r="AH520" i="3"/>
  <c r="AG520" i="3"/>
  <c r="AF520" i="3"/>
  <c r="AE520" i="3"/>
  <c r="AD520" i="3"/>
  <c r="AC520" i="3"/>
  <c r="AB520" i="3"/>
  <c r="AA520" i="3"/>
  <c r="Z520" i="3"/>
  <c r="Y520" i="3"/>
  <c r="X520" i="3"/>
  <c r="W520" i="3"/>
  <c r="V520" i="3"/>
  <c r="U520" i="3"/>
  <c r="T520" i="3"/>
  <c r="S520" i="3"/>
  <c r="R520" i="3"/>
  <c r="Q520" i="3"/>
  <c r="P520" i="3"/>
  <c r="O520" i="3"/>
  <c r="N520" i="3"/>
  <c r="M520" i="3"/>
  <c r="L520" i="3"/>
  <c r="K520" i="3"/>
  <c r="J520" i="3"/>
  <c r="AL519" i="3"/>
  <c r="AK519" i="3"/>
  <c r="AJ519" i="3"/>
  <c r="AI519" i="3"/>
  <c r="AH519" i="3"/>
  <c r="AG519" i="3"/>
  <c r="AF519" i="3"/>
  <c r="AE519" i="3"/>
  <c r="AD519" i="3"/>
  <c r="AC519" i="3"/>
  <c r="AB519" i="3"/>
  <c r="AA519" i="3"/>
  <c r="Z519" i="3"/>
  <c r="Y519" i="3"/>
  <c r="X519" i="3"/>
  <c r="W519" i="3"/>
  <c r="V519" i="3"/>
  <c r="U519" i="3"/>
  <c r="T519" i="3"/>
  <c r="S519" i="3"/>
  <c r="R519" i="3"/>
  <c r="Q519" i="3"/>
  <c r="P519" i="3"/>
  <c r="O519" i="3"/>
  <c r="N519" i="3"/>
  <c r="M519" i="3"/>
  <c r="L519" i="3"/>
  <c r="K519" i="3"/>
  <c r="J519" i="3"/>
  <c r="AL518" i="3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AX512" i="3"/>
  <c r="AW512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AX511" i="3"/>
  <c r="AW511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AX510" i="3"/>
  <c r="AW510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AX509" i="3"/>
  <c r="AW509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AX508" i="3"/>
  <c r="AW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AX507" i="3"/>
  <c r="AW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AX506" i="3"/>
  <c r="AW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AX505" i="3"/>
  <c r="AW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AX504" i="3"/>
  <c r="AW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AX503" i="3"/>
  <c r="AW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AX502" i="3"/>
  <c r="AW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AX501" i="3"/>
  <c r="AW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AX500" i="3"/>
  <c r="AW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AX499" i="3"/>
  <c r="AW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AX498" i="3"/>
  <c r="AW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AX497" i="3"/>
  <c r="AW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AX496" i="3"/>
  <c r="AW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AX495" i="3"/>
  <c r="AW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AX494" i="3"/>
  <c r="AW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AX493" i="3"/>
  <c r="AW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AX492" i="3"/>
  <c r="AW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AX491" i="3"/>
  <c r="AW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AX490" i="3"/>
  <c r="AW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AX489" i="3"/>
  <c r="AW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AX488" i="3"/>
  <c r="AW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AX487" i="3"/>
  <c r="AW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AX486" i="3"/>
  <c r="AW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AX485" i="3"/>
  <c r="AW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AX484" i="3"/>
  <c r="AW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AX483" i="3"/>
  <c r="AW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X482" i="3"/>
  <c r="AW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X481" i="3"/>
  <c r="AW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X480" i="3"/>
  <c r="AW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X479" i="3"/>
  <c r="AW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X478" i="3"/>
  <c r="AW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X477" i="3"/>
  <c r="AW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X476" i="3"/>
  <c r="AW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X475" i="3"/>
  <c r="AW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X474" i="3"/>
  <c r="AW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L469" i="3"/>
  <c r="AK469" i="3"/>
  <c r="AJ469" i="3"/>
  <c r="AI469" i="3"/>
  <c r="AH469" i="3"/>
  <c r="AG469" i="3"/>
  <c r="AF469" i="3"/>
  <c r="AE469" i="3"/>
  <c r="AD469" i="3"/>
  <c r="AC469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L462" i="3"/>
  <c r="AK462" i="3"/>
  <c r="AJ462" i="3"/>
  <c r="AI462" i="3"/>
  <c r="AH462" i="3"/>
  <c r="AG462" i="3"/>
  <c r="AF462" i="3"/>
  <c r="AE462" i="3"/>
  <c r="AD462" i="3"/>
  <c r="AC462" i="3"/>
  <c r="AB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L461" i="3"/>
  <c r="AK461" i="3"/>
  <c r="AJ461" i="3"/>
  <c r="AI461" i="3"/>
  <c r="AH461" i="3"/>
  <c r="AG461" i="3"/>
  <c r="AF461" i="3"/>
  <c r="AE461" i="3"/>
  <c r="AD461" i="3"/>
  <c r="AC461" i="3"/>
  <c r="AB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L460" i="3"/>
  <c r="AK460" i="3"/>
  <c r="AJ460" i="3"/>
  <c r="AI460" i="3"/>
  <c r="AH460" i="3"/>
  <c r="AG460" i="3"/>
  <c r="AF460" i="3"/>
  <c r="AE460" i="3"/>
  <c r="AD460" i="3"/>
  <c r="AC460" i="3"/>
  <c r="AB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L452" i="3"/>
  <c r="AK452" i="3"/>
  <c r="AJ452" i="3"/>
  <c r="AI452" i="3"/>
  <c r="AH452" i="3"/>
  <c r="AG452" i="3"/>
  <c r="AF452" i="3"/>
  <c r="AE452" i="3"/>
  <c r="AD452" i="3"/>
  <c r="AC452" i="3"/>
  <c r="AB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L451" i="3"/>
  <c r="AK451" i="3"/>
  <c r="AJ451" i="3"/>
  <c r="AI451" i="3"/>
  <c r="AH451" i="3"/>
  <c r="AG451" i="3"/>
  <c r="AF451" i="3"/>
  <c r="AE451" i="3"/>
  <c r="AD451" i="3"/>
  <c r="AC451" i="3"/>
  <c r="AB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L450" i="3"/>
  <c r="AK450" i="3"/>
  <c r="AJ450" i="3"/>
  <c r="AI450" i="3"/>
  <c r="AH450" i="3"/>
  <c r="AG450" i="3"/>
  <c r="AF450" i="3"/>
  <c r="AE450" i="3"/>
  <c r="AD450" i="3"/>
  <c r="AC450" i="3"/>
  <c r="AB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L433" i="3"/>
  <c r="AK433" i="3"/>
  <c r="AJ433" i="3"/>
  <c r="AI433" i="3"/>
  <c r="AH433" i="3"/>
  <c r="AG433" i="3"/>
  <c r="AF433" i="3"/>
  <c r="AE433" i="3"/>
  <c r="AD433" i="3"/>
  <c r="AC433" i="3"/>
  <c r="AB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L432" i="3"/>
  <c r="AK432" i="3"/>
  <c r="AJ432" i="3"/>
  <c r="AI432" i="3"/>
  <c r="AH432" i="3"/>
  <c r="AG432" i="3"/>
  <c r="AF432" i="3"/>
  <c r="AE432" i="3"/>
  <c r="AD432" i="3"/>
  <c r="AC432" i="3"/>
  <c r="AB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AX342" i="3"/>
  <c r="AW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L341" i="3"/>
  <c r="AK341" i="3"/>
  <c r="AJ341" i="3"/>
  <c r="AI341" i="3"/>
  <c r="AH341" i="3"/>
  <c r="AG341" i="3"/>
  <c r="AF341" i="3"/>
  <c r="AE341" i="3"/>
  <c r="AD341" i="3"/>
  <c r="AC341" i="3"/>
  <c r="AB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AX338" i="3"/>
  <c r="AW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AX320" i="3"/>
  <c r="AW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AX319" i="3"/>
  <c r="AW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AX318" i="3"/>
  <c r="AW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X317" i="3"/>
  <c r="AW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AX316" i="3"/>
  <c r="AW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X315" i="3"/>
  <c r="AW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AX296" i="3"/>
  <c r="AW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AX295" i="3"/>
  <c r="AW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AX294" i="3"/>
  <c r="AW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AX293" i="3"/>
  <c r="AW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AX292" i="3"/>
  <c r="AW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AX291" i="3"/>
  <c r="AW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AX244" i="3"/>
  <c r="AW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AX222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AX220" i="3"/>
  <c r="AW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AX219" i="3"/>
  <c r="AW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X202" i="3"/>
  <c r="AW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AX201" i="3"/>
  <c r="AW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X180" i="3"/>
  <c r="AW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X179" i="3"/>
  <c r="AW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X178" i="3"/>
  <c r="AW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X160" i="3"/>
  <c r="AW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AX156" i="3"/>
  <c r="AW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AX143" i="3"/>
  <c r="AW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AX141" i="3"/>
  <c r="AW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502" i="1"/>
  <c r="AZ502" i="1"/>
  <c r="AY502" i="1"/>
  <c r="BA501" i="1"/>
  <c r="AZ501" i="1"/>
  <c r="AY501" i="1"/>
  <c r="BA500" i="1"/>
  <c r="AZ500" i="1"/>
  <c r="AY500" i="1"/>
  <c r="BA499" i="1"/>
  <c r="AZ499" i="1"/>
  <c r="AY499" i="1"/>
  <c r="BA498" i="1"/>
  <c r="AZ498" i="1"/>
  <c r="AY498" i="1"/>
  <c r="BA497" i="1"/>
  <c r="AZ497" i="1"/>
  <c r="AY497" i="1"/>
  <c r="BA496" i="1"/>
  <c r="AZ496" i="1"/>
  <c r="AY496" i="1"/>
  <c r="BA495" i="1"/>
  <c r="AZ495" i="1"/>
  <c r="AY495" i="1"/>
  <c r="BA494" i="1"/>
  <c r="AZ494" i="1"/>
  <c r="AY494" i="1"/>
  <c r="BA493" i="1"/>
  <c r="AZ493" i="1"/>
  <c r="AY493" i="1"/>
  <c r="BA492" i="1"/>
  <c r="AZ492" i="1"/>
  <c r="AY492" i="1"/>
  <c r="BA491" i="1"/>
  <c r="AZ491" i="1"/>
  <c r="AY491" i="1"/>
  <c r="BA490" i="1"/>
  <c r="AZ490" i="1"/>
  <c r="AY490" i="1"/>
  <c r="BA489" i="1"/>
  <c r="AZ489" i="1"/>
  <c r="AY489" i="1"/>
  <c r="BA488" i="1"/>
  <c r="AZ488" i="1"/>
  <c r="AY488" i="1"/>
  <c r="BA487" i="1"/>
  <c r="AZ487" i="1"/>
  <c r="AY487" i="1"/>
  <c r="BA486" i="1"/>
  <c r="AZ486" i="1"/>
  <c r="AY486" i="1"/>
  <c r="BA485" i="1"/>
  <c r="AZ485" i="1"/>
  <c r="AY485" i="1"/>
  <c r="BA484" i="1"/>
  <c r="AZ484" i="1"/>
  <c r="AY484" i="1"/>
  <c r="BA483" i="1"/>
  <c r="AZ483" i="1"/>
  <c r="AY483" i="1"/>
  <c r="BA482" i="1"/>
  <c r="AZ482" i="1"/>
  <c r="AY482" i="1"/>
  <c r="BA481" i="1"/>
  <c r="AZ481" i="1"/>
  <c r="AY481" i="1"/>
  <c r="BA480" i="1"/>
  <c r="AZ480" i="1"/>
  <c r="AY480" i="1"/>
  <c r="BA479" i="1"/>
  <c r="AZ479" i="1"/>
  <c r="AY479" i="1"/>
  <c r="BA478" i="1"/>
  <c r="AZ478" i="1"/>
  <c r="AY478" i="1"/>
  <c r="BA477" i="1"/>
  <c r="AZ477" i="1"/>
  <c r="AY477" i="1"/>
  <c r="BA476" i="1"/>
  <c r="AZ476" i="1"/>
  <c r="AY476" i="1"/>
  <c r="BA475" i="1"/>
  <c r="AZ475" i="1"/>
  <c r="AY475" i="1"/>
  <c r="BA474" i="1"/>
  <c r="AZ474" i="1"/>
  <c r="AY474" i="1"/>
  <c r="BA473" i="1"/>
  <c r="AZ473" i="1"/>
  <c r="AY473" i="1"/>
  <c r="BA472" i="1"/>
  <c r="AZ472" i="1"/>
  <c r="AY472" i="1"/>
  <c r="BA471" i="1"/>
  <c r="AZ471" i="1"/>
  <c r="AY471" i="1"/>
  <c r="BA470" i="1"/>
  <c r="AZ470" i="1"/>
  <c r="AY470" i="1"/>
  <c r="BA469" i="1"/>
  <c r="AZ469" i="1"/>
  <c r="AY469" i="1"/>
  <c r="BA468" i="1"/>
  <c r="AZ468" i="1"/>
  <c r="AY468" i="1"/>
  <c r="BA467" i="1"/>
  <c r="AZ467" i="1"/>
  <c r="AY467" i="1"/>
  <c r="BA466" i="1"/>
  <c r="AZ466" i="1"/>
  <c r="AY466" i="1"/>
  <c r="BA465" i="1"/>
  <c r="AZ465" i="1"/>
  <c r="AY465" i="1"/>
  <c r="BA464" i="1"/>
  <c r="AZ464" i="1"/>
  <c r="AY464" i="1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P376" i="1"/>
  <c r="O376" i="1"/>
  <c r="BA375" i="1"/>
  <c r="AZ375" i="1"/>
  <c r="AY375" i="1"/>
  <c r="P375" i="1"/>
  <c r="O375" i="1"/>
  <c r="BA374" i="1"/>
  <c r="AZ374" i="1"/>
  <c r="AY374" i="1"/>
  <c r="P374" i="1"/>
  <c r="O374" i="1"/>
  <c r="BA373" i="1"/>
  <c r="AZ373" i="1"/>
  <c r="AY373" i="1"/>
  <c r="BA372" i="1"/>
  <c r="AZ372" i="1"/>
  <c r="AY372" i="1"/>
  <c r="BA371" i="1"/>
  <c r="AZ371" i="1"/>
  <c r="AY371" i="1"/>
  <c r="BA370" i="1"/>
  <c r="AZ370" i="1"/>
  <c r="AY370" i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BA353" i="1"/>
  <c r="AZ353" i="1"/>
  <c r="AY353" i="1"/>
  <c r="BA352" i="1"/>
  <c r="AZ352" i="1"/>
  <c r="AY352" i="1"/>
  <c r="BA351" i="1"/>
  <c r="AZ351" i="1"/>
  <c r="AY351" i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Q343" i="1"/>
  <c r="P343" i="1"/>
  <c r="O343" i="1"/>
  <c r="L343" i="1"/>
  <c r="K343" i="1"/>
  <c r="J343" i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Q325" i="1"/>
  <c r="P325" i="1"/>
  <c r="O325" i="1"/>
  <c r="L325" i="1"/>
  <c r="K325" i="1"/>
  <c r="J325" i="1"/>
  <c r="BA324" i="1"/>
  <c r="AZ324" i="1"/>
  <c r="AY324" i="1"/>
  <c r="Q324" i="1"/>
  <c r="P324" i="1"/>
  <c r="O324" i="1"/>
  <c r="L324" i="1"/>
  <c r="K324" i="1"/>
  <c r="J324" i="1"/>
  <c r="BA323" i="1"/>
  <c r="AZ323" i="1"/>
  <c r="AY323" i="1"/>
  <c r="Q323" i="1"/>
  <c r="P323" i="1"/>
  <c r="O323" i="1"/>
  <c r="L323" i="1"/>
  <c r="K323" i="1"/>
  <c r="J323" i="1"/>
  <c r="BA322" i="1"/>
  <c r="AZ322" i="1"/>
  <c r="AY322" i="1"/>
  <c r="Q322" i="1"/>
  <c r="P322" i="1"/>
  <c r="O322" i="1"/>
  <c r="L322" i="1"/>
  <c r="K322" i="1"/>
  <c r="J322" i="1"/>
  <c r="BA321" i="1"/>
  <c r="AZ321" i="1"/>
  <c r="AY321" i="1"/>
  <c r="Q321" i="1"/>
  <c r="P321" i="1"/>
  <c r="O321" i="1"/>
  <c r="L321" i="1"/>
  <c r="K321" i="1"/>
  <c r="J321" i="1"/>
  <c r="BA320" i="1"/>
  <c r="AZ320" i="1"/>
  <c r="AY320" i="1"/>
  <c r="Q320" i="1"/>
  <c r="P320" i="1"/>
  <c r="O320" i="1"/>
  <c r="L320" i="1"/>
  <c r="K320" i="1"/>
  <c r="J320" i="1"/>
  <c r="BA319" i="1"/>
  <c r="AZ319" i="1"/>
  <c r="AY319" i="1"/>
  <c r="Q319" i="1"/>
  <c r="P319" i="1"/>
  <c r="O319" i="1"/>
  <c r="L319" i="1"/>
  <c r="K319" i="1"/>
  <c r="J319" i="1"/>
  <c r="BA318" i="1"/>
  <c r="AZ318" i="1"/>
  <c r="AY318" i="1"/>
  <c r="BA317" i="1"/>
  <c r="AZ317" i="1"/>
  <c r="AY317" i="1"/>
  <c r="BA316" i="1"/>
  <c r="AZ316" i="1"/>
  <c r="AY316" i="1"/>
  <c r="BA315" i="1"/>
  <c r="AZ315" i="1"/>
  <c r="AY315" i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BA302" i="1"/>
  <c r="AZ302" i="1"/>
  <c r="AY302" i="1"/>
  <c r="BA301" i="1"/>
  <c r="AZ301" i="1"/>
  <c r="AY301" i="1"/>
  <c r="BA300" i="1"/>
  <c r="AZ300" i="1"/>
  <c r="AY300" i="1"/>
  <c r="Q300" i="1"/>
  <c r="P300" i="1"/>
  <c r="O300" i="1"/>
  <c r="L300" i="1"/>
  <c r="K300" i="1"/>
  <c r="J300" i="1"/>
  <c r="BA299" i="1"/>
  <c r="AZ299" i="1"/>
  <c r="AY299" i="1"/>
  <c r="Q299" i="1"/>
  <c r="P299" i="1"/>
  <c r="O299" i="1"/>
  <c r="L299" i="1"/>
  <c r="K299" i="1"/>
  <c r="J299" i="1"/>
  <c r="BA298" i="1"/>
  <c r="AZ298" i="1"/>
  <c r="AY298" i="1"/>
  <c r="Q298" i="1"/>
  <c r="P298" i="1"/>
  <c r="O298" i="1"/>
  <c r="L298" i="1"/>
  <c r="K298" i="1"/>
  <c r="J298" i="1"/>
  <c r="BA297" i="1"/>
  <c r="AZ297" i="1"/>
  <c r="AY297" i="1"/>
  <c r="Q297" i="1"/>
  <c r="P297" i="1"/>
  <c r="O297" i="1"/>
  <c r="L297" i="1"/>
  <c r="K297" i="1"/>
  <c r="J297" i="1"/>
  <c r="BA296" i="1"/>
  <c r="AZ296" i="1"/>
  <c r="AY296" i="1"/>
  <c r="BA295" i="1"/>
  <c r="AZ295" i="1"/>
  <c r="AY295" i="1"/>
  <c r="BA294" i="1"/>
  <c r="AZ294" i="1"/>
  <c r="AY294" i="1"/>
  <c r="BA293" i="1"/>
  <c r="AZ293" i="1"/>
  <c r="AY293" i="1"/>
  <c r="BA292" i="1"/>
  <c r="AZ292" i="1"/>
  <c r="AY292" i="1"/>
  <c r="Q292" i="1"/>
  <c r="P292" i="1"/>
  <c r="O292" i="1"/>
  <c r="L292" i="1"/>
  <c r="K292" i="1"/>
  <c r="J292" i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BA277" i="1"/>
  <c r="AZ277" i="1"/>
  <c r="AY277" i="1"/>
  <c r="BA276" i="1"/>
  <c r="AZ276" i="1"/>
  <c r="AY276" i="1"/>
  <c r="BA275" i="1"/>
  <c r="AZ275" i="1"/>
  <c r="AY275" i="1"/>
  <c r="BA274" i="1"/>
  <c r="AZ274" i="1"/>
  <c r="AY274" i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BA269" i="1"/>
  <c r="AZ269" i="1"/>
  <c r="AY269" i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Q257" i="1"/>
  <c r="P257" i="1"/>
  <c r="O257" i="1"/>
  <c r="L257" i="1"/>
  <c r="K257" i="1"/>
  <c r="J257" i="1"/>
  <c r="BA256" i="1"/>
  <c r="AZ256" i="1"/>
  <c r="AY256" i="1"/>
  <c r="Q256" i="1"/>
  <c r="P256" i="1"/>
  <c r="O256" i="1"/>
  <c r="L256" i="1"/>
  <c r="K256" i="1"/>
  <c r="J256" i="1"/>
  <c r="BA255" i="1"/>
  <c r="AZ255" i="1"/>
  <c r="AY255" i="1"/>
  <c r="Q255" i="1"/>
  <c r="P255" i="1"/>
  <c r="O255" i="1"/>
  <c r="L255" i="1"/>
  <c r="K255" i="1"/>
  <c r="J255" i="1"/>
  <c r="BA254" i="1"/>
  <c r="AZ254" i="1"/>
  <c r="AY254" i="1"/>
  <c r="Q254" i="1"/>
  <c r="P254" i="1"/>
  <c r="O254" i="1"/>
  <c r="L254" i="1"/>
  <c r="K254" i="1"/>
  <c r="J254" i="1"/>
  <c r="BA253" i="1"/>
  <c r="AZ253" i="1"/>
  <c r="AY253" i="1"/>
  <c r="BA252" i="1"/>
  <c r="AZ252" i="1"/>
  <c r="AY252" i="1"/>
  <c r="BA251" i="1"/>
  <c r="AZ251" i="1"/>
  <c r="AY251" i="1"/>
  <c r="BA250" i="1"/>
  <c r="AZ250" i="1"/>
  <c r="AY250" i="1"/>
  <c r="Q250" i="1"/>
  <c r="P250" i="1"/>
  <c r="O250" i="1"/>
  <c r="L250" i="1"/>
  <c r="K250" i="1"/>
  <c r="J250" i="1"/>
  <c r="BA249" i="1"/>
  <c r="AZ249" i="1"/>
  <c r="AY249" i="1"/>
  <c r="Q249" i="1"/>
  <c r="P249" i="1"/>
  <c r="O249" i="1"/>
  <c r="L249" i="1"/>
  <c r="K249" i="1"/>
  <c r="J249" i="1"/>
  <c r="BA248" i="1"/>
  <c r="AZ248" i="1"/>
  <c r="AY248" i="1"/>
  <c r="BA247" i="1"/>
  <c r="AZ247" i="1"/>
  <c r="AY247" i="1"/>
  <c r="BA246" i="1"/>
  <c r="AZ246" i="1"/>
  <c r="AY246" i="1"/>
  <c r="BA245" i="1"/>
  <c r="AZ245" i="1"/>
  <c r="AY245" i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BA234" i="1"/>
  <c r="AZ234" i="1"/>
  <c r="AY234" i="1"/>
  <c r="BA233" i="1"/>
  <c r="AZ233" i="1"/>
  <c r="AY233" i="1"/>
  <c r="BA232" i="1"/>
  <c r="AZ232" i="1"/>
  <c r="AY232" i="1"/>
  <c r="Q232" i="1"/>
  <c r="P232" i="1"/>
  <c r="O232" i="1"/>
  <c r="L232" i="1"/>
  <c r="K232" i="1"/>
  <c r="J232" i="1"/>
  <c r="BA231" i="1"/>
  <c r="AZ231" i="1"/>
  <c r="AY231" i="1"/>
  <c r="Q231" i="1"/>
  <c r="P231" i="1"/>
  <c r="O231" i="1"/>
  <c r="L231" i="1"/>
  <c r="K231" i="1"/>
  <c r="J231" i="1"/>
  <c r="BA230" i="1"/>
  <c r="AZ230" i="1"/>
  <c r="AY230" i="1"/>
  <c r="BA229" i="1"/>
  <c r="AZ229" i="1"/>
  <c r="AY229" i="1"/>
  <c r="BA228" i="1"/>
  <c r="AZ228" i="1"/>
  <c r="AY228" i="1"/>
  <c r="BA227" i="1"/>
  <c r="AZ227" i="1"/>
  <c r="AY227" i="1"/>
  <c r="Q227" i="1"/>
  <c r="P227" i="1"/>
  <c r="O227" i="1"/>
  <c r="L227" i="1"/>
  <c r="K227" i="1"/>
  <c r="J227" i="1"/>
  <c r="BA226" i="1"/>
  <c r="AZ226" i="1"/>
  <c r="AY226" i="1"/>
  <c r="BA225" i="1"/>
  <c r="AZ225" i="1"/>
  <c r="AY225" i="1"/>
  <c r="Q225" i="1"/>
  <c r="P225" i="1"/>
  <c r="O225" i="1"/>
  <c r="L225" i="1"/>
  <c r="K225" i="1"/>
  <c r="J225" i="1"/>
  <c r="BA224" i="1"/>
  <c r="AZ224" i="1"/>
  <c r="AY224" i="1"/>
  <c r="Q224" i="1"/>
  <c r="P224" i="1"/>
  <c r="O224" i="1"/>
  <c r="L224" i="1"/>
  <c r="K224" i="1"/>
  <c r="J224" i="1"/>
  <c r="BA223" i="1"/>
  <c r="AZ223" i="1"/>
  <c r="AY223" i="1"/>
  <c r="BA222" i="1"/>
  <c r="AZ222" i="1"/>
  <c r="AY222" i="1"/>
  <c r="BA221" i="1"/>
  <c r="AZ221" i="1"/>
  <c r="AY221" i="1"/>
  <c r="BA220" i="1"/>
  <c r="AZ220" i="1"/>
  <c r="AY220" i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BA209" i="1"/>
  <c r="AZ209" i="1"/>
  <c r="AY209" i="1"/>
  <c r="BA208" i="1"/>
  <c r="AZ208" i="1"/>
  <c r="AY208" i="1"/>
  <c r="Q208" i="1"/>
  <c r="P208" i="1"/>
  <c r="O208" i="1"/>
  <c r="L208" i="1"/>
  <c r="K208" i="1"/>
  <c r="J208" i="1"/>
  <c r="BA207" i="1"/>
  <c r="AZ207" i="1"/>
  <c r="AY207" i="1"/>
  <c r="BA206" i="1"/>
  <c r="AZ206" i="1"/>
  <c r="AY206" i="1"/>
  <c r="BA205" i="1"/>
  <c r="AZ205" i="1"/>
  <c r="AY205" i="1"/>
  <c r="BA204" i="1"/>
  <c r="AZ204" i="1"/>
  <c r="AY204" i="1"/>
  <c r="BA203" i="1"/>
  <c r="AZ203" i="1"/>
  <c r="AY203" i="1"/>
  <c r="BA202" i="1"/>
  <c r="AZ202" i="1"/>
  <c r="AY202" i="1"/>
  <c r="BA201" i="1"/>
  <c r="AZ201" i="1"/>
  <c r="AY201" i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BA185" i="1"/>
  <c r="AZ185" i="1"/>
  <c r="AY185" i="1"/>
  <c r="O185" i="1"/>
  <c r="L185" i="1"/>
  <c r="K185" i="1"/>
  <c r="J185" i="1"/>
  <c r="BA184" i="1"/>
  <c r="AZ184" i="1"/>
  <c r="AY184" i="1"/>
  <c r="P184" i="1"/>
  <c r="O184" i="1"/>
  <c r="L184" i="1"/>
  <c r="K184" i="1"/>
  <c r="J184" i="1"/>
  <c r="BA183" i="1"/>
  <c r="AZ183" i="1"/>
  <c r="AY183" i="1"/>
  <c r="Q183" i="1"/>
  <c r="P183" i="1"/>
  <c r="O183" i="1"/>
  <c r="L183" i="1"/>
  <c r="K183" i="1"/>
  <c r="J183" i="1"/>
  <c r="BA182" i="1"/>
  <c r="AZ182" i="1"/>
  <c r="AY182" i="1"/>
  <c r="Q182" i="1"/>
  <c r="P182" i="1"/>
  <c r="O182" i="1"/>
  <c r="L182" i="1"/>
  <c r="K182" i="1"/>
  <c r="J182" i="1"/>
  <c r="BA181" i="1"/>
  <c r="AZ181" i="1"/>
  <c r="AY181" i="1"/>
  <c r="BA180" i="1"/>
  <c r="AZ180" i="1"/>
  <c r="AY180" i="1"/>
  <c r="BA179" i="1"/>
  <c r="AZ179" i="1"/>
  <c r="AY179" i="1"/>
  <c r="BA178" i="1"/>
  <c r="AZ178" i="1"/>
  <c r="AY178" i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BA164" i="1"/>
  <c r="AZ164" i="1"/>
  <c r="AY164" i="1"/>
  <c r="BA163" i="1"/>
  <c r="AZ163" i="1"/>
  <c r="AY163" i="1"/>
  <c r="Q163" i="1"/>
  <c r="P163" i="1"/>
  <c r="O163" i="1"/>
  <c r="L163" i="1"/>
  <c r="K163" i="1"/>
  <c r="J163" i="1"/>
  <c r="BA162" i="1"/>
  <c r="AZ162" i="1"/>
  <c r="AY162" i="1"/>
  <c r="BA161" i="1"/>
  <c r="AZ161" i="1"/>
  <c r="AY161" i="1"/>
  <c r="Q161" i="1"/>
  <c r="P161" i="1"/>
  <c r="O161" i="1"/>
  <c r="L161" i="1"/>
  <c r="K161" i="1"/>
  <c r="J161" i="1"/>
  <c r="BA160" i="1"/>
  <c r="AZ160" i="1"/>
  <c r="AY160" i="1"/>
  <c r="BA159" i="1"/>
  <c r="AZ159" i="1"/>
  <c r="AY159" i="1"/>
  <c r="BA158" i="1"/>
  <c r="AZ158" i="1"/>
  <c r="AY158" i="1"/>
  <c r="BA157" i="1"/>
  <c r="AZ157" i="1"/>
  <c r="AY157" i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BA143" i="1"/>
  <c r="AZ143" i="1"/>
  <c r="AY143" i="1"/>
  <c r="BA142" i="1"/>
  <c r="AZ142" i="1"/>
  <c r="AY142" i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<sst xmlns="http://schemas.openxmlformats.org/spreadsheetml/2006/main" count="6643" uniqueCount="1053">
  <si>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</si>
  <si>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</si>
  <si>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</si>
  <si>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</si>
  <si>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</si>
  <si>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</si>
  <si>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</si>
  <si>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</si>
  <si>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</si>
  <si>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</si>
  <si>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</si>
  <si>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</si>
  <si>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</si>
  <si>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</si>
  <si>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</si>
  <si>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</si>
  <si>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</si>
  <si>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</si>
  <si>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</si>
  <si>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</si>
  <si>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</si>
  <si>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</si>
  <si>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</si>
  <si>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</si>
  <si>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</si>
  <si>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</si>
  <si>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</si>
  <si>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</si>
  <si>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</si>
  <si>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</si>
  <si>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</si>
  <si>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</si>
  <si>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</si>
  <si>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</si>
  <si>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</si>
  <si>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</si>
  <si>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</si>
  <si>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</si>
  <si>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</si>
  <si>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</si>
  <si>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</si>
  <si>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</si>
  <si>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</si>
  <si>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</si>
  <si>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</si>
  <si>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</si>
  <si>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</si>
  <si>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</si>
  <si>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</si>
  <si>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</si>
  <si>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</si>
  <si>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</si>
  <si>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</si>
  <si>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</si>
  <si>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</si>
  <si>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</si>
  <si>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</si>
  <si>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</si>
  <si>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</si>
  <si>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</si>
  <si>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</si>
  <si>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</si>
  <si>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</si>
  <si>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</si>
  <si>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</si>
  <si>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</si>
  <si>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</si>
  <si>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01.12.2026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</si>
  <si>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</si>
  <si>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</si>
  <si>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</si>
  <si>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</si>
  <si>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</si>
  <si>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</si>
  <si>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</si>
  <si>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</si>
  <si>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</si>
  <si>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</si>
  <si>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</si>
  <si>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</si>
  <si>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</si>
  <si>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</si>
  <si>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</si>
  <si>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</si>
  <si>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</si>
  <si>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</si>
  <si>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</si>
  <si>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</si>
  <si>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</si>
  <si>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</si>
  <si>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</si>
  <si>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</si>
  <si>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</si>
  <si>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</si>
  <si>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</si>
  <si>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</si>
  <si>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</si>
  <si>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</si>
  <si>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</si>
  <si>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</si>
  <si>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</si>
  <si>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</si>
  <si>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</si>
  <si>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</si>
  <si>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</si>
  <si>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</si>
  <si>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</si>
  <si>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</si>
  <si>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</si>
  <si>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</si>
  <si>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</si>
  <si>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</si>
  <si>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</si>
  <si>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</si>
  <si>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</si>
  <si>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</si>
  <si>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</si>
  <si>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</si>
  <si>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</si>
  <si>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</si>
  <si>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</si>
  <si>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</si>
  <si>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</si>
  <si>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</si>
  <si>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</si>
  <si>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</si>
  <si>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</si>
  <si>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</si>
  <si>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</si>
  <si>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</si>
  <si>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</si>
  <si>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</si>
  <si>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</si>
  <si>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</si>
  <si>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</si>
  <si>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</si>
  <si>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</si>
  <si>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</si>
  <si>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</si>
  <si>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</si>
  <si>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</si>
  <si>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</si>
  <si>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</si>
  <si>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</si>
  <si>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</si>
  <si>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</si>
  <si>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</si>
  <si>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</si>
  <si>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</si>
  <si>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</si>
  <si>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</si>
  <si>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</si>
  <si>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</si>
  <si>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</si>
  <si>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</si>
  <si>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</si>
  <si>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</si>
  <si>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</si>
  <si>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</si>
  <si>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</si>
  <si>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</si>
  <si>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</si>
  <si>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</si>
  <si>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</si>
  <si>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</si>
  <si>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</si>
  <si>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</si>
  <si>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</si>
  <si>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</si>
  <si>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</si>
  <si>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</si>
  <si>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</si>
  <si>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</si>
  <si>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</si>
  <si>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</si>
  <si>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</si>
  <si>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</si>
  <si>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17 256GB-SALVIA NAC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</si>
  <si>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</si>
  <si>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</si>
  <si>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</si>
  <si>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</si>
  <si>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</si>
  <si>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</si>
  <si>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</si>
  <si>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</si>
  <si>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</si>
  <si>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</si>
  <si>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</si>
  <si>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</si>
  <si>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</si>
  <si>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</si>
  <si>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</si>
  <si>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</si>
  <si>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</si>
  <si>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</si>
  <si>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</si>
  <si>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</si>
  <si>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</si>
  <si>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</si>
  <si>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</si>
  <si>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</si>
  <si>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</si>
  <si>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</si>
  <si>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</si>
  <si>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</si>
  <si>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</si>
  <si>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</si>
  <si>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</si>
  <si>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</si>
  <si>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</si>
  <si>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</si>
  <si>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</si>
  <si>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</si>
  <si>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APPLE IPHONE 18 PRO 256GB</t>
  </si>
  <si>
    <t>APPLE IPHONE 18 PRO 256GB-PRETO</t>
  </si>
  <si>
    <t>APPLE IPHONE 18 PRO 256GB-BORDO</t>
  </si>
  <si>
    <t>APPLE IPHONE 18 PRO 256GB-GLACIAL</t>
  </si>
  <si>
    <t>APPLE IPHONE 18 PRO 512GB</t>
  </si>
  <si>
    <t>APPLE IPHONE 18 PRO 512GB-PRETO</t>
  </si>
  <si>
    <t>APPLE IPHONE 18 PRO 512GB-BORDO</t>
  </si>
  <si>
    <t>APPLE IPHONE 18 PRO 512GB-GLACIAL</t>
  </si>
  <si>
    <t>APPLE IPHONE 18 PRO MAX 256GB</t>
  </si>
  <si>
    <t>APPLE IPHONE 18 PRO MAX 256GB-PRETO</t>
  </si>
  <si>
    <t>APPLE IPHONE 18 PRO MAX 256GB-PRATEADO</t>
  </si>
  <si>
    <t>APPLE IPHONE 18 PRO MAX 256GB-BORDO</t>
  </si>
  <si>
    <t>APPLE IPHONE 18 PRO MAX 256GB-GLACIAL</t>
  </si>
  <si>
    <t>APPLE IPHONE 18 PRO MAX 512GB</t>
  </si>
  <si>
    <t>APPLE IPHONE 18 PRO MAX 512GB-PRETO</t>
  </si>
  <si>
    <t>APPLE IPHONE 18 PRO MAX 512GB-PRATEADO</t>
  </si>
  <si>
    <t>APPLE IPHONE 18 PRO MAX 512GB-BORDO</t>
  </si>
  <si>
    <t>APPLE IPHONE 18 PRO MAX 512GB-GLACIAL</t>
  </si>
  <si>
    <t>APPLE IPHONE DUO 256GB</t>
  </si>
  <si>
    <t>APPLE IPHONE DUO 256GB-BRANCO ESTRELA</t>
  </si>
  <si>
    <t>APPLE IPHONE DUO 256GB-CEU NOTURNO</t>
  </si>
  <si>
    <t>APPLE IPHONE DUO 512GB</t>
  </si>
  <si>
    <t>APPLE IPHONE DUO 512GB-BRANCO ESTRELA</t>
  </si>
  <si>
    <t>APPLE IPHONE DUO 512GB-CEU NOTURNO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</si>
  <si>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</si>
  <si>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</si>
  <si>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</si>
  <si>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</si>
  <si>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</si>
  <si>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</si>
  <si>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</si>
  <si>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</si>
  <si>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</si>
  <si>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</si>
  <si>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</si>
  <si>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</si>
  <si>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</si>
  <si>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</si>
  <si>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</si>
  <si>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</si>
  <si>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</si>
  <si>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</si>
  <si>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</si>
  <si>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</si>
  <si>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</si>
  <si>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</si>
  <si>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</si>
  <si>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</si>
  <si>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</si>
  <si>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</si>
  <si>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</si>
  <si>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</si>
  <si>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</si>
  <si>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</si>
  <si>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</si>
  <si>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</si>
  <si>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</si>
  <si>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</si>
  <si>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</si>
  <si>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</si>
  <si>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</si>
  <si>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</si>
  <si>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</si>
  <si>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</si>
  <si>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</si>
  <si>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</si>
  <si>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</si>
  <si>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</si>
  <si>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</si>
  <si>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</si>
  <si>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</si>
  <si>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</si>
  <si>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</si>
  <si>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</si>
  <si>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</si>
  <si>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</si>
  <si>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</si>
  <si>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</si>
  <si>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</si>
  <si>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</si>
  <si>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</si>
  <si>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</si>
  <si>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FUSION 256GB 12GB</t>
  </si>
  <si>
    <t>MOTO EDGE 70 FUSION 256GB 12GB-GRAFITE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</si>
  <si>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</si>
  <si>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</si>
  <si>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</si>
  <si>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</si>
  <si>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</si>
  <si>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</si>
  <si>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</si>
  <si>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</si>
  <si>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</si>
  <si>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</si>
  <si>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</si>
  <si>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</si>
  <si>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</si>
  <si>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</si>
  <si>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</si>
  <si>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</si>
  <si>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</si>
  <si>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</si>
  <si>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</si>
  <si>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</si>
  <si>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</si>
  <si>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</si>
  <si>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G37 5G 4RAM 128GB</t>
  </si>
  <si>
    <t>MOTOROLA MOTO G37 5G 4RAM 128GB-GRAFITE</t>
  </si>
  <si>
    <t>MOTOROLA MOTO G37 5G 4RAM 128GB-AZUL NAU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</si>
  <si>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</si>
  <si>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</si>
  <si>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</si>
  <si>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</si>
  <si>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</si>
  <si>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</si>
  <si>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</si>
  <si>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</si>
  <si>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</si>
  <si>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</si>
  <si>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</si>
  <si>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</si>
  <si>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</si>
  <si>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</si>
  <si>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</si>
  <si>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</si>
  <si>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</si>
  <si>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G75 5G 256GB-AZUL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</si>
  <si>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</si>
  <si>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</si>
  <si>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</si>
  <si>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</si>
  <si>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</si>
  <si>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</si>
  <si>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</si>
  <si>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MOTO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</si>
  <si>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</si>
  <si>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</si>
  <si>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</si>
  <si>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</si>
  <si>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</si>
  <si>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</si>
  <si>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</si>
  <si>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</si>
  <si>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</si>
  <si>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</si>
  <si>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</si>
  <si>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</si>
  <si>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</si>
  <si>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</si>
  <si>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</si>
  <si>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</si>
  <si>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</si>
  <si>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</si>
  <si>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</si>
  <si>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</si>
  <si>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</si>
  <si>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</si>
  <si>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</si>
  <si>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</si>
  <si>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</si>
  <si>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</si>
  <si>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</si>
  <si>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</si>
  <si>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</si>
  <si>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</si>
  <si>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</si>
  <si>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</si>
  <si>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</si>
  <si>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</si>
  <si>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</si>
  <si>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</si>
  <si>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</si>
  <si>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</si>
  <si>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</si>
  <si>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</si>
  <si>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</si>
  <si>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</si>
  <si>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</si>
  <si>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</si>
  <si>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</si>
  <si>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</si>
  <si>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</si>
  <si>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</si>
  <si>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</si>
  <si>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</si>
  <si>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</si>
  <si>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</si>
  <si>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</si>
  <si>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</si>
  <si>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</si>
  <si>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</si>
  <si>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</si>
  <si>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</si>
  <si>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</si>
  <si>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</si>
  <si>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</si>
  <si>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</si>
  <si>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</si>
  <si>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</si>
  <si>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</si>
  <si>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</si>
  <si>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</si>
  <si>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</si>
  <si>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</si>
  <si>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</si>
  <si>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</si>
  <si>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</si>
  <si>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</si>
  <si>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</si>
  <si>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</si>
  <si>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</si>
  <si>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</si>
  <si>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</si>
  <si>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</si>
  <si>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</si>
  <si>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</si>
  <si>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</si>
  <si>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</si>
  <si>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</si>
  <si>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</si>
  <si>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</si>
  <si>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</si>
  <si>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</si>
  <si>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</si>
  <si>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</si>
  <si>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</si>
  <si>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</si>
  <si>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</si>
  <si>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</si>
  <si>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</si>
  <si>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</si>
  <si>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</si>
  <si>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</si>
  <si>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</si>
  <si>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</si>
  <si>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</si>
  <si>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</si>
  <si>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</si>
  <si>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</si>
  <si>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</si>
  <si>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</si>
  <si>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</si>
  <si>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</si>
  <si>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</si>
  <si>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</si>
  <si>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</si>
  <si>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</si>
  <si>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</si>
  <si>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</si>
  <si>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</si>
  <si>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</si>
  <si>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</si>
  <si>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</si>
  <si>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</si>
  <si>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</si>
  <si>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</si>
  <si>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</si>
  <si>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</si>
  <si>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</si>
  <si>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</si>
  <si>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</si>
  <si>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</si>
  <si>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</si>
  <si>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</si>
  <si>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</si>
  <si>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</si>
  <si>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</si>
  <si>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</si>
  <si>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</si>
  <si>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</si>
  <si>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</si>
  <si>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</si>
  <si>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</si>
  <si>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</si>
  <si>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</si>
  <si>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</si>
  <si>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</si>
  <si>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</si>
  <si>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</si>
  <si>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</si>
  <si>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</si>
  <si>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</si>
  <si>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</si>
  <si>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</si>
  <si>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</si>
  <si>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</si>
  <si>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</si>
  <si>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</si>
  <si>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</si>
  <si>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</si>
  <si>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</si>
  <si>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</si>
  <si>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</si>
  <si>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</si>
  <si>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</si>
  <si>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</si>
  <si>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</si>
  <si>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</si>
  <si>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</si>
  <si>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</si>
  <si>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</si>
  <si>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</si>
  <si>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</si>
  <si>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</si>
  <si>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</si>
  <si>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</si>
  <si>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</si>
  <si>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</si>
  <si>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</si>
  <si>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</si>
  <si>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</si>
  <si>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</si>
  <si>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</si>
  <si>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</si>
  <si>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</si>
  <si>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</si>
  <si>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</si>
  <si>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</si>
  <si>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</si>
  <si>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</si>
  <si>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</si>
  <si>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</si>
  <si>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</si>
  <si>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</si>
  <si>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</si>
  <si>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</si>
  <si>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</si>
  <si>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</si>
  <si>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</si>
  <si>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</si>
  <si>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</si>
  <si>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</si>
  <si>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</si>
  <si>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</si>
  <si>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</si>
  <si>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</si>
  <si>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</si>
  <si>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</si>
  <si>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</si>
  <si>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</si>
  <si>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</si>
  <si>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</si>
  <si>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</si>
  <si>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</si>
  <si>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</si>
  <si>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</si>
  <si>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</si>
  <si>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</si>
  <si>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</si>
  <si>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</si>
  <si>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</si>
  <si>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</si>
  <si>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</si>
  <si>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</si>
  <si>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</si>
  <si>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</si>
  <si>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</si>
  <si>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</si>
  <si>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</si>
  <si>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</si>
  <si>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</si>
  <si>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</si>
  <si>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</si>
  <si>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</si>
  <si>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</si>
  <si>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</si>
  <si>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</si>
  <si>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</si>
  <si>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</si>
  <si>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</si>
  <si>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</si>
  <si>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</si>
  <si>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</si>
  <si>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</si>
  <si>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</si>
  <si>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</si>
  <si>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</si>
  <si>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</si>
  <si>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</si>
  <si>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</si>
  <si>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</si>
  <si>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</si>
  <si>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</si>
  <si>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</si>
  <si>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</si>
  <si>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</si>
  <si>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</si>
  <si>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</si>
  <si>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</si>
  <si>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</si>
  <si>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</si>
  <si>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</si>
  <si>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</si>
  <si>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</si>
  <si>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</si>
  <si>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</si>
  <si>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</si>
  <si>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</si>
  <si>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</si>
  <si>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</si>
  <si>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</si>
  <si>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</si>
  <si>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</si>
  <si>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</si>
  <si>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</si>
  <si>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</si>
  <si>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</si>
  <si>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</si>
  <si>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</si>
  <si>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</si>
  <si>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</si>
  <si>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</si>
  <si>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</si>
  <si>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</si>
  <si>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</si>
  <si>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</si>
  <si>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</si>
  <si>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</si>
  <si>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</si>
  <si>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</si>
  <si>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</si>
  <si>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</si>
  <si>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</si>
  <si>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</si>
  <si>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</si>
  <si>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</si>
  <si>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</si>
  <si>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</si>
  <si>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</si>
  <si>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</si>
  <si>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</si>
  <si>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</si>
  <si>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</si>
  <si>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</si>
  <si>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</si>
  <si>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</si>
  <si>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</si>
  <si>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</si>
  <si>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</si>
  <si>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</si>
  <si>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</si>
  <si>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</si>
  <si>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</si>
  <si>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</si>
  <si>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</si>
  <si>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</si>
  <si>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</si>
  <si>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</si>
  <si>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</si>
  <si>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</si>
  <si>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</si>
  <si>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</si>
  <si>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</si>
  <si>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</si>
  <si>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</si>
  <si>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</si>
  <si>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</si>
  <si>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</si>
  <si>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</si>
  <si>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</si>
  <si>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</si>
  <si>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</si>
  <si>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</si>
  <si>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</si>
  <si>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</si>
  <si>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</si>
  <si>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</si>
  <si>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</si>
  <si>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</si>
  <si>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</si>
  <si>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</si>
  <si>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</si>
  <si>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</si>
  <si>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S26 FE 256GB</t>
  </si>
  <si>
    <t>SAMSUNG GALAXY S26 FE 256GB-GRAFITE</t>
  </si>
  <si>
    <t>SAMSUNG GALAXY S26 FE 256GB-GRAFITE AM</t>
  </si>
  <si>
    <t>SAMSUNG GALAXY S26 FE 256GB-VERDE CL</t>
  </si>
  <si>
    <t>SAMSUNG GALAXY S26 FE 256GB-VERDE CL AM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</si>
  <si>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</si>
  <si>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</si>
  <si>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</si>
  <si>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</si>
  <si>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</si>
  <si>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</si>
  <si>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</si>
  <si>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</si>
  <si>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</si>
  <si>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FLIP8 5G 256GB</t>
  </si>
  <si>
    <t>SAMSUNG GALAXY Z FLIP8 5G 256GB-PRETO</t>
  </si>
  <si>
    <t>SAMSUNG GALAXY Z FLIP8 5G 256GB-ROSA</t>
  </si>
  <si>
    <t>SAMSUNG GALAXY Z FLIP8 5G 512GB</t>
  </si>
  <si>
    <t>SAMSUNG GALAXY Z FLIP8 5G 512GB-PRETO</t>
  </si>
  <si>
    <t>SAMSUNG GALAXY Z FLIP8 5G 512GB-ROSA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</si>
  <si>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</si>
  <si>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</si>
  <si>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</si>
  <si>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</si>
  <si>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</si>
  <si>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</si>
  <si>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SAMSUNG GALAXY Z FOLD8 256GB</t>
  </si>
  <si>
    <t>SAMSUNG GALAXY Z FOLD8 256GB-LAVANDA</t>
  </si>
  <si>
    <t>SAMSUNG GALAXY Z FOLD8 256GB-PRETO</t>
  </si>
  <si>
    <t>SAMSUNG GALAXY Z FOLD8 512GB</t>
  </si>
  <si>
    <t>SAMSUNG GALAXY Z FOLD8 512GB-LAVANDA</t>
  </si>
  <si>
    <t>SAMSUNG GALAXY Z FOLD8 512GB-PRETO</t>
  </si>
  <si>
    <t>SAMSUNG GALAXY Z FOLD8 ULTRA 256GB</t>
  </si>
  <si>
    <t>SAMSUNG GALAXY Z FOLD8 ULTRA 256GB-PRETO</t>
  </si>
  <si>
    <t>SAMSUNG GALAXY Z FOLD8 ULTRA 256GB-ROXO</t>
  </si>
  <si>
    <t>SAMSUNG GALAXY Z FOLD8 ULTRA 512GB</t>
  </si>
  <si>
    <t>SAMSUNG GALAXY Z FOLD8 ULTRA 512GB-PRETO</t>
  </si>
  <si>
    <t>SAMSUNG GALAXY Z FOLD8 ULTRA 512GB-ROXO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</si>
  <si>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</si>
  <si>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</si>
  <si>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</si>
  <si>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</si>
  <si>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</si>
  <si>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</si>
  <si>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</si>
  <si>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</si>
  <si>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</si>
  <si>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</si>
  <si>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</si>
  <si>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</si>
  <si>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</si>
  <si>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</si>
  <si>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</si>
  <si>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</si>
  <si>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</si>
  <si>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</si>
  <si>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</si>
  <si>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</si>
  <si>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</si>
  <si>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</si>
  <si>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</si>
  <si>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</si>
  <si>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</si>
  <si>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CAIXA DE SOM</t>
  </si>
  <si>
    <t>CAIXA DE SOM AIWA BOOMBOX PLUS</t>
  </si>
  <si>
    <t>CAIXA DE SOM AIWA BOOMBOX PLUS-PRETO AM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</si>
  <si>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</si>
  <si>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</si>
  <si>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</si>
  <si>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</si>
  <si>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</si>
  <si>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</si>
  <si>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</si>
  <si>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</si>
  <si>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</si>
  <si>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</si>
  <si>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</si>
  <si>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</si>
  <si>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</si>
  <si>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</si>
  <si>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</si>
  <si>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</si>
  <si>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</si>
  <si>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</si>
  <si>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 JBL BOOMBOX 4</t>
  </si>
  <si>
    <t>CAIXA DE SOM JBL BOOMBOX 4-PRETO</t>
  </si>
  <si>
    <t>CAIXA DE SOM JBL BOOMBOX 4-PRETO AM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</si>
  <si>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</si>
  <si>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</si>
  <si>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</si>
  <si>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</si>
  <si>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</si>
  <si>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2 2MIC</t>
  </si>
  <si>
    <t>CAIXA DE SOM JBL ENCORE 2 2MIC-PRETO AM</t>
  </si>
  <si>
    <t>CAIXA JBL ENCORE ESSENTIAL 2</t>
  </si>
  <si>
    <t>CAIXA JBL ENCORE ESSENTIAL 2-PRETO AM</t>
  </si>
  <si>
    <t>CAIXA DE SOM JBL ENCORE ESSENTIAL 2</t>
  </si>
  <si>
    <t>CAIXA DE SOM JBL ENCORE ESSENTIAL 2-PRET</t>
  </si>
  <si>
    <t>CAIXA DE SOM JBL GO ESSENTIAL 2</t>
  </si>
  <si>
    <t>CAIXA DE SOM JBL GO ESSENTIAL 2-PRETO</t>
  </si>
  <si>
    <t>CAIXA DE SOM JBL GRIP 16W</t>
  </si>
  <si>
    <t>CAIXA DE SOM JBL GRIP 16W-PRETO</t>
  </si>
  <si>
    <t>CAIXA JBL PARTYBOX 130 CLUB</t>
  </si>
  <si>
    <t>CAIXA JBL PARTYBOX 130 CLUB-PRETO AM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</si>
  <si>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</si>
  <si>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</si>
  <si>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</si>
  <si>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</si>
  <si>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</si>
  <si>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</si>
  <si>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</si>
  <si>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</si>
  <si>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</si>
  <si>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</si>
  <si>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</si>
  <si>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</si>
  <si>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</si>
  <si>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</si>
  <si>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</si>
  <si>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</si>
  <si>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</si>
  <si>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</si>
  <si>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</si>
  <si>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</si>
  <si>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</si>
  <si>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</si>
  <si>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</si>
  <si>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</si>
  <si>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</si>
  <si>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</si>
  <si>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</si>
  <si>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</si>
  <si>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</si>
  <si>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</si>
  <si>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</si>
  <si>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</si>
  <si>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</si>
  <si>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</si>
  <si>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</si>
  <si>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</si>
  <si>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</si>
  <si>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</si>
  <si>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</si>
  <si>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</si>
  <si>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</si>
  <si>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</si>
  <si>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</si>
  <si>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COM FIO GEONAV USB-C</t>
  </si>
  <si>
    <t xml:space="preserve">FONE COM FIO GEONAV USB-C-CINZA 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</si>
  <si>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</si>
  <si>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</si>
  <si>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</si>
  <si>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</si>
  <si>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</si>
  <si>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</si>
  <si>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</si>
  <si>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</si>
  <si>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</si>
  <si>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</si>
  <si>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</si>
  <si>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</si>
  <si>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</si>
  <si>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</si>
  <si>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</si>
  <si>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</si>
  <si>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</si>
  <si>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</si>
  <si>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</si>
  <si>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</si>
  <si>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</si>
  <si>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</si>
  <si>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</si>
  <si>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</si>
  <si>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</si>
  <si>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</si>
  <si>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</si>
  <si>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</si>
  <si>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</si>
  <si>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</si>
  <si>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</si>
  <si>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</si>
  <si>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</si>
  <si>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</si>
  <si>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</si>
  <si>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</si>
  <si>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</si>
  <si>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</si>
  <si>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</si>
  <si>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</si>
  <si>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</si>
  <si>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</si>
  <si>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</si>
  <si>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</si>
  <si>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</si>
  <si>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</si>
  <si>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</si>
  <si>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</si>
  <si>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JBL QUANTUM 120</t>
  </si>
  <si>
    <t>HEADSET JBL QUANTUM 120-PRETO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</si>
  <si>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</si>
  <si>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</si>
  <si>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</si>
  <si>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</si>
  <si>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</si>
  <si>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</si>
  <si>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</si>
  <si>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</si>
  <si>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</si>
  <si>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CAPA</t>
  </si>
  <si>
    <t>KIT PROTECAO DEVIA IPHONE 18 PRO</t>
  </si>
  <si>
    <t>KIT PROTECAO DEVIA IPHONE 18 PRO-TRANSP</t>
  </si>
  <si>
    <t>KIT PROTECAO DEVIA IPHONE 18 PRO MAX</t>
  </si>
  <si>
    <t>KIT PROTECAO DEVIA IPHONE 18 PRO MAX-TRA</t>
  </si>
  <si>
    <t>LUMINARIA INTELIGENTE GEONAV</t>
  </si>
  <si>
    <t>LUMINARIA INTELIGENTE GEONAV-BRANCO</t>
  </si>
  <si>
    <t>MASSAGEADOR SHIATSU RELAXMEDIC</t>
  </si>
  <si>
    <t>MASSAGEADOR SHIATSU RELAXMEDIC-PRETO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</si>
  <si>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</si>
  <si>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</si>
  <si>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</si>
  <si>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</si>
  <si>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</si>
  <si>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</si>
  <si>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</si>
  <si>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</si>
  <si>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</si>
  <si>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</si>
  <si>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</si>
  <si>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</si>
  <si>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</si>
  <si>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</si>
  <si>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</si>
  <si>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</si>
  <si>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</si>
  <si>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</si>
  <si>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</si>
  <si>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</si>
  <si>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</si>
  <si>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</si>
  <si>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</si>
  <si>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ROBO ASPIRADOR WIFI POSITIVO</t>
  </si>
  <si>
    <t>ROBO ASPIRADOR WIFI POSITIVO-BRANCO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</si>
  <si>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</si>
  <si>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</si>
  <si>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</si>
  <si>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</si>
  <si>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</si>
  <si>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</si>
  <si>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TRACKER SAMSUNG GALAXY SMARTTAG 2</t>
  </si>
  <si>
    <t>TRACKER SAMSUNG GALAXY SMARTTAG 2-PRETO</t>
  </si>
  <si>
    <t>SAMSUNG GALAXY SMARTTAG 2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</si>
  <si>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</si>
  <si>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</si>
  <si>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</si>
  <si>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</si>
  <si>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</si>
  <si>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</si>
  <si>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</si>
  <si>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</si>
  <si>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</si>
  <si>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</si>
  <si>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</si>
  <si>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</si>
  <si>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SAMSUNG WATCH 9 BT 40MM</t>
  </si>
  <si>
    <t>SAMSUNG WATCH 9 BT 44MM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</si>
  <si>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</si>
  <si>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</si>
  <si>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</si>
  <si>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</si>
  <si>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</si>
  <si>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</si>
  <si>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</si>
  <si>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</si>
  <si>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</si>
  <si>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</si>
  <si>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TV SAMSUNG 50 MINI LED 4K UN50M75H</t>
  </si>
  <si>
    <t>TV SAMSUNG 50 MINI LED 4K UN50M75H-PRETO</t>
  </si>
  <si>
    <t>TV SAMSUNG 65 MINI LED 4K UN65M75H</t>
  </si>
  <si>
    <t>TV SAMSUNG 65 MINI LED 4K UN65M75H-PRETO</t>
  </si>
  <si>
    <t>ROTEADOR CPE 5G ZTE G5TS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</si>
  <si>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</si>
  <si>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</si>
  <si>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</si>
  <si>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</si>
  <si>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</si>
  <si>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</si>
  <si>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</si>
  <si>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</si>
  <si>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</si>
  <si>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</si>
  <si>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</si>
  <si>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</si>
  <si>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</si>
  <si>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</si>
  <si>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</si>
  <si>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</si>
  <si>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</si>
  <si>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</si>
  <si>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</si>
  <si>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</si>
  <si>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</si>
  <si>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</si>
  <si>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</si>
  <si>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089</t>
  </si>
  <si>
    <t>FONE TWS GALAXY BUDS 3 CORE</t>
  </si>
  <si>
    <t>FONE TWS GALAXY BUDS 3 CORE-PRETO</t>
  </si>
  <si>
    <t>FONE TWS GALAXY BUDS 3 CORE-BRANCO</t>
  </si>
  <si>
    <t>SAMSUNG GALAXY FIT3 2025-PRATA</t>
  </si>
  <si>
    <t>SAMSUNG WATCH 9 BT 40MM-PRETO</t>
  </si>
  <si>
    <t>SAMSUNG WATCH 9 BT 44MM-PRETO</t>
  </si>
  <si>
    <t>065</t>
  </si>
  <si>
    <t>090</t>
  </si>
  <si>
    <t>067</t>
  </si>
  <si>
    <t>091</t>
  </si>
  <si>
    <t>068</t>
  </si>
  <si>
    <t>092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</si>
  <si>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</si>
  <si>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</si>
  <si>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</si>
  <si>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</si>
  <si>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</si>
  <si>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</si>
  <si>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</si>
  <si>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</si>
  <si>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18.08.2026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</si>
  <si>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</si>
  <si>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</si>
  <si>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</si>
  <si>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</si>
  <si>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</si>
  <si>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</si>
  <si>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</si>
  <si>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</si>
  <si>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</si>
  <si>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</si>
  <si>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</si>
  <si>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</si>
  <si>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</si>
  <si>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</si>
  <si>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</si>
  <si>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</si>
  <si>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</si>
  <si>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</si>
  <si>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</si>
  <si>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</si>
  <si>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</si>
  <si>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</si>
  <si>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</si>
  <si>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</si>
  <si>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</si>
  <si>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</si>
  <si>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</si>
  <si>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</si>
  <si>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</si>
  <si>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</si>
  <si>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</si>
  <si>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</si>
  <si>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</si>
  <si>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</si>
  <si>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</si>
  <si>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</si>
  <si>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</si>
  <si>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</si>
  <si>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</si>
  <si>
    <t>093</t>
  </si>
  <si>
    <t>DATA 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</si>
</sst>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28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49" fontId="7" fillId="10" borderId="14" xfId="3" applyNumberFormat="1" applyFont="1" applyFill="1" applyBorder="1"/>
    <xf numFmtId="3" fontId="7" fillId="10" borderId="12" xfId="3" applyNumberFormat="1" applyFont="1" applyFill="1" applyBorder="1" applyAlignment="1">
      <alignment horizontal="center"/>
    </xf>
    <xf numFmtId="3" fontId="7" fillId="10" borderId="13" xfId="3" applyNumberFormat="1" applyFont="1" applyFill="1" applyBorder="1" applyAlignment="1">
      <alignment horizontal="center"/>
    </xf>
    <xf numFmtId="43" fontId="0" fillId="0" borderId="12" xfId="1" applyFont="1" applyFill="1" applyBorder="1"/>
    <xf numFmtId="43" fontId="0" fillId="0" borderId="17" xfId="1" applyFont="1" applyFill="1" applyBorder="1"/>
    <xf numFmtId="0" fontId="17" fillId="0" borderId="12" xfId="3" applyFont="1" applyBorder="1" applyAlignment="1">
      <alignment vertical="center"/>
    </xf>
    <xf numFmtId="0" fontId="7" fillId="0" borderId="14" xfId="3" applyFont="1" applyBorder="1"/>
    <xf numFmtId="0" fontId="7" fillId="10" borderId="14" xfId="3" applyFont="1" applyFill="1" applyBorder="1"/>
    <xf numFmtId="49" fontId="7" fillId="0" borderId="18" xfId="3" applyNumberFormat="1" applyFont="1" applyBorder="1"/>
    <xf numFmtId="49" fontId="7" fillId="10" borderId="18" xfId="3" applyNumberFormat="1" applyFont="1" applyFill="1" applyBorder="1"/>
    <xf numFmtId="0" fontId="7" fillId="17" borderId="13" xfId="3" applyFont="1" applyFill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7" fillId="0" borderId="20" xfId="3" applyFont="1" applyBorder="1"/>
    <xf numFmtId="0" fontId="7" fillId="0" borderId="21" xfId="3" applyFont="1" applyBorder="1"/>
    <xf numFmtId="3" fontId="7" fillId="0" borderId="20" xfId="3" applyNumberFormat="1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43" fontId="0" fillId="0" borderId="20" xfId="1" applyFont="1" applyBorder="1"/>
    <xf numFmtId="43" fontId="0" fillId="0" borderId="23" xfId="1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0" xfId="3" applyFont="1" applyBorder="1" applyAlignment="1">
      <alignment vertical="center"/>
    </xf>
    <xf numFmtId="0" fontId="21" fillId="0" borderId="20" xfId="3" applyFont="1" applyBorder="1" applyAlignment="1">
      <alignment horizontal="center" vertical="center"/>
    </xf>
    <xf numFmtId="49" fontId="7" fillId="0" borderId="21" xfId="3" applyNumberFormat="1" applyFont="1" applyBorder="1"/>
    <xf numFmtId="0" fontId="22" fillId="0" borderId="25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3" xfId="3" applyFont="1" applyBorder="1"/>
    <xf numFmtId="3" fontId="7" fillId="0" borderId="20" xfId="1" applyNumberFormat="1" applyFont="1" applyFill="1" applyBorder="1" applyAlignment="1">
      <alignment horizontal="center"/>
    </xf>
    <xf numFmtId="43" fontId="7" fillId="0" borderId="20" xfId="1" applyFont="1" applyFill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8" borderId="0" xfId="0" applyFill="1"/>
    <xf numFmtId="0" fontId="0" fillId="10" borderId="0" xfId="0" applyFill="1"/>
    <xf numFmtId="0" fontId="18" fillId="0" borderId="5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8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9" xfId="0" applyFont="1" applyBorder="1"/>
    <xf numFmtId="0" fontId="7" fillId="0" borderId="29" xfId="0" applyFont="1" applyBorder="1" applyAlignment="1">
      <alignment horizontal="right" vertical="center"/>
    </xf>
    <xf numFmtId="0" fontId="7" fillId="0" borderId="29" xfId="0" applyFont="1" applyBorder="1" applyAlignment="1">
      <alignment horizontal="left" vertical="center"/>
    </xf>
    <xf numFmtId="164" fontId="23" fillId="0" borderId="29" xfId="1" applyNumberFormat="1" applyFont="1" applyFill="1" applyBorder="1" applyAlignment="1">
      <alignment horizontal="center" vertical="center"/>
    </xf>
    <xf numFmtId="164" fontId="7" fillId="0" borderId="29" xfId="1" applyNumberFormat="1" applyFont="1" applyFill="1" applyBorder="1" applyAlignment="1">
      <alignment vertical="center"/>
    </xf>
    <xf numFmtId="164" fontId="7" fillId="0" borderId="29" xfId="1" applyNumberFormat="1" applyFont="1" applyFill="1" applyBorder="1" applyAlignment="1">
      <alignment horizontal="center" vertical="center"/>
    </xf>
    <xf numFmtId="14" fontId="7" fillId="0" borderId="29" xfId="3" applyNumberFormat="1" applyFont="1" applyBorder="1"/>
    <xf numFmtId="0" fontId="22" fillId="0" borderId="29" xfId="0" applyFont="1" applyBorder="1" applyAlignment="1">
      <alignment horizontal="left" vertical="center"/>
    </xf>
    <xf numFmtId="0" fontId="7" fillId="0" borderId="29" xfId="0" applyFont="1" applyBorder="1"/>
    <xf numFmtId="164" fontId="22" fillId="0" borderId="29" xfId="1" applyNumberFormat="1" applyFont="1" applyFill="1" applyBorder="1"/>
    <xf numFmtId="0" fontId="7" fillId="10" borderId="29" xfId="0" applyFont="1" applyFill="1" applyBorder="1"/>
    <xf numFmtId="164" fontId="22" fillId="10" borderId="4" xfId="1" applyNumberFormat="1" applyFont="1" applyFill="1" applyBorder="1"/>
    <xf numFmtId="164" fontId="22" fillId="19" borderId="4" xfId="1" applyNumberFormat="1" applyFont="1" applyFill="1" applyBorder="1"/>
    <xf numFmtId="164" fontId="7" fillId="10" borderId="4" xfId="1" applyNumberFormat="1" applyFont="1" applyFill="1" applyBorder="1"/>
    <xf numFmtId="0" fontId="22" fillId="10" borderId="29" xfId="0" applyFont="1" applyFill="1" applyBorder="1"/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22" fillId="10" borderId="4" xfId="0" applyFont="1" applyFill="1" applyBorder="1"/>
    <xf numFmtId="0" fontId="7" fillId="10" borderId="4" xfId="0" applyFont="1" applyFill="1" applyBorder="1" applyAlignment="1">
      <alignment horizontal="left" vertical="center"/>
    </xf>
    <xf numFmtId="164" fontId="23" fillId="1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4" fontId="22" fillId="0" borderId="0" xfId="1" applyNumberFormat="1" applyFont="1" applyFill="1" applyBorder="1"/>
    <xf numFmtId="0" fontId="22" fillId="19" borderId="4" xfId="0" applyFont="1" applyFill="1" applyBorder="1"/>
    <xf numFmtId="164" fontId="7" fillId="0" borderId="4" xfId="1" applyNumberFormat="1" applyFont="1" applyFill="1" applyBorder="1"/>
    <xf numFmtId="164" fontId="7" fillId="0" borderId="29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9" borderId="4" xfId="0" applyFont="1" applyFill="1" applyBorder="1" applyAlignment="1">
      <alignment horizontal="left" vertical="center"/>
    </xf>
    <xf numFmtId="164" fontId="7" fillId="10" borderId="29" xfId="1" applyNumberFormat="1" applyFont="1" applyFill="1" applyBorder="1" applyAlignment="1">
      <alignment vertical="center"/>
    </xf>
    <xf numFmtId="164" fontId="22" fillId="10" borderId="29" xfId="1" applyNumberFormat="1" applyFont="1" applyFill="1" applyBorder="1"/>
    <xf numFmtId="3" fontId="7" fillId="0" borderId="4" xfId="3" applyNumberFormat="1" applyFont="1" applyBorder="1" applyAlignment="1">
      <alignment horizontal="right"/>
    </xf>
    <xf numFmtId="164" fontId="7" fillId="10" borderId="4" xfId="1" applyNumberFormat="1" applyFont="1" applyFill="1" applyBorder="1" applyAlignment="1">
      <alignment vertical="center"/>
    </xf>
    <xf numFmtId="164" fontId="7" fillId="10" borderId="29" xfId="1" applyNumberFormat="1" applyFont="1" applyFill="1" applyBorder="1" applyAlignment="1">
      <alignment horizontal="center" vertical="center"/>
    </xf>
    <xf numFmtId="164" fontId="7" fillId="10" borderId="4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164" fontId="7" fillId="18" borderId="4" xfId="1" applyNumberFormat="1" applyFont="1" applyFill="1" applyBorder="1" applyAlignment="1">
      <alignment vertical="center"/>
    </xf>
    <xf numFmtId="164" fontId="7" fillId="18" borderId="29" xfId="1" applyNumberFormat="1" applyFont="1" applyFill="1" applyBorder="1" applyAlignment="1">
      <alignment vertical="center"/>
    </xf>
    <xf numFmtId="164" fontId="22" fillId="18" borderId="4" xfId="1" applyNumberFormat="1" applyFont="1" applyFill="1" applyBorder="1"/>
    <xf numFmtId="164" fontId="6" fillId="0" borderId="0" xfId="1" applyNumberFormat="1" applyFont="1" applyFill="1" applyBorder="1" applyAlignment="1">
      <alignment horizontal="center" vertical="center"/>
    </xf>
    <xf numFmtId="164" fontId="7" fillId="18" borderId="4" xfId="1" applyNumberFormat="1" applyFont="1" applyFill="1" applyBorder="1"/>
    <xf numFmtId="0" fontId="22" fillId="20" borderId="4" xfId="0" applyFont="1" applyFill="1" applyBorder="1"/>
    <xf numFmtId="0" fontId="0" fillId="0" borderId="4" xfId="0" applyBorder="1"/>
    <xf numFmtId="49" fontId="20" fillId="11" borderId="30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3" fontId="7" fillId="0" borderId="31" xfId="3" applyNumberFormat="1" applyFont="1" applyBorder="1" applyAlignment="1">
      <alignment horizontal="center"/>
    </xf>
    <xf numFmtId="0" fontId="18" fillId="0" borderId="20" xfId="3" applyFont="1" applyBorder="1" applyAlignment="1">
      <alignment vertical="center"/>
    </xf>
    <xf numFmtId="14" fontId="7" fillId="0" borderId="20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13" xfId="0" applyFont="1" applyBorder="1" applyAlignment="1">
      <alignment horizontal="center"/>
    </xf>
    <xf numFmtId="3" fontId="7" fillId="0" borderId="21" xfId="3" applyNumberFormat="1" applyFont="1" applyBorder="1" applyAlignment="1">
      <alignment horizontal="right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2" xfId="0" applyBorder="1"/>
    <xf numFmtId="0" fontId="7" fillId="18" borderId="4" xfId="0" applyFont="1" applyFill="1" applyBorder="1" applyAlignment="1">
      <alignment horizontal="left" vertical="center"/>
    </xf>
    <xf numFmtId="164" fontId="7" fillId="18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9" xfId="0" applyBorder="1"/>
    <xf numFmtId="14" fontId="7" fillId="0" borderId="4" xfId="3" applyNumberFormat="1" applyFont="1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4" fillId="22" borderId="29" xfId="0" applyFont="1" applyFill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14" fontId="4" fillId="22" borderId="29" xfId="0" applyNumberFormat="1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49" fontId="10" fillId="18" borderId="4" xfId="0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49" fontId="10" fillId="0" borderId="4" xfId="0" applyNumberFormat="1" applyFont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0" fontId="10" fillId="10" borderId="4" xfId="0" applyFont="1" applyFill="1" applyBorder="1" applyAlignment="1">
      <alignment horizontal="center"/>
    </xf>
    <xf numFmtId="0" fontId="10" fillId="10" borderId="4" xfId="0" applyFont="1" applyFill="1" applyBorder="1"/>
    <xf numFmtId="43" fontId="0" fillId="1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43" fontId="10" fillId="1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35" fillId="10" borderId="0" xfId="0" applyFont="1" applyFill="1" applyAlignment="1">
      <alignment vertical="center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5" xfId="0" applyFont="1" applyBorder="1" applyAlignment="1">
      <alignment vertical="center"/>
    </xf>
    <xf numFmtId="0" fontId="37" fillId="0" borderId="36" xfId="0" applyFont="1" applyBorder="1" applyAlignment="1">
      <alignment horizontal="center" vertical="center"/>
    </xf>
    <xf numFmtId="0" fontId="25" fillId="20" borderId="0" xfId="0" applyFont="1" applyFill="1"/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  <xf numFmtId="0" fontId="10" fillId="18" borderId="4" xfId="0" applyFont="1" applyFill="1" applyBorder="1" applyAlignment="1">
      <alignment horizontal="center"/>
    </xf>
    <xf numFmtId="0" fontId="10" fillId="18" borderId="4" xfId="0" applyFont="1" applyFill="1" applyBorder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/>
    </xf>
    <xf numFmtId="0" fontId="2" fillId="21" borderId="0" xfId="0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7" fillId="0" borderId="0" xfId="0" applyFont="1" applyAlignment="1">
      <alignment vertical="center" wrapText="1"/>
    </xf>
    <xf numFmtId="0" fontId="27" fillId="0" borderId="0" xfId="0" applyFont="1"/>
    <xf numFmtId="0" fontId="28" fillId="23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_Preços Setembro XXX.09.2008 2 2" xfId="3" xr:uid="{44A67ADD-3D54-4162-A937-D1E0F15FED56}"/>
    <cellStyle name="Percent" xfId="2" builtinId="5"/>
  </cellStyles>
  <dxfs count="63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 val="0"/>
        <i val="0"/>
        <condense val="0"/>
        <extend val="0"/>
        <color auto="1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color theme="0" tint="-4.9989318521683403E-2"/>
      </font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CA826E-B0C2-4AB5-B4B6-E6798F3F32D6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81E31908-C2F2-42BA-8FDE-10E33611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1919FF4B-8013-4D01-90A0-1DD082EC279B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67F98F56-4961-4911-B7FD-771AB0350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05B0EC7-CD70-4783-AC4F-38B5EBC19B5A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0FF2D75-D7A6-4B8B-890C-B8D3AE2BA6EA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E5E3-AC4C-4DF4-8E48-3CB9D5287D00}">
  <dimension ref="A1:BA515"/>
  <sheetViews>
    <sheetView showGridLines="0" tabSelected="1" zoomScale="80" zoomScaleNormal="80" workbookViewId="0">
      <pane xSplit="4" ySplit="12" topLeftCell="E477" activePane="bottomRight" state="frozen"/>
      <selection activeCell="D483" sqref="D483"/>
      <selection pane="topRight" activeCell="D483" sqref="D483"/>
      <selection pane="bottomLeft" activeCell="D483" sqref="D483"/>
      <selection pane="bottomRight" activeCell="D480" sqref="D480"/>
    </sheetView>
  </sheetViews>
  <sheetFormatPr defaultColWidth="9.1796875" defaultRowHeight="14.5"/>
  <cols>
    <col min="1" max="1" width="16.1796875" customWidth="1"/>
    <col min="2" max="2" width="15.36328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46325</v>
      </c>
      <c r="H11" s="208"/>
      <c r="I11" s="208"/>
      <c r="J11" s="209" t="s">
        <v>8</v>
      </c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1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3" t="s">
        <v>9</v>
      </c>
      <c r="AN11" s="214"/>
      <c r="AO11" s="214"/>
      <c r="AP11" s="215" t="s">
        <v>10</v>
      </c>
      <c r="AQ11" s="216"/>
      <c r="AR11" s="216"/>
      <c r="AS11" s="216"/>
      <c r="AT11" s="216"/>
      <c r="AU11" s="217"/>
      <c r="AV11" s="22"/>
      <c r="AY11" s="23">
        <v>2.0199999999999999E-2</v>
      </c>
      <c r="AZ11" s="23">
        <v>1.8200000000000001E-2</v>
      </c>
      <c r="BA11" s="23">
        <v>1.03E-2</v>
      </c>
    </row>
    <row r="12" spans="1:53" ht="78" thickBot="1">
      <c r="A12" s="24" t="s">
        <v>11</v>
      </c>
      <c r="B12" s="24" t="s">
        <v>12</v>
      </c>
      <c r="C12" s="24" t="s">
        <v>13</v>
      </c>
      <c r="D12" s="24" t="s">
        <v>14</v>
      </c>
      <c r="E12" s="25" t="s">
        <v>15</v>
      </c>
      <c r="F12" s="26" t="s">
        <v>16</v>
      </c>
      <c r="G12" s="27" t="s">
        <v>17</v>
      </c>
      <c r="H12" s="28" t="s">
        <v>18</v>
      </c>
      <c r="I12" s="29" t="s">
        <v>19</v>
      </c>
      <c r="J12" s="30" t="s">
        <v>20</v>
      </c>
      <c r="K12" s="30" t="s">
        <v>21</v>
      </c>
      <c r="L12" s="30" t="s">
        <v>22</v>
      </c>
      <c r="M12" s="30" t="s">
        <v>23</v>
      </c>
      <c r="N12" s="30" t="s">
        <v>24</v>
      </c>
      <c r="O12" s="31" t="s">
        <v>25</v>
      </c>
      <c r="P12" s="31" t="s">
        <v>26</v>
      </c>
      <c r="Q12" s="31" t="s">
        <v>27</v>
      </c>
      <c r="R12" s="31" t="s">
        <v>28</v>
      </c>
      <c r="S12" s="31" t="s">
        <v>29</v>
      </c>
      <c r="T12" s="31" t="s">
        <v>30</v>
      </c>
      <c r="U12" s="31" t="s">
        <v>31</v>
      </c>
      <c r="V12" s="32" t="s">
        <v>32</v>
      </c>
      <c r="W12" s="32" t="s">
        <v>33</v>
      </c>
      <c r="X12" s="32" t="s">
        <v>34</v>
      </c>
      <c r="Y12" s="32" t="s">
        <v>35</v>
      </c>
      <c r="Z12" s="32" t="s">
        <v>36</v>
      </c>
      <c r="AA12" s="32" t="s">
        <v>37</v>
      </c>
      <c r="AB12" s="33" t="s">
        <v>38</v>
      </c>
      <c r="AC12" s="33" t="s">
        <v>39</v>
      </c>
      <c r="AD12" s="33" t="s">
        <v>40</v>
      </c>
      <c r="AE12" s="33" t="s">
        <v>41</v>
      </c>
      <c r="AF12" s="33" t="s">
        <v>42</v>
      </c>
      <c r="AG12" s="33" t="s">
        <v>43</v>
      </c>
      <c r="AH12" s="33" t="s">
        <v>44</v>
      </c>
      <c r="AI12" s="33" t="s">
        <v>45</v>
      </c>
      <c r="AJ12" s="33" t="s">
        <v>46</v>
      </c>
      <c r="AK12" s="33" t="s">
        <v>47</v>
      </c>
      <c r="AL12" s="33" t="s">
        <v>48</v>
      </c>
      <c r="AM12" s="34" t="s">
        <v>49</v>
      </c>
      <c r="AN12" s="34" t="s">
        <v>50</v>
      </c>
      <c r="AO12" s="35" t="s">
        <v>51</v>
      </c>
      <c r="AP12" s="36" t="s">
        <v>52</v>
      </c>
      <c r="AQ12" s="36" t="s">
        <v>53</v>
      </c>
      <c r="AR12" s="36" t="s">
        <v>54</v>
      </c>
      <c r="AS12" s="36" t="s">
        <v>55</v>
      </c>
      <c r="AT12" s="36" t="s">
        <v>56</v>
      </c>
      <c r="AU12" s="36" t="s">
        <v>57</v>
      </c>
      <c r="AV12" s="37"/>
      <c r="AW12" s="38" t="s">
        <v>58</v>
      </c>
      <c r="AX12" s="39" t="s">
        <v>59</v>
      </c>
      <c r="AY12" s="40" t="s">
        <v>60</v>
      </c>
      <c r="AZ12" s="40" t="s">
        <v>61</v>
      </c>
      <c r="BA12" s="40" t="s">
        <v>62</v>
      </c>
    </row>
    <row r="13" spans="1:53" ht="22.5" customHeight="1">
      <c r="A13" s="41" t="s">
        <v>63</v>
      </c>
      <c r="B13" s="42" t="s">
        <v>64</v>
      </c>
      <c r="C13" s="43">
        <v>4014380</v>
      </c>
      <c r="D13" s="44" t="s">
        <v>65</v>
      </c>
      <c r="E13" s="44" t="s">
        <v>66</v>
      </c>
      <c r="F13" s="45">
        <v>6499</v>
      </c>
      <c r="G13" s="45">
        <v>2599</v>
      </c>
      <c r="H13" s="46">
        <v>999</v>
      </c>
      <c r="I13" s="46">
        <v>999</v>
      </c>
      <c r="J13" s="46">
        <v>999</v>
      </c>
      <c r="K13" s="46">
        <v>999</v>
      </c>
      <c r="L13" s="46">
        <v>999</v>
      </c>
      <c r="M13" s="46">
        <v>999</v>
      </c>
      <c r="N13" s="46">
        <v>999</v>
      </c>
      <c r="O13" s="46">
        <v>999</v>
      </c>
      <c r="P13" s="46">
        <v>999</v>
      </c>
      <c r="Q13" s="46">
        <v>999</v>
      </c>
      <c r="R13" s="46">
        <v>999</v>
      </c>
      <c r="S13" s="46">
        <v>999</v>
      </c>
      <c r="T13" s="46">
        <v>999</v>
      </c>
      <c r="U13" s="46">
        <v>999</v>
      </c>
      <c r="V13" s="46">
        <v>999</v>
      </c>
      <c r="W13" s="46">
        <v>999</v>
      </c>
      <c r="X13" s="46">
        <v>999</v>
      </c>
      <c r="Y13" s="46">
        <v>999</v>
      </c>
      <c r="Z13" s="46">
        <v>999</v>
      </c>
      <c r="AA13" s="46">
        <v>999</v>
      </c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7"/>
      <c r="AW13" s="48" t="s">
        <v>67</v>
      </c>
      <c r="AX13" s="49" t="s">
        <v>68</v>
      </c>
      <c r="AY13" s="50">
        <f>$H13*AY$11</f>
        <v>20.1798</v>
      </c>
      <c r="AZ13" s="50">
        <f>($H13*AZ$11)</f>
        <v>18.181800000000003</v>
      </c>
      <c r="BA13" s="50">
        <f>$H13*BA$11</f>
        <v>10.2897</v>
      </c>
    </row>
    <row r="14" spans="1:53" ht="22.5" customHeight="1">
      <c r="A14" s="41" t="s">
        <v>63</v>
      </c>
      <c r="B14" s="42" t="s">
        <v>64</v>
      </c>
      <c r="C14" s="43">
        <v>4014382</v>
      </c>
      <c r="D14" s="44" t="s">
        <v>65</v>
      </c>
      <c r="E14" s="44" t="s">
        <v>69</v>
      </c>
      <c r="F14" s="45">
        <v>6499</v>
      </c>
      <c r="G14" s="45">
        <v>2599</v>
      </c>
      <c r="H14" s="46">
        <v>999</v>
      </c>
      <c r="I14" s="46">
        <v>999</v>
      </c>
      <c r="J14" s="46">
        <v>999</v>
      </c>
      <c r="K14" s="46">
        <v>999</v>
      </c>
      <c r="L14" s="46">
        <v>999</v>
      </c>
      <c r="M14" s="46">
        <v>999</v>
      </c>
      <c r="N14" s="46">
        <v>999</v>
      </c>
      <c r="O14" s="46">
        <v>999</v>
      </c>
      <c r="P14" s="46">
        <v>999</v>
      </c>
      <c r="Q14" s="46">
        <v>999</v>
      </c>
      <c r="R14" s="46">
        <v>999</v>
      </c>
      <c r="S14" s="46">
        <v>999</v>
      </c>
      <c r="T14" s="46">
        <v>999</v>
      </c>
      <c r="U14" s="46">
        <v>999</v>
      </c>
      <c r="V14" s="46">
        <v>999</v>
      </c>
      <c r="W14" s="46">
        <v>999</v>
      </c>
      <c r="X14" s="46">
        <v>999</v>
      </c>
      <c r="Y14" s="46">
        <v>999</v>
      </c>
      <c r="Z14" s="46">
        <v>999</v>
      </c>
      <c r="AA14" s="46">
        <v>999</v>
      </c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7"/>
      <c r="AW14" s="48" t="s">
        <v>67</v>
      </c>
      <c r="AX14" s="49" t="s">
        <v>68</v>
      </c>
      <c r="AY14" s="50">
        <f t="shared" ref="AY14:AY77" si="0">$H14*AY$11</f>
        <v>20.1798</v>
      </c>
      <c r="AZ14" s="50">
        <f t="shared" ref="AZ14:AZ77" si="1">($H14*AZ$11)</f>
        <v>18.181800000000003</v>
      </c>
      <c r="BA14" s="50">
        <f t="shared" ref="BA14:BA77" si="2">$H14*BA$11</f>
        <v>10.2897</v>
      </c>
    </row>
    <row r="15" spans="1:53" ht="22.5" customHeight="1">
      <c r="A15" s="41" t="s">
        <v>63</v>
      </c>
      <c r="B15" s="42" t="s">
        <v>64</v>
      </c>
      <c r="C15" s="43">
        <v>4014391</v>
      </c>
      <c r="D15" s="44" t="s">
        <v>70</v>
      </c>
      <c r="E15" s="44" t="s">
        <v>71</v>
      </c>
      <c r="F15" s="45">
        <v>4499</v>
      </c>
      <c r="G15" s="45">
        <v>2299</v>
      </c>
      <c r="H15" s="46">
        <v>999</v>
      </c>
      <c r="I15" s="46">
        <v>999</v>
      </c>
      <c r="J15" s="46">
        <v>999</v>
      </c>
      <c r="K15" s="46">
        <v>999</v>
      </c>
      <c r="L15" s="46">
        <v>999</v>
      </c>
      <c r="M15" s="46">
        <v>999</v>
      </c>
      <c r="N15" s="46">
        <v>999</v>
      </c>
      <c r="O15" s="46">
        <v>999</v>
      </c>
      <c r="P15" s="46">
        <v>999</v>
      </c>
      <c r="Q15" s="46">
        <v>999</v>
      </c>
      <c r="R15" s="46">
        <v>999</v>
      </c>
      <c r="S15" s="46">
        <v>999</v>
      </c>
      <c r="T15" s="46">
        <v>999</v>
      </c>
      <c r="U15" s="46">
        <v>999</v>
      </c>
      <c r="V15" s="46">
        <v>999</v>
      </c>
      <c r="W15" s="46">
        <v>999</v>
      </c>
      <c r="X15" s="46">
        <v>999</v>
      </c>
      <c r="Y15" s="46">
        <v>999</v>
      </c>
      <c r="Z15" s="46">
        <v>999</v>
      </c>
      <c r="AA15" s="46">
        <v>999</v>
      </c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7"/>
      <c r="AW15" s="48" t="s">
        <v>67</v>
      </c>
      <c r="AX15" s="49" t="s">
        <v>68</v>
      </c>
      <c r="AY15" s="50">
        <f t="shared" si="0"/>
        <v>20.1798</v>
      </c>
      <c r="AZ15" s="50">
        <f t="shared" si="1"/>
        <v>18.181800000000003</v>
      </c>
      <c r="BA15" s="51">
        <f t="shared" si="2"/>
        <v>10.2897</v>
      </c>
    </row>
    <row r="16" spans="1:53" ht="22.5" customHeight="1">
      <c r="A16" s="41" t="s">
        <v>63</v>
      </c>
      <c r="B16" s="42" t="s">
        <v>64</v>
      </c>
      <c r="C16" s="43">
        <v>4014723</v>
      </c>
      <c r="D16" s="44" t="s">
        <v>72</v>
      </c>
      <c r="E16" s="44" t="s">
        <v>73</v>
      </c>
      <c r="F16" s="45">
        <v>6099</v>
      </c>
      <c r="G16" s="45">
        <v>3199</v>
      </c>
      <c r="H16" s="46">
        <v>4499</v>
      </c>
      <c r="I16" s="46">
        <v>4499</v>
      </c>
      <c r="J16" s="45">
        <v>3599</v>
      </c>
      <c r="K16" s="45">
        <v>3499</v>
      </c>
      <c r="L16" s="45">
        <v>3499</v>
      </c>
      <c r="M16" s="45">
        <v>3599</v>
      </c>
      <c r="N16" s="45">
        <v>3499</v>
      </c>
      <c r="O16" s="46">
        <v>3099</v>
      </c>
      <c r="P16" s="46">
        <v>2999</v>
      </c>
      <c r="Q16" s="46">
        <v>2499</v>
      </c>
      <c r="R16" s="46">
        <v>3099</v>
      </c>
      <c r="S16" s="46">
        <v>2999</v>
      </c>
      <c r="T16" s="46">
        <v>2499</v>
      </c>
      <c r="U16" s="46">
        <v>2499</v>
      </c>
      <c r="V16" s="46">
        <v>2499</v>
      </c>
      <c r="W16" s="46">
        <v>2499</v>
      </c>
      <c r="X16" s="46">
        <v>2299</v>
      </c>
      <c r="Y16" s="46">
        <v>1999</v>
      </c>
      <c r="Z16" s="46">
        <v>1999</v>
      </c>
      <c r="AA16" s="46">
        <v>1999</v>
      </c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7"/>
      <c r="AW16" s="48" t="s">
        <v>67</v>
      </c>
      <c r="AX16" s="49" t="s">
        <v>68</v>
      </c>
      <c r="AY16" s="50">
        <f t="shared" si="0"/>
        <v>90.879800000000003</v>
      </c>
      <c r="AZ16" s="50">
        <f t="shared" si="1"/>
        <v>81.881799999999998</v>
      </c>
      <c r="BA16" s="51">
        <f t="shared" si="2"/>
        <v>46.339700000000001</v>
      </c>
    </row>
    <row r="17" spans="1:53" ht="22.5" customHeight="1">
      <c r="A17" s="41" t="s">
        <v>63</v>
      </c>
      <c r="B17" s="42" t="s">
        <v>64</v>
      </c>
      <c r="C17" s="43">
        <v>4014594</v>
      </c>
      <c r="D17" s="44" t="s">
        <v>74</v>
      </c>
      <c r="E17" s="44" t="s">
        <v>75</v>
      </c>
      <c r="F17" s="45">
        <v>6299</v>
      </c>
      <c r="G17" s="45">
        <v>2799</v>
      </c>
      <c r="H17" s="46">
        <v>3899</v>
      </c>
      <c r="I17" s="46">
        <v>3899</v>
      </c>
      <c r="J17" s="45">
        <v>3799</v>
      </c>
      <c r="K17" s="45">
        <v>3799</v>
      </c>
      <c r="L17" s="45">
        <v>3799</v>
      </c>
      <c r="M17" s="45">
        <v>3799</v>
      </c>
      <c r="N17" s="45">
        <v>3799</v>
      </c>
      <c r="O17" s="46">
        <v>3599</v>
      </c>
      <c r="P17" s="46">
        <v>3499</v>
      </c>
      <c r="Q17" s="46">
        <v>2999</v>
      </c>
      <c r="R17" s="46">
        <v>3599</v>
      </c>
      <c r="S17" s="46">
        <v>3499</v>
      </c>
      <c r="T17" s="46">
        <v>2999</v>
      </c>
      <c r="U17" s="46">
        <v>2999</v>
      </c>
      <c r="V17" s="46">
        <v>2999</v>
      </c>
      <c r="W17" s="46">
        <v>2999</v>
      </c>
      <c r="X17" s="46">
        <v>2799</v>
      </c>
      <c r="Y17" s="46">
        <v>2499</v>
      </c>
      <c r="Z17" s="46">
        <v>2499</v>
      </c>
      <c r="AA17" s="46">
        <v>2499</v>
      </c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7"/>
      <c r="AW17" s="48" t="s">
        <v>67</v>
      </c>
      <c r="AX17" s="49" t="s">
        <v>68</v>
      </c>
      <c r="AY17" s="50">
        <f t="shared" si="0"/>
        <v>78.759799999999998</v>
      </c>
      <c r="AZ17" s="50">
        <f t="shared" si="1"/>
        <v>70.961799999999997</v>
      </c>
      <c r="BA17" s="51">
        <f t="shared" si="2"/>
        <v>40.159700000000001</v>
      </c>
    </row>
    <row r="18" spans="1:53" ht="22.5" customHeight="1">
      <c r="A18" s="41" t="s">
        <v>63</v>
      </c>
      <c r="B18" s="42" t="s">
        <v>64</v>
      </c>
      <c r="C18" s="43">
        <v>4014837</v>
      </c>
      <c r="D18" s="44" t="s">
        <v>74</v>
      </c>
      <c r="E18" s="44" t="s">
        <v>76</v>
      </c>
      <c r="F18" s="45">
        <v>6299</v>
      </c>
      <c r="G18" s="45">
        <v>2799</v>
      </c>
      <c r="H18" s="46">
        <v>3899</v>
      </c>
      <c r="I18" s="46">
        <v>3899</v>
      </c>
      <c r="J18" s="45">
        <v>3799</v>
      </c>
      <c r="K18" s="45">
        <v>3799</v>
      </c>
      <c r="L18" s="45">
        <v>3799</v>
      </c>
      <c r="M18" s="45">
        <v>3799</v>
      </c>
      <c r="N18" s="45">
        <v>3799</v>
      </c>
      <c r="O18" s="46">
        <v>3599</v>
      </c>
      <c r="P18" s="46">
        <v>3499</v>
      </c>
      <c r="Q18" s="46">
        <v>2999</v>
      </c>
      <c r="R18" s="46">
        <v>3599</v>
      </c>
      <c r="S18" s="46">
        <v>3499</v>
      </c>
      <c r="T18" s="46">
        <v>2999</v>
      </c>
      <c r="U18" s="46">
        <v>2999</v>
      </c>
      <c r="V18" s="46">
        <v>2999</v>
      </c>
      <c r="W18" s="46">
        <v>2999</v>
      </c>
      <c r="X18" s="46">
        <v>2799</v>
      </c>
      <c r="Y18" s="46">
        <v>2499</v>
      </c>
      <c r="Z18" s="46">
        <v>2499</v>
      </c>
      <c r="AA18" s="46">
        <v>2499</v>
      </c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7"/>
      <c r="AW18" s="48" t="s">
        <v>67</v>
      </c>
      <c r="AX18" s="49" t="s">
        <v>68</v>
      </c>
      <c r="AY18" s="50">
        <f t="shared" si="0"/>
        <v>78.759799999999998</v>
      </c>
      <c r="AZ18" s="50">
        <f t="shared" si="1"/>
        <v>70.961799999999997</v>
      </c>
      <c r="BA18" s="51">
        <f t="shared" si="2"/>
        <v>40.159700000000001</v>
      </c>
    </row>
    <row r="19" spans="1:53" ht="22.5" customHeight="1">
      <c r="A19" s="41" t="s">
        <v>63</v>
      </c>
      <c r="B19" s="42" t="s">
        <v>64</v>
      </c>
      <c r="C19" s="43">
        <v>4014833</v>
      </c>
      <c r="D19" s="44" t="s">
        <v>74</v>
      </c>
      <c r="E19" s="44" t="s">
        <v>77</v>
      </c>
      <c r="F19" s="45">
        <v>6299</v>
      </c>
      <c r="G19" s="45">
        <v>2799</v>
      </c>
      <c r="H19" s="46">
        <v>3899</v>
      </c>
      <c r="I19" s="46">
        <v>3899</v>
      </c>
      <c r="J19" s="45">
        <v>3799</v>
      </c>
      <c r="K19" s="45">
        <v>3799</v>
      </c>
      <c r="L19" s="45">
        <v>3799</v>
      </c>
      <c r="M19" s="45">
        <v>3799</v>
      </c>
      <c r="N19" s="45">
        <v>3799</v>
      </c>
      <c r="O19" s="46">
        <v>3599</v>
      </c>
      <c r="P19" s="46">
        <v>3499</v>
      </c>
      <c r="Q19" s="46">
        <v>2999</v>
      </c>
      <c r="R19" s="46">
        <v>3599</v>
      </c>
      <c r="S19" s="46">
        <v>3499</v>
      </c>
      <c r="T19" s="46">
        <v>2999</v>
      </c>
      <c r="U19" s="46">
        <v>2999</v>
      </c>
      <c r="V19" s="46">
        <v>2999</v>
      </c>
      <c r="W19" s="46">
        <v>2999</v>
      </c>
      <c r="X19" s="46">
        <v>2799</v>
      </c>
      <c r="Y19" s="46">
        <v>2499</v>
      </c>
      <c r="Z19" s="46">
        <v>2499</v>
      </c>
      <c r="AA19" s="46">
        <v>2499</v>
      </c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7"/>
      <c r="AW19" s="48" t="s">
        <v>67</v>
      </c>
      <c r="AX19" s="49" t="s">
        <v>68</v>
      </c>
      <c r="AY19" s="50">
        <f t="shared" si="0"/>
        <v>78.759799999999998</v>
      </c>
      <c r="AZ19" s="50">
        <f t="shared" si="1"/>
        <v>70.961799999999997</v>
      </c>
      <c r="BA19" s="51">
        <f t="shared" si="2"/>
        <v>40.159700000000001</v>
      </c>
    </row>
    <row r="20" spans="1:53" ht="22.5" customHeight="1">
      <c r="A20" s="41" t="s">
        <v>63</v>
      </c>
      <c r="B20" s="42" t="s">
        <v>64</v>
      </c>
      <c r="C20" s="43">
        <v>4014836</v>
      </c>
      <c r="D20" s="44" t="s">
        <v>74</v>
      </c>
      <c r="E20" s="44" t="s">
        <v>78</v>
      </c>
      <c r="F20" s="45">
        <v>6299</v>
      </c>
      <c r="G20" s="45">
        <v>2799</v>
      </c>
      <c r="H20" s="46">
        <v>3899</v>
      </c>
      <c r="I20" s="46">
        <v>3899</v>
      </c>
      <c r="J20" s="45">
        <v>3799</v>
      </c>
      <c r="K20" s="45">
        <v>3799</v>
      </c>
      <c r="L20" s="45">
        <v>3799</v>
      </c>
      <c r="M20" s="45">
        <v>3799</v>
      </c>
      <c r="N20" s="45">
        <v>3799</v>
      </c>
      <c r="O20" s="46">
        <v>3599</v>
      </c>
      <c r="P20" s="46">
        <v>3499</v>
      </c>
      <c r="Q20" s="46">
        <v>2999</v>
      </c>
      <c r="R20" s="46">
        <v>3599</v>
      </c>
      <c r="S20" s="46">
        <v>3499</v>
      </c>
      <c r="T20" s="46">
        <v>2999</v>
      </c>
      <c r="U20" s="46">
        <v>2999</v>
      </c>
      <c r="V20" s="46">
        <v>2999</v>
      </c>
      <c r="W20" s="46">
        <v>2999</v>
      </c>
      <c r="X20" s="46">
        <v>2799</v>
      </c>
      <c r="Y20" s="46">
        <v>2499</v>
      </c>
      <c r="Z20" s="46">
        <v>2499</v>
      </c>
      <c r="AA20" s="46">
        <v>2499</v>
      </c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7"/>
      <c r="AW20" s="48" t="s">
        <v>67</v>
      </c>
      <c r="AX20" s="49" t="s">
        <v>68</v>
      </c>
      <c r="AY20" s="50">
        <f t="shared" si="0"/>
        <v>78.759799999999998</v>
      </c>
      <c r="AZ20" s="50">
        <f t="shared" si="1"/>
        <v>70.961799999999997</v>
      </c>
      <c r="BA20" s="51">
        <f t="shared" si="2"/>
        <v>40.159700000000001</v>
      </c>
    </row>
    <row r="21" spans="1:53" ht="22.5" customHeight="1">
      <c r="A21" s="41" t="s">
        <v>63</v>
      </c>
      <c r="B21" s="42" t="s">
        <v>64</v>
      </c>
      <c r="C21" s="43">
        <v>4015185</v>
      </c>
      <c r="D21" s="44" t="s">
        <v>79</v>
      </c>
      <c r="E21" s="44" t="s">
        <v>80</v>
      </c>
      <c r="F21" s="45">
        <v>7299</v>
      </c>
      <c r="G21" s="45">
        <v>3899</v>
      </c>
      <c r="H21" s="46">
        <v>5299</v>
      </c>
      <c r="I21" s="46">
        <v>5299</v>
      </c>
      <c r="J21" s="45">
        <v>4199</v>
      </c>
      <c r="K21" s="45">
        <v>4199</v>
      </c>
      <c r="L21" s="45">
        <v>4199</v>
      </c>
      <c r="M21" s="45">
        <v>4199</v>
      </c>
      <c r="N21" s="45">
        <v>4199</v>
      </c>
      <c r="O21" s="46">
        <v>3899</v>
      </c>
      <c r="P21" s="46">
        <v>3799</v>
      </c>
      <c r="Q21" s="46">
        <v>3099</v>
      </c>
      <c r="R21" s="46">
        <v>3899</v>
      </c>
      <c r="S21" s="46">
        <v>3799</v>
      </c>
      <c r="T21" s="46">
        <v>3099</v>
      </c>
      <c r="U21" s="46">
        <v>3099</v>
      </c>
      <c r="V21" s="46">
        <v>3099</v>
      </c>
      <c r="W21" s="46">
        <v>3099</v>
      </c>
      <c r="X21" s="46">
        <v>2999</v>
      </c>
      <c r="Y21" s="46">
        <v>2499</v>
      </c>
      <c r="Z21" s="46">
        <v>2499</v>
      </c>
      <c r="AA21" s="46">
        <v>2499</v>
      </c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7"/>
      <c r="AW21" s="48" t="s">
        <v>67</v>
      </c>
      <c r="AX21" s="49" t="s">
        <v>68</v>
      </c>
      <c r="AY21" s="50">
        <f t="shared" si="0"/>
        <v>107.0398</v>
      </c>
      <c r="AZ21" s="50">
        <f t="shared" si="1"/>
        <v>96.441800000000001</v>
      </c>
      <c r="BA21" s="51">
        <f t="shared" si="2"/>
        <v>54.579700000000003</v>
      </c>
    </row>
    <row r="22" spans="1:53" ht="22.5" customHeight="1">
      <c r="A22" s="41" t="s">
        <v>63</v>
      </c>
      <c r="B22" s="42" t="s">
        <v>64</v>
      </c>
      <c r="C22" s="43">
        <v>4015262</v>
      </c>
      <c r="D22" s="44" t="s">
        <v>79</v>
      </c>
      <c r="E22" s="44" t="s">
        <v>81</v>
      </c>
      <c r="F22" s="45">
        <v>7299</v>
      </c>
      <c r="G22" s="45">
        <v>3899</v>
      </c>
      <c r="H22" s="46">
        <v>5299</v>
      </c>
      <c r="I22" s="46">
        <v>5299</v>
      </c>
      <c r="J22" s="45">
        <v>4199</v>
      </c>
      <c r="K22" s="45">
        <v>4199</v>
      </c>
      <c r="L22" s="45">
        <v>4199</v>
      </c>
      <c r="M22" s="45">
        <v>4199</v>
      </c>
      <c r="N22" s="45">
        <v>4199</v>
      </c>
      <c r="O22" s="46">
        <v>3899</v>
      </c>
      <c r="P22" s="46">
        <v>3799</v>
      </c>
      <c r="Q22" s="46">
        <v>3099</v>
      </c>
      <c r="R22" s="46">
        <v>3899</v>
      </c>
      <c r="S22" s="46">
        <v>3799</v>
      </c>
      <c r="T22" s="46">
        <v>3099</v>
      </c>
      <c r="U22" s="46">
        <v>3099</v>
      </c>
      <c r="V22" s="46">
        <v>3099</v>
      </c>
      <c r="W22" s="46">
        <v>3099</v>
      </c>
      <c r="X22" s="46">
        <v>2999</v>
      </c>
      <c r="Y22" s="46">
        <v>2499</v>
      </c>
      <c r="Z22" s="46">
        <v>2499</v>
      </c>
      <c r="AA22" s="46">
        <v>2499</v>
      </c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7"/>
      <c r="AW22" s="48" t="s">
        <v>67</v>
      </c>
      <c r="AX22" s="49" t="s">
        <v>68</v>
      </c>
      <c r="AY22" s="50">
        <f t="shared" si="0"/>
        <v>107.0398</v>
      </c>
      <c r="AZ22" s="50">
        <f t="shared" si="1"/>
        <v>96.441800000000001</v>
      </c>
      <c r="BA22" s="51">
        <f t="shared" si="2"/>
        <v>54.579700000000003</v>
      </c>
    </row>
    <row r="23" spans="1:53" ht="22.5" customHeight="1">
      <c r="A23" s="41" t="s">
        <v>63</v>
      </c>
      <c r="B23" s="42" t="s">
        <v>64</v>
      </c>
      <c r="C23" s="43">
        <v>4015180</v>
      </c>
      <c r="D23" s="44" t="s">
        <v>82</v>
      </c>
      <c r="E23" s="44" t="s">
        <v>83</v>
      </c>
      <c r="F23" s="45">
        <v>7799</v>
      </c>
      <c r="G23" s="45">
        <v>2899</v>
      </c>
      <c r="H23" s="46">
        <v>4399</v>
      </c>
      <c r="I23" s="46">
        <v>4399</v>
      </c>
      <c r="J23" s="45">
        <v>4399</v>
      </c>
      <c r="K23" s="45">
        <v>4399</v>
      </c>
      <c r="L23" s="45">
        <v>4399</v>
      </c>
      <c r="M23" s="45">
        <v>4399</v>
      </c>
      <c r="N23" s="45">
        <v>4399</v>
      </c>
      <c r="O23" s="46">
        <v>4299</v>
      </c>
      <c r="P23" s="46">
        <v>4199</v>
      </c>
      <c r="Q23" s="46">
        <v>3499</v>
      </c>
      <c r="R23" s="46">
        <v>4299</v>
      </c>
      <c r="S23" s="46">
        <v>4199</v>
      </c>
      <c r="T23" s="46">
        <v>3499</v>
      </c>
      <c r="U23" s="46">
        <v>3499</v>
      </c>
      <c r="V23" s="46">
        <v>3499</v>
      </c>
      <c r="W23" s="46">
        <v>3499</v>
      </c>
      <c r="X23" s="46">
        <v>3399</v>
      </c>
      <c r="Y23" s="46">
        <v>2499</v>
      </c>
      <c r="Z23" s="46">
        <v>2499</v>
      </c>
      <c r="AA23" s="46">
        <v>2449</v>
      </c>
      <c r="AB23" s="45">
        <v>4399</v>
      </c>
      <c r="AC23" s="45">
        <v>4399</v>
      </c>
      <c r="AD23" s="45">
        <v>4399</v>
      </c>
      <c r="AE23" s="45">
        <v>4199</v>
      </c>
      <c r="AF23" s="45">
        <v>4199</v>
      </c>
      <c r="AG23" s="45">
        <v>4199</v>
      </c>
      <c r="AH23" s="45">
        <v>4199</v>
      </c>
      <c r="AI23" s="45">
        <v>3499</v>
      </c>
      <c r="AJ23" s="45">
        <v>3499</v>
      </c>
      <c r="AK23" s="45">
        <v>3499</v>
      </c>
      <c r="AL23" s="45">
        <v>2499</v>
      </c>
      <c r="AM23" s="45"/>
      <c r="AN23" s="45"/>
      <c r="AO23" s="45"/>
      <c r="AP23" s="45"/>
      <c r="AQ23" s="45"/>
      <c r="AR23" s="45"/>
      <c r="AS23" s="45"/>
      <c r="AT23" s="45"/>
      <c r="AU23" s="45"/>
      <c r="AV23" s="47"/>
      <c r="AW23" s="48" t="s">
        <v>67</v>
      </c>
      <c r="AX23" s="49" t="s">
        <v>68</v>
      </c>
      <c r="AY23" s="50">
        <f t="shared" si="0"/>
        <v>88.859799999999993</v>
      </c>
      <c r="AZ23" s="50">
        <f t="shared" si="1"/>
        <v>80.061800000000005</v>
      </c>
      <c r="BA23" s="51">
        <f t="shared" si="2"/>
        <v>45.309699999999999</v>
      </c>
    </row>
    <row r="24" spans="1:53" ht="22.5" customHeight="1">
      <c r="A24" s="41" t="s">
        <v>63</v>
      </c>
      <c r="B24" s="42" t="s">
        <v>64</v>
      </c>
      <c r="C24" s="43">
        <v>4015186</v>
      </c>
      <c r="D24" s="44" t="s">
        <v>82</v>
      </c>
      <c r="E24" s="44" t="s">
        <v>84</v>
      </c>
      <c r="F24" s="45">
        <v>7799</v>
      </c>
      <c r="G24" s="45">
        <v>2899</v>
      </c>
      <c r="H24" s="46">
        <v>4399</v>
      </c>
      <c r="I24" s="46">
        <v>4399</v>
      </c>
      <c r="J24" s="45">
        <v>4399</v>
      </c>
      <c r="K24" s="45">
        <v>4399</v>
      </c>
      <c r="L24" s="45">
        <v>4399</v>
      </c>
      <c r="M24" s="45">
        <v>4399</v>
      </c>
      <c r="N24" s="45">
        <v>4399</v>
      </c>
      <c r="O24" s="46">
        <v>4299</v>
      </c>
      <c r="P24" s="46">
        <v>4199</v>
      </c>
      <c r="Q24" s="46">
        <v>3499</v>
      </c>
      <c r="R24" s="46">
        <v>4299</v>
      </c>
      <c r="S24" s="46">
        <v>4199</v>
      </c>
      <c r="T24" s="46">
        <v>3499</v>
      </c>
      <c r="U24" s="46">
        <v>3499</v>
      </c>
      <c r="V24" s="46">
        <v>3499</v>
      </c>
      <c r="W24" s="46">
        <v>3499</v>
      </c>
      <c r="X24" s="46">
        <v>3399</v>
      </c>
      <c r="Y24" s="46">
        <v>2499</v>
      </c>
      <c r="Z24" s="46">
        <v>2499</v>
      </c>
      <c r="AA24" s="46">
        <v>2449</v>
      </c>
      <c r="AB24" s="45">
        <v>4399</v>
      </c>
      <c r="AC24" s="45">
        <v>4399</v>
      </c>
      <c r="AD24" s="45">
        <v>4399</v>
      </c>
      <c r="AE24" s="45">
        <v>4199</v>
      </c>
      <c r="AF24" s="45">
        <v>4199</v>
      </c>
      <c r="AG24" s="45">
        <v>4199</v>
      </c>
      <c r="AH24" s="45">
        <v>4199</v>
      </c>
      <c r="AI24" s="45">
        <v>3499</v>
      </c>
      <c r="AJ24" s="45">
        <v>3499</v>
      </c>
      <c r="AK24" s="45">
        <v>3499</v>
      </c>
      <c r="AL24" s="45">
        <v>2499</v>
      </c>
      <c r="AM24" s="45"/>
      <c r="AN24" s="45"/>
      <c r="AO24" s="45"/>
      <c r="AP24" s="45"/>
      <c r="AQ24" s="45"/>
      <c r="AR24" s="45"/>
      <c r="AS24" s="45"/>
      <c r="AT24" s="45"/>
      <c r="AU24" s="45"/>
      <c r="AV24" s="47"/>
      <c r="AW24" s="48" t="s">
        <v>67</v>
      </c>
      <c r="AX24" s="49" t="s">
        <v>68</v>
      </c>
      <c r="AY24" s="50">
        <f t="shared" si="0"/>
        <v>88.859799999999993</v>
      </c>
      <c r="AZ24" s="50">
        <f t="shared" si="1"/>
        <v>80.061800000000005</v>
      </c>
      <c r="BA24" s="51">
        <f t="shared" si="2"/>
        <v>45.309699999999999</v>
      </c>
    </row>
    <row r="25" spans="1:53" ht="22.5" customHeight="1">
      <c r="A25" s="41" t="s">
        <v>63</v>
      </c>
      <c r="B25" s="42" t="s">
        <v>64</v>
      </c>
      <c r="C25" s="43">
        <v>4015267</v>
      </c>
      <c r="D25" s="44" t="s">
        <v>82</v>
      </c>
      <c r="E25" s="44" t="s">
        <v>85</v>
      </c>
      <c r="F25" s="45">
        <v>7799</v>
      </c>
      <c r="G25" s="45">
        <v>2899</v>
      </c>
      <c r="H25" s="46">
        <v>4399</v>
      </c>
      <c r="I25" s="46">
        <v>4399</v>
      </c>
      <c r="J25" s="45">
        <v>4399</v>
      </c>
      <c r="K25" s="45">
        <v>4399</v>
      </c>
      <c r="L25" s="45">
        <v>4399</v>
      </c>
      <c r="M25" s="45">
        <v>4399</v>
      </c>
      <c r="N25" s="45">
        <v>4399</v>
      </c>
      <c r="O25" s="46">
        <v>4299</v>
      </c>
      <c r="P25" s="46">
        <v>4199</v>
      </c>
      <c r="Q25" s="46">
        <v>3499</v>
      </c>
      <c r="R25" s="46">
        <v>4299</v>
      </c>
      <c r="S25" s="46">
        <v>4199</v>
      </c>
      <c r="T25" s="46">
        <v>3499</v>
      </c>
      <c r="U25" s="46">
        <v>3499</v>
      </c>
      <c r="V25" s="46">
        <v>3499</v>
      </c>
      <c r="W25" s="46">
        <v>3499</v>
      </c>
      <c r="X25" s="46">
        <v>3399</v>
      </c>
      <c r="Y25" s="46">
        <v>2499</v>
      </c>
      <c r="Z25" s="46">
        <v>2499</v>
      </c>
      <c r="AA25" s="46">
        <v>2449</v>
      </c>
      <c r="AB25" s="45">
        <v>4399</v>
      </c>
      <c r="AC25" s="45">
        <v>4399</v>
      </c>
      <c r="AD25" s="45">
        <v>4399</v>
      </c>
      <c r="AE25" s="45">
        <v>4199</v>
      </c>
      <c r="AF25" s="45">
        <v>4199</v>
      </c>
      <c r="AG25" s="45">
        <v>4199</v>
      </c>
      <c r="AH25" s="45">
        <v>4199</v>
      </c>
      <c r="AI25" s="45">
        <v>3499</v>
      </c>
      <c r="AJ25" s="45">
        <v>3499</v>
      </c>
      <c r="AK25" s="45">
        <v>3499</v>
      </c>
      <c r="AL25" s="45">
        <v>2499</v>
      </c>
      <c r="AM25" s="45"/>
      <c r="AN25" s="45"/>
      <c r="AO25" s="45"/>
      <c r="AP25" s="45"/>
      <c r="AQ25" s="45"/>
      <c r="AR25" s="45"/>
      <c r="AS25" s="45"/>
      <c r="AT25" s="45"/>
      <c r="AU25" s="45"/>
      <c r="AV25" s="47"/>
      <c r="AW25" s="48" t="s">
        <v>67</v>
      </c>
      <c r="AX25" s="49" t="s">
        <v>68</v>
      </c>
      <c r="AY25" s="50">
        <f t="shared" si="0"/>
        <v>88.859799999999993</v>
      </c>
      <c r="AZ25" s="50">
        <f t="shared" si="1"/>
        <v>80.061800000000005</v>
      </c>
      <c r="BA25" s="51">
        <f t="shared" si="2"/>
        <v>45.309699999999999</v>
      </c>
    </row>
    <row r="26" spans="1:53" ht="22.5" customHeight="1">
      <c r="A26" s="41" t="s">
        <v>63</v>
      </c>
      <c r="B26" s="42" t="s">
        <v>64</v>
      </c>
      <c r="C26" s="43">
        <v>4015268</v>
      </c>
      <c r="D26" s="44" t="s">
        <v>82</v>
      </c>
      <c r="E26" s="44" t="s">
        <v>86</v>
      </c>
      <c r="F26" s="45">
        <v>7799</v>
      </c>
      <c r="G26" s="45">
        <v>2899</v>
      </c>
      <c r="H26" s="46">
        <v>4399</v>
      </c>
      <c r="I26" s="46">
        <v>4399</v>
      </c>
      <c r="J26" s="45">
        <v>4399</v>
      </c>
      <c r="K26" s="45">
        <v>4399</v>
      </c>
      <c r="L26" s="45">
        <v>4399</v>
      </c>
      <c r="M26" s="45">
        <v>4399</v>
      </c>
      <c r="N26" s="45">
        <v>4399</v>
      </c>
      <c r="O26" s="46">
        <v>4299</v>
      </c>
      <c r="P26" s="46">
        <v>4199</v>
      </c>
      <c r="Q26" s="46">
        <v>3499</v>
      </c>
      <c r="R26" s="46">
        <v>4299</v>
      </c>
      <c r="S26" s="46">
        <v>4199</v>
      </c>
      <c r="T26" s="46">
        <v>3499</v>
      </c>
      <c r="U26" s="46">
        <v>3499</v>
      </c>
      <c r="V26" s="46">
        <v>3499</v>
      </c>
      <c r="W26" s="46">
        <v>3499</v>
      </c>
      <c r="X26" s="46">
        <v>3399</v>
      </c>
      <c r="Y26" s="46">
        <v>2499</v>
      </c>
      <c r="Z26" s="46">
        <v>2499</v>
      </c>
      <c r="AA26" s="46">
        <v>2449</v>
      </c>
      <c r="AB26" s="45">
        <v>4399</v>
      </c>
      <c r="AC26" s="45">
        <v>4399</v>
      </c>
      <c r="AD26" s="45">
        <v>4399</v>
      </c>
      <c r="AE26" s="45">
        <v>4199</v>
      </c>
      <c r="AF26" s="45">
        <v>4199</v>
      </c>
      <c r="AG26" s="45">
        <v>4199</v>
      </c>
      <c r="AH26" s="45">
        <v>4199</v>
      </c>
      <c r="AI26" s="45">
        <v>3499</v>
      </c>
      <c r="AJ26" s="45">
        <v>3499</v>
      </c>
      <c r="AK26" s="45">
        <v>3499</v>
      </c>
      <c r="AL26" s="45">
        <v>2499</v>
      </c>
      <c r="AM26" s="45"/>
      <c r="AN26" s="45"/>
      <c r="AO26" s="45"/>
      <c r="AP26" s="45"/>
      <c r="AQ26" s="45"/>
      <c r="AR26" s="45"/>
      <c r="AS26" s="45"/>
      <c r="AT26" s="45"/>
      <c r="AU26" s="45"/>
      <c r="AV26" s="47"/>
      <c r="AW26" s="48" t="s">
        <v>67</v>
      </c>
      <c r="AX26" s="49" t="s">
        <v>68</v>
      </c>
      <c r="AY26" s="50">
        <f t="shared" si="0"/>
        <v>88.859799999999993</v>
      </c>
      <c r="AZ26" s="50">
        <f t="shared" si="1"/>
        <v>80.061800000000005</v>
      </c>
      <c r="BA26" s="51">
        <f t="shared" si="2"/>
        <v>45.309699999999999</v>
      </c>
    </row>
    <row r="27" spans="1:53" ht="22.5" customHeight="1">
      <c r="A27" s="41" t="s">
        <v>63</v>
      </c>
      <c r="B27" s="42" t="s">
        <v>64</v>
      </c>
      <c r="C27" s="43">
        <v>4015179</v>
      </c>
      <c r="D27" s="44" t="s">
        <v>87</v>
      </c>
      <c r="E27" s="44" t="s">
        <v>88</v>
      </c>
      <c r="F27" s="45">
        <v>7299</v>
      </c>
      <c r="G27" s="45">
        <v>3899</v>
      </c>
      <c r="H27" s="46">
        <v>4599</v>
      </c>
      <c r="I27" s="46">
        <v>4599</v>
      </c>
      <c r="J27" s="45">
        <v>4499</v>
      </c>
      <c r="K27" s="45">
        <v>4499</v>
      </c>
      <c r="L27" s="45">
        <v>4499</v>
      </c>
      <c r="M27" s="45">
        <v>4499</v>
      </c>
      <c r="N27" s="45">
        <v>4499</v>
      </c>
      <c r="O27" s="46">
        <v>4399</v>
      </c>
      <c r="P27" s="46">
        <v>4299</v>
      </c>
      <c r="Q27" s="46">
        <v>3499</v>
      </c>
      <c r="R27" s="46">
        <v>4399</v>
      </c>
      <c r="S27" s="46">
        <v>4299</v>
      </c>
      <c r="T27" s="46">
        <v>3499</v>
      </c>
      <c r="U27" s="46">
        <v>3499</v>
      </c>
      <c r="V27" s="46">
        <v>3499</v>
      </c>
      <c r="W27" s="46">
        <v>3499</v>
      </c>
      <c r="X27" s="46">
        <v>3399</v>
      </c>
      <c r="Y27" s="46">
        <v>2899</v>
      </c>
      <c r="Z27" s="46">
        <v>2899</v>
      </c>
      <c r="AA27" s="46">
        <v>2899</v>
      </c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7"/>
      <c r="AW27" s="48" t="s">
        <v>67</v>
      </c>
      <c r="AX27" s="49" t="s">
        <v>68</v>
      </c>
      <c r="AY27" s="50">
        <f t="shared" si="0"/>
        <v>92.899799999999999</v>
      </c>
      <c r="AZ27" s="50">
        <f t="shared" si="1"/>
        <v>83.701800000000006</v>
      </c>
      <c r="BA27" s="51">
        <f t="shared" si="2"/>
        <v>47.369700000000002</v>
      </c>
    </row>
    <row r="28" spans="1:53" ht="22.5" customHeight="1">
      <c r="A28" s="41" t="s">
        <v>63</v>
      </c>
      <c r="B28" s="42" t="s">
        <v>64</v>
      </c>
      <c r="C28" s="43">
        <v>4015187</v>
      </c>
      <c r="D28" s="44" t="s">
        <v>87</v>
      </c>
      <c r="E28" s="44" t="s">
        <v>89</v>
      </c>
      <c r="F28" s="45">
        <v>7299</v>
      </c>
      <c r="G28" s="45">
        <v>3899</v>
      </c>
      <c r="H28" s="46">
        <v>4599</v>
      </c>
      <c r="I28" s="46">
        <v>4599</v>
      </c>
      <c r="J28" s="45">
        <v>4499</v>
      </c>
      <c r="K28" s="45">
        <v>4499</v>
      </c>
      <c r="L28" s="45">
        <v>4499</v>
      </c>
      <c r="M28" s="45">
        <v>4499</v>
      </c>
      <c r="N28" s="45">
        <v>4499</v>
      </c>
      <c r="O28" s="46">
        <v>4399</v>
      </c>
      <c r="P28" s="46">
        <v>4299</v>
      </c>
      <c r="Q28" s="46">
        <v>3499</v>
      </c>
      <c r="R28" s="46">
        <v>4399</v>
      </c>
      <c r="S28" s="46">
        <v>4299</v>
      </c>
      <c r="T28" s="46">
        <v>3499</v>
      </c>
      <c r="U28" s="46">
        <v>3499</v>
      </c>
      <c r="V28" s="46">
        <v>3499</v>
      </c>
      <c r="W28" s="46">
        <v>3499</v>
      </c>
      <c r="X28" s="46">
        <v>3399</v>
      </c>
      <c r="Y28" s="46">
        <v>2899</v>
      </c>
      <c r="Z28" s="46">
        <v>2899</v>
      </c>
      <c r="AA28" s="46">
        <v>2899</v>
      </c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7"/>
      <c r="AW28" s="48" t="s">
        <v>67</v>
      </c>
      <c r="AX28" s="49" t="s">
        <v>68</v>
      </c>
      <c r="AY28" s="50">
        <f t="shared" si="0"/>
        <v>92.899799999999999</v>
      </c>
      <c r="AZ28" s="50">
        <f t="shared" si="1"/>
        <v>83.701800000000006</v>
      </c>
      <c r="BA28" s="51">
        <f t="shared" si="2"/>
        <v>47.369700000000002</v>
      </c>
    </row>
    <row r="29" spans="1:53" ht="22.5" customHeight="1">
      <c r="A29" s="41" t="s">
        <v>63</v>
      </c>
      <c r="B29" s="42" t="s">
        <v>64</v>
      </c>
      <c r="C29" s="43">
        <v>4015711</v>
      </c>
      <c r="D29" s="44" t="s">
        <v>87</v>
      </c>
      <c r="E29" s="44" t="s">
        <v>90</v>
      </c>
      <c r="F29" s="45">
        <v>7299</v>
      </c>
      <c r="G29" s="45">
        <v>3899</v>
      </c>
      <c r="H29" s="46">
        <v>4599</v>
      </c>
      <c r="I29" s="46">
        <v>4599</v>
      </c>
      <c r="J29" s="45">
        <v>4499</v>
      </c>
      <c r="K29" s="45">
        <v>4499</v>
      </c>
      <c r="L29" s="45">
        <v>4499</v>
      </c>
      <c r="M29" s="45">
        <v>4499</v>
      </c>
      <c r="N29" s="45">
        <v>4499</v>
      </c>
      <c r="O29" s="46">
        <v>4399</v>
      </c>
      <c r="P29" s="46">
        <v>4299</v>
      </c>
      <c r="Q29" s="46">
        <v>3499</v>
      </c>
      <c r="R29" s="46">
        <v>4399</v>
      </c>
      <c r="S29" s="46">
        <v>4299</v>
      </c>
      <c r="T29" s="46">
        <v>3499</v>
      </c>
      <c r="U29" s="46">
        <v>3499</v>
      </c>
      <c r="V29" s="46">
        <v>3499</v>
      </c>
      <c r="W29" s="46">
        <v>3499</v>
      </c>
      <c r="X29" s="46">
        <v>3399</v>
      </c>
      <c r="Y29" s="46">
        <v>2899</v>
      </c>
      <c r="Z29" s="46">
        <v>2899</v>
      </c>
      <c r="AA29" s="46">
        <v>2899</v>
      </c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7"/>
      <c r="AW29" s="48" t="s">
        <v>67</v>
      </c>
      <c r="AX29" s="49" t="s">
        <v>68</v>
      </c>
      <c r="AY29" s="50">
        <f t="shared" si="0"/>
        <v>92.899799999999999</v>
      </c>
      <c r="AZ29" s="50">
        <f t="shared" si="1"/>
        <v>83.701800000000006</v>
      </c>
      <c r="BA29" s="51">
        <f t="shared" si="2"/>
        <v>47.369700000000002</v>
      </c>
    </row>
    <row r="30" spans="1:53" ht="22.5" customHeight="1">
      <c r="A30" s="41" t="s">
        <v>63</v>
      </c>
      <c r="B30" s="42" t="s">
        <v>64</v>
      </c>
      <c r="C30" s="43">
        <v>4015162</v>
      </c>
      <c r="D30" s="44" t="s">
        <v>91</v>
      </c>
      <c r="E30" s="44" t="s">
        <v>92</v>
      </c>
      <c r="F30" s="45">
        <v>11499</v>
      </c>
      <c r="G30" s="45">
        <v>6899</v>
      </c>
      <c r="H30" s="46">
        <v>7999</v>
      </c>
      <c r="I30" s="46">
        <v>7999</v>
      </c>
      <c r="J30" s="45">
        <v>6399</v>
      </c>
      <c r="K30" s="45">
        <v>6399</v>
      </c>
      <c r="L30" s="45">
        <v>6399</v>
      </c>
      <c r="M30" s="45">
        <v>6399</v>
      </c>
      <c r="N30" s="45">
        <v>6399</v>
      </c>
      <c r="O30" s="46">
        <v>6299</v>
      </c>
      <c r="P30" s="46">
        <v>6199</v>
      </c>
      <c r="Q30" s="46">
        <v>5999</v>
      </c>
      <c r="R30" s="46">
        <v>6299</v>
      </c>
      <c r="S30" s="46">
        <v>6199</v>
      </c>
      <c r="T30" s="46">
        <v>5999</v>
      </c>
      <c r="U30" s="46">
        <v>5999</v>
      </c>
      <c r="V30" s="46">
        <v>5999</v>
      </c>
      <c r="W30" s="46">
        <v>5999</v>
      </c>
      <c r="X30" s="46">
        <v>5899</v>
      </c>
      <c r="Y30" s="46">
        <v>5499</v>
      </c>
      <c r="Z30" s="46">
        <v>5499</v>
      </c>
      <c r="AA30" s="46">
        <v>5499</v>
      </c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7"/>
      <c r="AW30" s="48" t="s">
        <v>67</v>
      </c>
      <c r="AX30" s="49" t="s">
        <v>68</v>
      </c>
      <c r="AY30" s="50">
        <f t="shared" si="0"/>
        <v>161.57980000000001</v>
      </c>
      <c r="AZ30" s="50">
        <f t="shared" si="1"/>
        <v>145.58180000000002</v>
      </c>
      <c r="BA30" s="51">
        <f t="shared" si="2"/>
        <v>82.389700000000005</v>
      </c>
    </row>
    <row r="31" spans="1:53" ht="22.5" customHeight="1">
      <c r="A31" s="41" t="s">
        <v>63</v>
      </c>
      <c r="B31" s="42" t="s">
        <v>64</v>
      </c>
      <c r="C31" s="43">
        <v>4015112</v>
      </c>
      <c r="D31" s="44" t="s">
        <v>93</v>
      </c>
      <c r="E31" s="44" t="s">
        <v>94</v>
      </c>
      <c r="F31" s="45">
        <v>10499</v>
      </c>
      <c r="G31" s="45">
        <v>5899</v>
      </c>
      <c r="H31" s="46">
        <v>6999</v>
      </c>
      <c r="I31" s="46">
        <v>6999</v>
      </c>
      <c r="J31" s="45">
        <v>5899</v>
      </c>
      <c r="K31" s="45">
        <v>5899</v>
      </c>
      <c r="L31" s="45">
        <v>5899</v>
      </c>
      <c r="M31" s="45">
        <v>5899</v>
      </c>
      <c r="N31" s="45">
        <v>5899</v>
      </c>
      <c r="O31" s="46">
        <v>5799</v>
      </c>
      <c r="P31" s="46">
        <v>5699</v>
      </c>
      <c r="Q31" s="46">
        <v>5499</v>
      </c>
      <c r="R31" s="46">
        <v>5799</v>
      </c>
      <c r="S31" s="46">
        <v>5699</v>
      </c>
      <c r="T31" s="46">
        <v>5499</v>
      </c>
      <c r="U31" s="46">
        <v>5499</v>
      </c>
      <c r="V31" s="46">
        <v>5499</v>
      </c>
      <c r="W31" s="46">
        <v>5499</v>
      </c>
      <c r="X31" s="46">
        <v>5399</v>
      </c>
      <c r="Y31" s="46">
        <v>4999</v>
      </c>
      <c r="Z31" s="46">
        <v>4999</v>
      </c>
      <c r="AA31" s="46">
        <v>4999</v>
      </c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7"/>
      <c r="AW31" s="48" t="s">
        <v>67</v>
      </c>
      <c r="AX31" s="49" t="s">
        <v>68</v>
      </c>
      <c r="AY31" s="50">
        <f t="shared" si="0"/>
        <v>141.37979999999999</v>
      </c>
      <c r="AZ31" s="50">
        <f t="shared" si="1"/>
        <v>127.38180000000001</v>
      </c>
      <c r="BA31" s="51">
        <f t="shared" si="2"/>
        <v>72.089700000000008</v>
      </c>
    </row>
    <row r="32" spans="1:53" ht="22.5" customHeight="1">
      <c r="A32" s="41" t="s">
        <v>63</v>
      </c>
      <c r="B32" s="42" t="s">
        <v>64</v>
      </c>
      <c r="C32" s="43">
        <v>4015116</v>
      </c>
      <c r="D32" s="44" t="s">
        <v>93</v>
      </c>
      <c r="E32" s="44" t="s">
        <v>95</v>
      </c>
      <c r="F32" s="45">
        <v>10499</v>
      </c>
      <c r="G32" s="45">
        <v>5899</v>
      </c>
      <c r="H32" s="46">
        <v>6999</v>
      </c>
      <c r="I32" s="46">
        <v>6999</v>
      </c>
      <c r="J32" s="45">
        <v>5899</v>
      </c>
      <c r="K32" s="45">
        <v>5899</v>
      </c>
      <c r="L32" s="45">
        <v>5899</v>
      </c>
      <c r="M32" s="45">
        <v>5899</v>
      </c>
      <c r="N32" s="45">
        <v>5899</v>
      </c>
      <c r="O32" s="46">
        <v>5799</v>
      </c>
      <c r="P32" s="46">
        <v>5699</v>
      </c>
      <c r="Q32" s="46">
        <v>5499</v>
      </c>
      <c r="R32" s="46">
        <v>5799</v>
      </c>
      <c r="S32" s="46">
        <v>5699</v>
      </c>
      <c r="T32" s="46">
        <v>5499</v>
      </c>
      <c r="U32" s="46">
        <v>5499</v>
      </c>
      <c r="V32" s="46">
        <v>5499</v>
      </c>
      <c r="W32" s="46">
        <v>5499</v>
      </c>
      <c r="X32" s="46">
        <v>5399</v>
      </c>
      <c r="Y32" s="46">
        <v>4999</v>
      </c>
      <c r="Z32" s="46">
        <v>4999</v>
      </c>
      <c r="AA32" s="46">
        <v>4999</v>
      </c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7"/>
      <c r="AW32" s="48" t="s">
        <v>67</v>
      </c>
      <c r="AX32" s="49" t="s">
        <v>68</v>
      </c>
      <c r="AY32" s="50">
        <f t="shared" si="0"/>
        <v>141.37979999999999</v>
      </c>
      <c r="AZ32" s="50">
        <f t="shared" si="1"/>
        <v>127.38180000000001</v>
      </c>
      <c r="BA32" s="51">
        <f t="shared" si="2"/>
        <v>72.089700000000008</v>
      </c>
    </row>
    <row r="33" spans="1:53" ht="22.5" customHeight="1">
      <c r="A33" s="41" t="s">
        <v>63</v>
      </c>
      <c r="B33" s="42" t="s">
        <v>64</v>
      </c>
      <c r="C33" s="43">
        <v>4015742</v>
      </c>
      <c r="D33" s="44" t="s">
        <v>96</v>
      </c>
      <c r="E33" s="44" t="s">
        <v>97</v>
      </c>
      <c r="F33" s="45">
        <v>7299</v>
      </c>
      <c r="G33" s="45">
        <v>5399</v>
      </c>
      <c r="H33" s="46">
        <v>5699</v>
      </c>
      <c r="I33" s="46">
        <v>5699</v>
      </c>
      <c r="J33" s="45">
        <v>4999</v>
      </c>
      <c r="K33" s="45">
        <v>4899</v>
      </c>
      <c r="L33" s="45">
        <v>4899</v>
      </c>
      <c r="M33" s="45">
        <v>4999</v>
      </c>
      <c r="N33" s="45">
        <v>4899</v>
      </c>
      <c r="O33" s="46">
        <v>4799</v>
      </c>
      <c r="P33" s="46">
        <v>4699</v>
      </c>
      <c r="Q33" s="46">
        <v>4499</v>
      </c>
      <c r="R33" s="46">
        <v>4799</v>
      </c>
      <c r="S33" s="46">
        <v>4699</v>
      </c>
      <c r="T33" s="46">
        <v>4499</v>
      </c>
      <c r="U33" s="46">
        <v>4399</v>
      </c>
      <c r="V33" s="46">
        <v>4399</v>
      </c>
      <c r="W33" s="46">
        <v>4299</v>
      </c>
      <c r="X33" s="46">
        <v>4199</v>
      </c>
      <c r="Y33" s="46">
        <v>3499</v>
      </c>
      <c r="Z33" s="46">
        <v>3499</v>
      </c>
      <c r="AA33" s="46">
        <v>3499</v>
      </c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7"/>
      <c r="AW33" s="48" t="s">
        <v>67</v>
      </c>
      <c r="AX33" s="49" t="s">
        <v>68</v>
      </c>
      <c r="AY33" s="50">
        <f t="shared" si="0"/>
        <v>115.1198</v>
      </c>
      <c r="AZ33" s="50">
        <f t="shared" si="1"/>
        <v>103.7218</v>
      </c>
      <c r="BA33" s="51">
        <f t="shared" si="2"/>
        <v>58.6997</v>
      </c>
    </row>
    <row r="34" spans="1:53" ht="22.5" customHeight="1">
      <c r="A34" s="41" t="s">
        <v>63</v>
      </c>
      <c r="B34" s="42" t="s">
        <v>64</v>
      </c>
      <c r="C34" s="43">
        <v>4015725</v>
      </c>
      <c r="D34" s="44" t="s">
        <v>96</v>
      </c>
      <c r="E34" s="44" t="s">
        <v>98</v>
      </c>
      <c r="F34" s="45">
        <v>7299</v>
      </c>
      <c r="G34" s="45">
        <v>5399</v>
      </c>
      <c r="H34" s="46">
        <v>5699</v>
      </c>
      <c r="I34" s="46">
        <v>5699</v>
      </c>
      <c r="J34" s="45">
        <v>4999</v>
      </c>
      <c r="K34" s="45">
        <v>4899</v>
      </c>
      <c r="L34" s="45">
        <v>4899</v>
      </c>
      <c r="M34" s="45">
        <v>4999</v>
      </c>
      <c r="N34" s="45">
        <v>4899</v>
      </c>
      <c r="O34" s="46">
        <v>4799</v>
      </c>
      <c r="P34" s="46">
        <v>4699</v>
      </c>
      <c r="Q34" s="46">
        <v>4499</v>
      </c>
      <c r="R34" s="46">
        <v>4799</v>
      </c>
      <c r="S34" s="46">
        <v>4699</v>
      </c>
      <c r="T34" s="46">
        <v>4499</v>
      </c>
      <c r="U34" s="46">
        <v>4399</v>
      </c>
      <c r="V34" s="46">
        <v>4399</v>
      </c>
      <c r="W34" s="46">
        <v>4299</v>
      </c>
      <c r="X34" s="46">
        <v>4199</v>
      </c>
      <c r="Y34" s="46">
        <v>3499</v>
      </c>
      <c r="Z34" s="46">
        <v>3499</v>
      </c>
      <c r="AA34" s="46">
        <v>3499</v>
      </c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7"/>
      <c r="AW34" s="48" t="s">
        <v>67</v>
      </c>
      <c r="AX34" s="49" t="s">
        <v>68</v>
      </c>
      <c r="AY34" s="50">
        <f t="shared" si="0"/>
        <v>115.1198</v>
      </c>
      <c r="AZ34" s="50">
        <f t="shared" si="1"/>
        <v>103.7218</v>
      </c>
      <c r="BA34" s="51">
        <f t="shared" si="2"/>
        <v>58.6997</v>
      </c>
    </row>
    <row r="35" spans="1:53" ht="22.5" customHeight="1">
      <c r="A35" s="41" t="s">
        <v>63</v>
      </c>
      <c r="B35" s="42" t="s">
        <v>64</v>
      </c>
      <c r="C35" s="43">
        <v>4015794</v>
      </c>
      <c r="D35" s="44" t="s">
        <v>96</v>
      </c>
      <c r="E35" s="44" t="s">
        <v>99</v>
      </c>
      <c r="F35" s="45">
        <v>7299</v>
      </c>
      <c r="G35" s="45">
        <v>5399</v>
      </c>
      <c r="H35" s="46">
        <v>5699</v>
      </c>
      <c r="I35" s="46">
        <v>5699</v>
      </c>
      <c r="J35" s="45">
        <v>4999</v>
      </c>
      <c r="K35" s="45">
        <v>4899</v>
      </c>
      <c r="L35" s="45">
        <v>4899</v>
      </c>
      <c r="M35" s="45">
        <v>4999</v>
      </c>
      <c r="N35" s="45">
        <v>4899</v>
      </c>
      <c r="O35" s="46">
        <v>4799</v>
      </c>
      <c r="P35" s="46">
        <v>4699</v>
      </c>
      <c r="Q35" s="46">
        <v>4499</v>
      </c>
      <c r="R35" s="46">
        <v>4799</v>
      </c>
      <c r="S35" s="46">
        <v>4699</v>
      </c>
      <c r="T35" s="46">
        <v>4499</v>
      </c>
      <c r="U35" s="46">
        <v>4399</v>
      </c>
      <c r="V35" s="46">
        <v>4399</v>
      </c>
      <c r="W35" s="46">
        <v>4299</v>
      </c>
      <c r="X35" s="46">
        <v>4199</v>
      </c>
      <c r="Y35" s="46">
        <v>3499</v>
      </c>
      <c r="Z35" s="46">
        <v>3499</v>
      </c>
      <c r="AA35" s="46">
        <v>3499</v>
      </c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7"/>
      <c r="AW35" s="48" t="s">
        <v>67</v>
      </c>
      <c r="AX35" s="49" t="s">
        <v>68</v>
      </c>
      <c r="AY35" s="50">
        <f t="shared" si="0"/>
        <v>115.1198</v>
      </c>
      <c r="AZ35" s="50">
        <f t="shared" si="1"/>
        <v>103.7218</v>
      </c>
      <c r="BA35" s="51">
        <f t="shared" si="2"/>
        <v>58.6997</v>
      </c>
    </row>
    <row r="36" spans="1:53" ht="22.5" customHeight="1">
      <c r="A36" s="41" t="s">
        <v>63</v>
      </c>
      <c r="B36" s="42" t="s">
        <v>64</v>
      </c>
      <c r="C36" s="43">
        <v>4015808</v>
      </c>
      <c r="D36" s="44" t="s">
        <v>96</v>
      </c>
      <c r="E36" s="44" t="s">
        <v>100</v>
      </c>
      <c r="F36" s="45">
        <v>7299</v>
      </c>
      <c r="G36" s="45">
        <v>5399</v>
      </c>
      <c r="H36" s="46">
        <v>5699</v>
      </c>
      <c r="I36" s="46">
        <v>5699</v>
      </c>
      <c r="J36" s="45">
        <v>4999</v>
      </c>
      <c r="K36" s="45">
        <v>4899</v>
      </c>
      <c r="L36" s="45">
        <v>4899</v>
      </c>
      <c r="M36" s="45">
        <v>4999</v>
      </c>
      <c r="N36" s="45">
        <v>4899</v>
      </c>
      <c r="O36" s="46">
        <v>4799</v>
      </c>
      <c r="P36" s="46">
        <v>4699</v>
      </c>
      <c r="Q36" s="46">
        <v>4499</v>
      </c>
      <c r="R36" s="46">
        <v>4799</v>
      </c>
      <c r="S36" s="46">
        <v>4699</v>
      </c>
      <c r="T36" s="46">
        <v>4499</v>
      </c>
      <c r="U36" s="46">
        <v>4399</v>
      </c>
      <c r="V36" s="46">
        <v>4399</v>
      </c>
      <c r="W36" s="46">
        <v>4299</v>
      </c>
      <c r="X36" s="46">
        <v>4199</v>
      </c>
      <c r="Y36" s="46">
        <v>3499</v>
      </c>
      <c r="Z36" s="46">
        <v>3499</v>
      </c>
      <c r="AA36" s="46">
        <v>3499</v>
      </c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7"/>
      <c r="AW36" s="48" t="s">
        <v>67</v>
      </c>
      <c r="AX36" s="49" t="s">
        <v>68</v>
      </c>
      <c r="AY36" s="50">
        <f t="shared" si="0"/>
        <v>115.1198</v>
      </c>
      <c r="AZ36" s="50">
        <f t="shared" si="1"/>
        <v>103.7218</v>
      </c>
      <c r="BA36" s="51">
        <f t="shared" si="2"/>
        <v>58.6997</v>
      </c>
    </row>
    <row r="37" spans="1:53" ht="22.5" customHeight="1">
      <c r="A37" s="41" t="s">
        <v>63</v>
      </c>
      <c r="B37" s="42" t="s">
        <v>64</v>
      </c>
      <c r="C37" s="43">
        <v>4015743</v>
      </c>
      <c r="D37" s="44" t="s">
        <v>101</v>
      </c>
      <c r="E37" s="44" t="s">
        <v>102</v>
      </c>
      <c r="F37" s="45">
        <v>8099</v>
      </c>
      <c r="G37" s="45">
        <v>3899</v>
      </c>
      <c r="H37" s="46">
        <v>5199</v>
      </c>
      <c r="I37" s="46">
        <v>5199</v>
      </c>
      <c r="J37" s="45">
        <v>5099</v>
      </c>
      <c r="K37" s="45">
        <v>5099</v>
      </c>
      <c r="L37" s="45">
        <v>5099</v>
      </c>
      <c r="M37" s="45">
        <v>5099</v>
      </c>
      <c r="N37" s="45">
        <v>5099</v>
      </c>
      <c r="O37" s="46">
        <v>4999</v>
      </c>
      <c r="P37" s="46">
        <v>4899</v>
      </c>
      <c r="Q37" s="46">
        <v>3999</v>
      </c>
      <c r="R37" s="46">
        <v>4999</v>
      </c>
      <c r="S37" s="46">
        <v>4899</v>
      </c>
      <c r="T37" s="46">
        <v>3999</v>
      </c>
      <c r="U37" s="46">
        <v>3999</v>
      </c>
      <c r="V37" s="46">
        <v>3999</v>
      </c>
      <c r="W37" s="46">
        <v>3999</v>
      </c>
      <c r="X37" s="46">
        <v>3899</v>
      </c>
      <c r="Y37" s="46">
        <v>3699</v>
      </c>
      <c r="Z37" s="46">
        <v>3699</v>
      </c>
      <c r="AA37" s="46">
        <v>3649</v>
      </c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7"/>
      <c r="AW37" s="48" t="s">
        <v>67</v>
      </c>
      <c r="AX37" s="49" t="s">
        <v>68</v>
      </c>
      <c r="AY37" s="50">
        <f t="shared" si="0"/>
        <v>105.01979999999999</v>
      </c>
      <c r="AZ37" s="50">
        <f t="shared" si="1"/>
        <v>94.621800000000007</v>
      </c>
      <c r="BA37" s="51">
        <f t="shared" si="2"/>
        <v>53.549700000000001</v>
      </c>
    </row>
    <row r="38" spans="1:53" ht="22.5" customHeight="1">
      <c r="A38" s="41" t="s">
        <v>63</v>
      </c>
      <c r="B38" s="42" t="s">
        <v>64</v>
      </c>
      <c r="C38" s="43">
        <v>4015770</v>
      </c>
      <c r="D38" s="44" t="s">
        <v>101</v>
      </c>
      <c r="E38" s="44" t="s">
        <v>103</v>
      </c>
      <c r="F38" s="45">
        <v>8099</v>
      </c>
      <c r="G38" s="45">
        <v>3899</v>
      </c>
      <c r="H38" s="46">
        <v>5199</v>
      </c>
      <c r="I38" s="46">
        <v>5199</v>
      </c>
      <c r="J38" s="45">
        <v>5099</v>
      </c>
      <c r="K38" s="45">
        <v>5099</v>
      </c>
      <c r="L38" s="45">
        <v>5099</v>
      </c>
      <c r="M38" s="45">
        <v>5099</v>
      </c>
      <c r="N38" s="45">
        <v>5099</v>
      </c>
      <c r="O38" s="46">
        <v>4999</v>
      </c>
      <c r="P38" s="46">
        <v>4899</v>
      </c>
      <c r="Q38" s="46">
        <v>3999</v>
      </c>
      <c r="R38" s="46">
        <v>4999</v>
      </c>
      <c r="S38" s="46">
        <v>4899</v>
      </c>
      <c r="T38" s="46">
        <v>3999</v>
      </c>
      <c r="U38" s="46">
        <v>3999</v>
      </c>
      <c r="V38" s="46">
        <v>3999</v>
      </c>
      <c r="W38" s="46">
        <v>3999</v>
      </c>
      <c r="X38" s="46">
        <v>3899</v>
      </c>
      <c r="Y38" s="46">
        <v>3699</v>
      </c>
      <c r="Z38" s="46">
        <v>3699</v>
      </c>
      <c r="AA38" s="46">
        <v>3649</v>
      </c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7"/>
      <c r="AW38" s="48" t="s">
        <v>67</v>
      </c>
      <c r="AX38" s="49" t="s">
        <v>68</v>
      </c>
      <c r="AY38" s="50">
        <f t="shared" si="0"/>
        <v>105.01979999999999</v>
      </c>
      <c r="AZ38" s="50">
        <f t="shared" si="1"/>
        <v>94.621800000000007</v>
      </c>
      <c r="BA38" s="51">
        <f t="shared" si="2"/>
        <v>53.549700000000001</v>
      </c>
    </row>
    <row r="39" spans="1:53" ht="22.5" customHeight="1">
      <c r="A39" s="41" t="s">
        <v>63</v>
      </c>
      <c r="B39" s="42" t="s">
        <v>64</v>
      </c>
      <c r="C39" s="43">
        <v>4015960</v>
      </c>
      <c r="D39" s="44" t="s">
        <v>101</v>
      </c>
      <c r="E39" s="44" t="s">
        <v>104</v>
      </c>
      <c r="F39" s="45">
        <v>8099</v>
      </c>
      <c r="G39" s="45">
        <v>3899</v>
      </c>
      <c r="H39" s="46">
        <v>5199</v>
      </c>
      <c r="I39" s="46">
        <v>5199</v>
      </c>
      <c r="J39" s="45">
        <v>5099</v>
      </c>
      <c r="K39" s="45">
        <v>5099</v>
      </c>
      <c r="L39" s="45">
        <v>5099</v>
      </c>
      <c r="M39" s="45">
        <v>5099</v>
      </c>
      <c r="N39" s="45">
        <v>5099</v>
      </c>
      <c r="O39" s="46">
        <v>4999</v>
      </c>
      <c r="P39" s="46">
        <v>4899</v>
      </c>
      <c r="Q39" s="46">
        <v>3999</v>
      </c>
      <c r="R39" s="46">
        <v>4999</v>
      </c>
      <c r="S39" s="46">
        <v>4899</v>
      </c>
      <c r="T39" s="46">
        <v>3999</v>
      </c>
      <c r="U39" s="46">
        <v>3999</v>
      </c>
      <c r="V39" s="46">
        <v>3999</v>
      </c>
      <c r="W39" s="46">
        <v>3999</v>
      </c>
      <c r="X39" s="46">
        <v>3899</v>
      </c>
      <c r="Y39" s="46">
        <v>3699</v>
      </c>
      <c r="Z39" s="46">
        <v>3699</v>
      </c>
      <c r="AA39" s="46">
        <v>3649</v>
      </c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7"/>
      <c r="AW39" s="48" t="s">
        <v>67</v>
      </c>
      <c r="AX39" s="49" t="s">
        <v>68</v>
      </c>
      <c r="AY39" s="50">
        <f t="shared" si="0"/>
        <v>105.01979999999999</v>
      </c>
      <c r="AZ39" s="50">
        <f t="shared" si="1"/>
        <v>94.621800000000007</v>
      </c>
      <c r="BA39" s="51">
        <f t="shared" si="2"/>
        <v>53.549700000000001</v>
      </c>
    </row>
    <row r="40" spans="1:53" ht="22.5" customHeight="1">
      <c r="A40" s="41" t="s">
        <v>63</v>
      </c>
      <c r="B40" s="42" t="s">
        <v>64</v>
      </c>
      <c r="C40" s="43">
        <v>4015961</v>
      </c>
      <c r="D40" s="44" t="s">
        <v>101</v>
      </c>
      <c r="E40" s="44" t="s">
        <v>105</v>
      </c>
      <c r="F40" s="45">
        <v>8099</v>
      </c>
      <c r="G40" s="45">
        <v>3899</v>
      </c>
      <c r="H40" s="46">
        <v>5199</v>
      </c>
      <c r="I40" s="46">
        <v>5199</v>
      </c>
      <c r="J40" s="45">
        <v>5099</v>
      </c>
      <c r="K40" s="45">
        <v>5099</v>
      </c>
      <c r="L40" s="45">
        <v>5099</v>
      </c>
      <c r="M40" s="45">
        <v>5099</v>
      </c>
      <c r="N40" s="45">
        <v>5099</v>
      </c>
      <c r="O40" s="46">
        <v>4999</v>
      </c>
      <c r="P40" s="46">
        <v>4899</v>
      </c>
      <c r="Q40" s="46">
        <v>3999</v>
      </c>
      <c r="R40" s="46">
        <v>4999</v>
      </c>
      <c r="S40" s="46">
        <v>4899</v>
      </c>
      <c r="T40" s="46">
        <v>3999</v>
      </c>
      <c r="U40" s="46">
        <v>3999</v>
      </c>
      <c r="V40" s="46">
        <v>3999</v>
      </c>
      <c r="W40" s="46">
        <v>3999</v>
      </c>
      <c r="X40" s="46">
        <v>3899</v>
      </c>
      <c r="Y40" s="46">
        <v>3699</v>
      </c>
      <c r="Z40" s="46">
        <v>3699</v>
      </c>
      <c r="AA40" s="46">
        <v>3649</v>
      </c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7"/>
      <c r="AW40" s="48" t="s">
        <v>67</v>
      </c>
      <c r="AX40" s="49" t="s">
        <v>68</v>
      </c>
      <c r="AY40" s="50">
        <f t="shared" si="0"/>
        <v>105.01979999999999</v>
      </c>
      <c r="AZ40" s="50">
        <f t="shared" si="1"/>
        <v>94.621800000000007</v>
      </c>
      <c r="BA40" s="51">
        <f t="shared" si="2"/>
        <v>53.549700000000001</v>
      </c>
    </row>
    <row r="41" spans="1:53" ht="22.5" customHeight="1">
      <c r="A41" s="41" t="s">
        <v>63</v>
      </c>
      <c r="B41" s="42" t="s">
        <v>64</v>
      </c>
      <c r="C41" s="43">
        <v>4015963</v>
      </c>
      <c r="D41" s="44" t="s">
        <v>101</v>
      </c>
      <c r="E41" s="44" t="s">
        <v>106</v>
      </c>
      <c r="F41" s="45">
        <v>8099</v>
      </c>
      <c r="G41" s="45">
        <v>3899</v>
      </c>
      <c r="H41" s="46">
        <v>5199</v>
      </c>
      <c r="I41" s="46">
        <v>5199</v>
      </c>
      <c r="J41" s="45">
        <v>5099</v>
      </c>
      <c r="K41" s="45">
        <v>5099</v>
      </c>
      <c r="L41" s="45">
        <v>5099</v>
      </c>
      <c r="M41" s="45">
        <v>5099</v>
      </c>
      <c r="N41" s="45">
        <v>5099</v>
      </c>
      <c r="O41" s="46">
        <v>4999</v>
      </c>
      <c r="P41" s="46">
        <v>4899</v>
      </c>
      <c r="Q41" s="46">
        <v>3999</v>
      </c>
      <c r="R41" s="46">
        <v>4999</v>
      </c>
      <c r="S41" s="46">
        <v>4899</v>
      </c>
      <c r="T41" s="46">
        <v>3999</v>
      </c>
      <c r="U41" s="46">
        <v>3999</v>
      </c>
      <c r="V41" s="46">
        <v>3999</v>
      </c>
      <c r="W41" s="46">
        <v>3999</v>
      </c>
      <c r="X41" s="46">
        <v>3899</v>
      </c>
      <c r="Y41" s="46">
        <v>3699</v>
      </c>
      <c r="Z41" s="46">
        <v>3699</v>
      </c>
      <c r="AA41" s="46">
        <v>3649</v>
      </c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7"/>
      <c r="AW41" s="48" t="s">
        <v>67</v>
      </c>
      <c r="AX41" s="49" t="s">
        <v>68</v>
      </c>
      <c r="AY41" s="50">
        <f t="shared" si="0"/>
        <v>105.01979999999999</v>
      </c>
      <c r="AZ41" s="50">
        <f t="shared" si="1"/>
        <v>94.621800000000007</v>
      </c>
      <c r="BA41" s="51">
        <f t="shared" si="2"/>
        <v>53.549700000000001</v>
      </c>
    </row>
    <row r="42" spans="1:53" ht="22.5" customHeight="1">
      <c r="A42" s="41" t="s">
        <v>63</v>
      </c>
      <c r="B42" s="42" t="s">
        <v>64</v>
      </c>
      <c r="C42" s="43">
        <v>4015744</v>
      </c>
      <c r="D42" s="44" t="s">
        <v>107</v>
      </c>
      <c r="E42" s="44" t="s">
        <v>108</v>
      </c>
      <c r="F42" s="45">
        <v>9599</v>
      </c>
      <c r="G42" s="45">
        <v>7899</v>
      </c>
      <c r="H42" s="46">
        <v>7499</v>
      </c>
      <c r="I42" s="46">
        <v>7499</v>
      </c>
      <c r="J42" s="45">
        <v>5599</v>
      </c>
      <c r="K42" s="45">
        <v>5599</v>
      </c>
      <c r="L42" s="45">
        <v>5499</v>
      </c>
      <c r="M42" s="45">
        <v>5599</v>
      </c>
      <c r="N42" s="45">
        <v>5599</v>
      </c>
      <c r="O42" s="46">
        <v>5499</v>
      </c>
      <c r="P42" s="46">
        <v>5399</v>
      </c>
      <c r="Q42" s="46">
        <v>5199</v>
      </c>
      <c r="R42" s="46">
        <v>5499</v>
      </c>
      <c r="S42" s="46">
        <v>5399</v>
      </c>
      <c r="T42" s="46">
        <v>5199</v>
      </c>
      <c r="U42" s="46">
        <v>5099</v>
      </c>
      <c r="V42" s="46">
        <v>5099</v>
      </c>
      <c r="W42" s="46">
        <v>5099</v>
      </c>
      <c r="X42" s="46">
        <v>4999</v>
      </c>
      <c r="Y42" s="46">
        <v>4599</v>
      </c>
      <c r="Z42" s="46">
        <v>4599</v>
      </c>
      <c r="AA42" s="46">
        <v>4549</v>
      </c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7"/>
      <c r="AW42" s="48" t="s">
        <v>67</v>
      </c>
      <c r="AX42" s="49" t="s">
        <v>68</v>
      </c>
      <c r="AY42" s="50">
        <f t="shared" si="0"/>
        <v>151.47979999999998</v>
      </c>
      <c r="AZ42" s="50">
        <f t="shared" si="1"/>
        <v>136.48179999999999</v>
      </c>
      <c r="BA42" s="51">
        <f t="shared" si="2"/>
        <v>77.239699999999999</v>
      </c>
    </row>
    <row r="43" spans="1:53" ht="22.5" customHeight="1">
      <c r="A43" s="41" t="s">
        <v>63</v>
      </c>
      <c r="B43" s="42" t="s">
        <v>64</v>
      </c>
      <c r="C43" s="43">
        <v>4015965</v>
      </c>
      <c r="D43" s="44" t="s">
        <v>107</v>
      </c>
      <c r="E43" s="44" t="s">
        <v>109</v>
      </c>
      <c r="F43" s="45">
        <v>9599</v>
      </c>
      <c r="G43" s="45">
        <v>7899</v>
      </c>
      <c r="H43" s="46">
        <v>7499</v>
      </c>
      <c r="I43" s="46">
        <v>7499</v>
      </c>
      <c r="J43" s="45">
        <v>5599</v>
      </c>
      <c r="K43" s="45">
        <v>5599</v>
      </c>
      <c r="L43" s="45">
        <v>5499</v>
      </c>
      <c r="M43" s="45">
        <v>5599</v>
      </c>
      <c r="N43" s="45">
        <v>5599</v>
      </c>
      <c r="O43" s="46">
        <v>5499</v>
      </c>
      <c r="P43" s="46">
        <v>5399</v>
      </c>
      <c r="Q43" s="46">
        <v>5199</v>
      </c>
      <c r="R43" s="46">
        <v>5499</v>
      </c>
      <c r="S43" s="46">
        <v>5399</v>
      </c>
      <c r="T43" s="46">
        <v>5199</v>
      </c>
      <c r="U43" s="46">
        <v>5099</v>
      </c>
      <c r="V43" s="46">
        <v>5099</v>
      </c>
      <c r="W43" s="46">
        <v>5099</v>
      </c>
      <c r="X43" s="46">
        <v>4999</v>
      </c>
      <c r="Y43" s="46">
        <v>4599</v>
      </c>
      <c r="Z43" s="46">
        <v>4599</v>
      </c>
      <c r="AA43" s="46">
        <v>4549</v>
      </c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7"/>
      <c r="AW43" s="48" t="s">
        <v>67</v>
      </c>
      <c r="AX43" s="49" t="s">
        <v>68</v>
      </c>
      <c r="AY43" s="50">
        <f t="shared" si="0"/>
        <v>151.47979999999998</v>
      </c>
      <c r="AZ43" s="50">
        <f t="shared" si="1"/>
        <v>136.48179999999999</v>
      </c>
      <c r="BA43" s="51">
        <f t="shared" si="2"/>
        <v>77.239699999999999</v>
      </c>
    </row>
    <row r="44" spans="1:53" ht="22.5" customHeight="1">
      <c r="A44" s="41" t="s">
        <v>63</v>
      </c>
      <c r="B44" s="42" t="s">
        <v>64</v>
      </c>
      <c r="C44" s="43">
        <v>4015746</v>
      </c>
      <c r="D44" s="44" t="s">
        <v>110</v>
      </c>
      <c r="E44" s="44" t="s">
        <v>111</v>
      </c>
      <c r="F44" s="45">
        <v>9099</v>
      </c>
      <c r="G44" s="45">
        <v>6099</v>
      </c>
      <c r="H44" s="46">
        <v>6999</v>
      </c>
      <c r="I44" s="46">
        <v>6999</v>
      </c>
      <c r="J44" s="45">
        <v>5899</v>
      </c>
      <c r="K44" s="45">
        <v>5899</v>
      </c>
      <c r="L44" s="45">
        <v>5899</v>
      </c>
      <c r="M44" s="45">
        <v>5899</v>
      </c>
      <c r="N44" s="45">
        <v>5899</v>
      </c>
      <c r="O44" s="46">
        <v>5799</v>
      </c>
      <c r="P44" s="46">
        <v>5699</v>
      </c>
      <c r="Q44" s="46">
        <v>5499</v>
      </c>
      <c r="R44" s="46">
        <v>5799</v>
      </c>
      <c r="S44" s="46">
        <v>5699</v>
      </c>
      <c r="T44" s="46">
        <v>5499</v>
      </c>
      <c r="U44" s="46">
        <v>5499</v>
      </c>
      <c r="V44" s="46">
        <v>5499</v>
      </c>
      <c r="W44" s="46">
        <v>5499</v>
      </c>
      <c r="X44" s="46">
        <v>5399</v>
      </c>
      <c r="Y44" s="46">
        <v>4999</v>
      </c>
      <c r="Z44" s="46">
        <v>4999</v>
      </c>
      <c r="AA44" s="46">
        <v>4999</v>
      </c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7"/>
      <c r="AW44" s="48" t="s">
        <v>67</v>
      </c>
      <c r="AX44" s="49" t="s">
        <v>68</v>
      </c>
      <c r="AY44" s="50">
        <f t="shared" si="0"/>
        <v>141.37979999999999</v>
      </c>
      <c r="AZ44" s="50">
        <f t="shared" si="1"/>
        <v>127.38180000000001</v>
      </c>
      <c r="BA44" s="51">
        <f t="shared" si="2"/>
        <v>72.089700000000008</v>
      </c>
    </row>
    <row r="45" spans="1:53" ht="22.5" customHeight="1">
      <c r="A45" s="41" t="s">
        <v>63</v>
      </c>
      <c r="B45" s="42" t="s">
        <v>64</v>
      </c>
      <c r="C45" s="43">
        <v>4015748</v>
      </c>
      <c r="D45" s="44" t="s">
        <v>112</v>
      </c>
      <c r="E45" s="44" t="s">
        <v>113</v>
      </c>
      <c r="F45" s="45">
        <v>9299</v>
      </c>
      <c r="G45" s="45">
        <v>6399</v>
      </c>
      <c r="H45" s="46">
        <v>7099</v>
      </c>
      <c r="I45" s="46">
        <v>7099</v>
      </c>
      <c r="J45" s="45">
        <v>6399</v>
      </c>
      <c r="K45" s="45">
        <v>6399</v>
      </c>
      <c r="L45" s="45">
        <v>6399</v>
      </c>
      <c r="M45" s="45">
        <v>6399</v>
      </c>
      <c r="N45" s="45">
        <v>6399</v>
      </c>
      <c r="O45" s="45">
        <v>6299</v>
      </c>
      <c r="P45" s="46">
        <v>6199</v>
      </c>
      <c r="Q45" s="46">
        <v>5999</v>
      </c>
      <c r="R45" s="45">
        <v>6299</v>
      </c>
      <c r="S45" s="45">
        <v>6199</v>
      </c>
      <c r="T45" s="46">
        <v>5999</v>
      </c>
      <c r="U45" s="46">
        <v>5999</v>
      </c>
      <c r="V45" s="46">
        <v>5999</v>
      </c>
      <c r="W45" s="46">
        <v>5999</v>
      </c>
      <c r="X45" s="46">
        <v>5899</v>
      </c>
      <c r="Y45" s="46">
        <v>5499</v>
      </c>
      <c r="Z45" s="46">
        <v>5499</v>
      </c>
      <c r="AA45" s="46">
        <v>5499</v>
      </c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7"/>
      <c r="AW45" s="48" t="s">
        <v>67</v>
      </c>
      <c r="AX45" s="49" t="s">
        <v>68</v>
      </c>
      <c r="AY45" s="50">
        <f t="shared" si="0"/>
        <v>143.3998</v>
      </c>
      <c r="AZ45" s="50">
        <f t="shared" si="1"/>
        <v>129.20180000000002</v>
      </c>
      <c r="BA45" s="51">
        <f t="shared" si="2"/>
        <v>73.119699999999995</v>
      </c>
    </row>
    <row r="46" spans="1:53" ht="22.5" customHeight="1">
      <c r="A46" s="41" t="s">
        <v>63</v>
      </c>
      <c r="B46" s="42" t="s">
        <v>64</v>
      </c>
      <c r="C46" s="43">
        <v>4015796</v>
      </c>
      <c r="D46" s="44" t="s">
        <v>112</v>
      </c>
      <c r="E46" s="44" t="s">
        <v>114</v>
      </c>
      <c r="F46" s="45">
        <v>9299</v>
      </c>
      <c r="G46" s="45">
        <v>6399</v>
      </c>
      <c r="H46" s="46">
        <v>7099</v>
      </c>
      <c r="I46" s="46">
        <v>7099</v>
      </c>
      <c r="J46" s="45">
        <v>6399</v>
      </c>
      <c r="K46" s="45">
        <v>6399</v>
      </c>
      <c r="L46" s="45">
        <v>6399</v>
      </c>
      <c r="M46" s="45">
        <v>6399</v>
      </c>
      <c r="N46" s="45">
        <v>6399</v>
      </c>
      <c r="O46" s="45">
        <v>6299</v>
      </c>
      <c r="P46" s="46">
        <v>6199</v>
      </c>
      <c r="Q46" s="46">
        <v>5999</v>
      </c>
      <c r="R46" s="45">
        <v>6299</v>
      </c>
      <c r="S46" s="45">
        <v>6199</v>
      </c>
      <c r="T46" s="46">
        <v>5999</v>
      </c>
      <c r="U46" s="46">
        <v>5999</v>
      </c>
      <c r="V46" s="46">
        <v>5999</v>
      </c>
      <c r="W46" s="46">
        <v>5999</v>
      </c>
      <c r="X46" s="46">
        <v>5899</v>
      </c>
      <c r="Y46" s="46">
        <v>5499</v>
      </c>
      <c r="Z46" s="46">
        <v>5499</v>
      </c>
      <c r="AA46" s="46">
        <v>5499</v>
      </c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7"/>
      <c r="AW46" s="48" t="s">
        <v>67</v>
      </c>
      <c r="AX46" s="49" t="s">
        <v>68</v>
      </c>
      <c r="AY46" s="50">
        <f t="shared" si="0"/>
        <v>143.3998</v>
      </c>
      <c r="AZ46" s="50">
        <f t="shared" si="1"/>
        <v>129.20180000000002</v>
      </c>
      <c r="BA46" s="51">
        <f t="shared" si="2"/>
        <v>73.119699999999995</v>
      </c>
    </row>
    <row r="47" spans="1:53" ht="22.5" customHeight="1">
      <c r="A47" s="41" t="s">
        <v>63</v>
      </c>
      <c r="B47" s="42" t="s">
        <v>64</v>
      </c>
      <c r="C47" s="43">
        <v>4015767</v>
      </c>
      <c r="D47" s="44" t="s">
        <v>112</v>
      </c>
      <c r="E47" s="44" t="s">
        <v>115</v>
      </c>
      <c r="F47" s="45">
        <v>9299</v>
      </c>
      <c r="G47" s="45">
        <v>6399</v>
      </c>
      <c r="H47" s="46">
        <v>7099</v>
      </c>
      <c r="I47" s="46">
        <v>7099</v>
      </c>
      <c r="J47" s="45">
        <v>6399</v>
      </c>
      <c r="K47" s="45">
        <v>6399</v>
      </c>
      <c r="L47" s="45">
        <v>6399</v>
      </c>
      <c r="M47" s="45">
        <v>6399</v>
      </c>
      <c r="N47" s="45">
        <v>6399</v>
      </c>
      <c r="O47" s="45">
        <v>6299</v>
      </c>
      <c r="P47" s="46">
        <v>6199</v>
      </c>
      <c r="Q47" s="46">
        <v>5999</v>
      </c>
      <c r="R47" s="45">
        <v>6299</v>
      </c>
      <c r="S47" s="45">
        <v>6199</v>
      </c>
      <c r="T47" s="46">
        <v>5999</v>
      </c>
      <c r="U47" s="46">
        <v>5999</v>
      </c>
      <c r="V47" s="46">
        <v>5999</v>
      </c>
      <c r="W47" s="46">
        <v>5999</v>
      </c>
      <c r="X47" s="46">
        <v>5899</v>
      </c>
      <c r="Y47" s="46">
        <v>5499</v>
      </c>
      <c r="Z47" s="46">
        <v>5499</v>
      </c>
      <c r="AA47" s="46">
        <v>5499</v>
      </c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7"/>
      <c r="AW47" s="48" t="s">
        <v>67</v>
      </c>
      <c r="AX47" s="49" t="s">
        <v>68</v>
      </c>
      <c r="AY47" s="50">
        <f t="shared" si="0"/>
        <v>143.3998</v>
      </c>
      <c r="AZ47" s="50">
        <f t="shared" si="1"/>
        <v>129.20180000000002</v>
      </c>
      <c r="BA47" s="51">
        <f t="shared" si="2"/>
        <v>73.119699999999995</v>
      </c>
    </row>
    <row r="48" spans="1:53" ht="22.5" customHeight="1">
      <c r="A48" s="41" t="s">
        <v>63</v>
      </c>
      <c r="B48" s="42" t="s">
        <v>64</v>
      </c>
      <c r="C48" s="43">
        <v>4015782</v>
      </c>
      <c r="D48" s="44" t="s">
        <v>112</v>
      </c>
      <c r="E48" s="44" t="s">
        <v>116</v>
      </c>
      <c r="F48" s="45">
        <v>9299</v>
      </c>
      <c r="G48" s="45">
        <v>6399</v>
      </c>
      <c r="H48" s="46">
        <v>7099</v>
      </c>
      <c r="I48" s="46">
        <v>7099</v>
      </c>
      <c r="J48" s="45">
        <v>6399</v>
      </c>
      <c r="K48" s="45">
        <v>6399</v>
      </c>
      <c r="L48" s="45">
        <v>6399</v>
      </c>
      <c r="M48" s="45">
        <v>6399</v>
      </c>
      <c r="N48" s="45">
        <v>6399</v>
      </c>
      <c r="O48" s="45">
        <v>6299</v>
      </c>
      <c r="P48" s="46">
        <v>6199</v>
      </c>
      <c r="Q48" s="46">
        <v>5999</v>
      </c>
      <c r="R48" s="45">
        <v>6299</v>
      </c>
      <c r="S48" s="45">
        <v>6199</v>
      </c>
      <c r="T48" s="46">
        <v>5999</v>
      </c>
      <c r="U48" s="46">
        <v>5999</v>
      </c>
      <c r="V48" s="46">
        <v>5999</v>
      </c>
      <c r="W48" s="46">
        <v>5999</v>
      </c>
      <c r="X48" s="46">
        <v>5899</v>
      </c>
      <c r="Y48" s="46">
        <v>5499</v>
      </c>
      <c r="Z48" s="46">
        <v>5499</v>
      </c>
      <c r="AA48" s="46">
        <v>5499</v>
      </c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7"/>
      <c r="AW48" s="48" t="s">
        <v>67</v>
      </c>
      <c r="AX48" s="49" t="s">
        <v>68</v>
      </c>
      <c r="AY48" s="50">
        <f t="shared" si="0"/>
        <v>143.3998</v>
      </c>
      <c r="AZ48" s="50">
        <f t="shared" si="1"/>
        <v>129.20180000000002</v>
      </c>
      <c r="BA48" s="51">
        <f t="shared" si="2"/>
        <v>73.119699999999995</v>
      </c>
    </row>
    <row r="49" spans="1:53" ht="22.5" customHeight="1">
      <c r="A49" s="41" t="s">
        <v>63</v>
      </c>
      <c r="B49" s="42" t="s">
        <v>64</v>
      </c>
      <c r="C49" s="43">
        <v>4015749</v>
      </c>
      <c r="D49" s="44" t="s">
        <v>117</v>
      </c>
      <c r="E49" s="44" t="s">
        <v>118</v>
      </c>
      <c r="F49" s="45">
        <v>10099</v>
      </c>
      <c r="G49" s="45">
        <v>7999</v>
      </c>
      <c r="H49" s="46">
        <v>7799</v>
      </c>
      <c r="I49" s="46">
        <v>7799</v>
      </c>
      <c r="J49" s="45">
        <v>6899</v>
      </c>
      <c r="K49" s="45">
        <v>6899</v>
      </c>
      <c r="L49" s="45">
        <v>6899</v>
      </c>
      <c r="M49" s="45">
        <v>6899</v>
      </c>
      <c r="N49" s="45">
        <v>6899</v>
      </c>
      <c r="O49" s="45">
        <v>6799</v>
      </c>
      <c r="P49" s="46">
        <v>6699</v>
      </c>
      <c r="Q49" s="46">
        <v>6499</v>
      </c>
      <c r="R49" s="45">
        <v>6799</v>
      </c>
      <c r="S49" s="45">
        <v>6699</v>
      </c>
      <c r="T49" s="46">
        <v>6499</v>
      </c>
      <c r="U49" s="46">
        <v>6499</v>
      </c>
      <c r="V49" s="46">
        <v>6499</v>
      </c>
      <c r="W49" s="46">
        <v>6499</v>
      </c>
      <c r="X49" s="46">
        <v>6399</v>
      </c>
      <c r="Y49" s="46">
        <v>5999</v>
      </c>
      <c r="Z49" s="46">
        <v>5999</v>
      </c>
      <c r="AA49" s="46">
        <v>5999</v>
      </c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7"/>
      <c r="AW49" s="48" t="s">
        <v>67</v>
      </c>
      <c r="AX49" s="49" t="s">
        <v>68</v>
      </c>
      <c r="AY49" s="50">
        <f t="shared" si="0"/>
        <v>157.53979999999999</v>
      </c>
      <c r="AZ49" s="50">
        <f t="shared" si="1"/>
        <v>141.9418</v>
      </c>
      <c r="BA49" s="51">
        <f t="shared" si="2"/>
        <v>80.329700000000003</v>
      </c>
    </row>
    <row r="50" spans="1:53" ht="22.5" customHeight="1">
      <c r="A50" s="41" t="s">
        <v>63</v>
      </c>
      <c r="B50" s="42" t="s">
        <v>64</v>
      </c>
      <c r="C50" s="43">
        <v>4015797</v>
      </c>
      <c r="D50" s="44" t="s">
        <v>117</v>
      </c>
      <c r="E50" s="44" t="s">
        <v>119</v>
      </c>
      <c r="F50" s="45">
        <v>10099</v>
      </c>
      <c r="G50" s="45">
        <v>7999</v>
      </c>
      <c r="H50" s="46">
        <v>7799</v>
      </c>
      <c r="I50" s="46">
        <v>7799</v>
      </c>
      <c r="J50" s="45">
        <v>6899</v>
      </c>
      <c r="K50" s="45">
        <v>6899</v>
      </c>
      <c r="L50" s="45">
        <v>6899</v>
      </c>
      <c r="M50" s="45">
        <v>6899</v>
      </c>
      <c r="N50" s="45">
        <v>6899</v>
      </c>
      <c r="O50" s="45">
        <v>6799</v>
      </c>
      <c r="P50" s="46">
        <v>6699</v>
      </c>
      <c r="Q50" s="46">
        <v>6499</v>
      </c>
      <c r="R50" s="45">
        <v>6799</v>
      </c>
      <c r="S50" s="45">
        <v>6699</v>
      </c>
      <c r="T50" s="46">
        <v>6499</v>
      </c>
      <c r="U50" s="46">
        <v>6499</v>
      </c>
      <c r="V50" s="46">
        <v>6499</v>
      </c>
      <c r="W50" s="46">
        <v>6499</v>
      </c>
      <c r="X50" s="46">
        <v>6399</v>
      </c>
      <c r="Y50" s="46">
        <v>5999</v>
      </c>
      <c r="Z50" s="46">
        <v>5999</v>
      </c>
      <c r="AA50" s="46">
        <v>5999</v>
      </c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7"/>
      <c r="AW50" s="48" t="s">
        <v>67</v>
      </c>
      <c r="AX50" s="49" t="s">
        <v>68</v>
      </c>
      <c r="AY50" s="50">
        <f t="shared" si="0"/>
        <v>157.53979999999999</v>
      </c>
      <c r="AZ50" s="50">
        <f t="shared" si="1"/>
        <v>141.9418</v>
      </c>
      <c r="BA50" s="51">
        <f t="shared" si="2"/>
        <v>80.329700000000003</v>
      </c>
    </row>
    <row r="51" spans="1:53" ht="22.5" customHeight="1">
      <c r="A51" s="41" t="s">
        <v>63</v>
      </c>
      <c r="B51" s="42" t="s">
        <v>64</v>
      </c>
      <c r="C51" s="43">
        <v>4015769</v>
      </c>
      <c r="D51" s="44" t="s">
        <v>117</v>
      </c>
      <c r="E51" s="44" t="s">
        <v>120</v>
      </c>
      <c r="F51" s="45">
        <v>10099</v>
      </c>
      <c r="G51" s="45">
        <v>7999</v>
      </c>
      <c r="H51" s="46">
        <v>7799</v>
      </c>
      <c r="I51" s="46">
        <v>7799</v>
      </c>
      <c r="J51" s="45">
        <v>6899</v>
      </c>
      <c r="K51" s="45">
        <v>6899</v>
      </c>
      <c r="L51" s="45">
        <v>6899</v>
      </c>
      <c r="M51" s="45">
        <v>6899</v>
      </c>
      <c r="N51" s="45">
        <v>6899</v>
      </c>
      <c r="O51" s="45">
        <v>6799</v>
      </c>
      <c r="P51" s="46">
        <v>6699</v>
      </c>
      <c r="Q51" s="46">
        <v>6499</v>
      </c>
      <c r="R51" s="45">
        <v>6799</v>
      </c>
      <c r="S51" s="45">
        <v>6699</v>
      </c>
      <c r="T51" s="46">
        <v>6499</v>
      </c>
      <c r="U51" s="46">
        <v>6499</v>
      </c>
      <c r="V51" s="46">
        <v>6499</v>
      </c>
      <c r="W51" s="46">
        <v>6499</v>
      </c>
      <c r="X51" s="46">
        <v>6399</v>
      </c>
      <c r="Y51" s="46">
        <v>5999</v>
      </c>
      <c r="Z51" s="46">
        <v>5999</v>
      </c>
      <c r="AA51" s="46">
        <v>5999</v>
      </c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7"/>
      <c r="AW51" s="48" t="s">
        <v>67</v>
      </c>
      <c r="AX51" s="49" t="s">
        <v>68</v>
      </c>
      <c r="AY51" s="50">
        <f t="shared" si="0"/>
        <v>157.53979999999999</v>
      </c>
      <c r="AZ51" s="50">
        <f t="shared" si="1"/>
        <v>141.9418</v>
      </c>
      <c r="BA51" s="51">
        <f t="shared" si="2"/>
        <v>80.329700000000003</v>
      </c>
    </row>
    <row r="52" spans="1:53" ht="22.5" customHeight="1">
      <c r="A52" s="41" t="s">
        <v>63</v>
      </c>
      <c r="B52" s="42" t="s">
        <v>64</v>
      </c>
      <c r="C52" s="43">
        <v>4015784</v>
      </c>
      <c r="D52" s="44" t="s">
        <v>117</v>
      </c>
      <c r="E52" s="44" t="s">
        <v>121</v>
      </c>
      <c r="F52" s="45">
        <v>10099</v>
      </c>
      <c r="G52" s="45">
        <v>7999</v>
      </c>
      <c r="H52" s="46">
        <v>7799</v>
      </c>
      <c r="I52" s="46">
        <v>7799</v>
      </c>
      <c r="J52" s="45">
        <v>6899</v>
      </c>
      <c r="K52" s="45">
        <v>6899</v>
      </c>
      <c r="L52" s="45">
        <v>6899</v>
      </c>
      <c r="M52" s="45">
        <v>6899</v>
      </c>
      <c r="N52" s="45">
        <v>6899</v>
      </c>
      <c r="O52" s="45">
        <v>6799</v>
      </c>
      <c r="P52" s="46">
        <v>6699</v>
      </c>
      <c r="Q52" s="46">
        <v>6499</v>
      </c>
      <c r="R52" s="45">
        <v>6799</v>
      </c>
      <c r="S52" s="45">
        <v>6699</v>
      </c>
      <c r="T52" s="46">
        <v>6499</v>
      </c>
      <c r="U52" s="46">
        <v>6499</v>
      </c>
      <c r="V52" s="46">
        <v>6499</v>
      </c>
      <c r="W52" s="46">
        <v>6499</v>
      </c>
      <c r="X52" s="46">
        <v>6399</v>
      </c>
      <c r="Y52" s="46">
        <v>5999</v>
      </c>
      <c r="Z52" s="46">
        <v>5999</v>
      </c>
      <c r="AA52" s="46">
        <v>5999</v>
      </c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7"/>
      <c r="AW52" s="48" t="s">
        <v>67</v>
      </c>
      <c r="AX52" s="49" t="s">
        <v>68</v>
      </c>
      <c r="AY52" s="50">
        <f t="shared" si="0"/>
        <v>157.53979999999999</v>
      </c>
      <c r="AZ52" s="50">
        <f t="shared" si="1"/>
        <v>141.9418</v>
      </c>
      <c r="BA52" s="51">
        <f t="shared" si="2"/>
        <v>80.329700000000003</v>
      </c>
    </row>
    <row r="53" spans="1:53" ht="22.5" customHeight="1">
      <c r="A53" s="41" t="s">
        <v>63</v>
      </c>
      <c r="B53" s="42" t="s">
        <v>64</v>
      </c>
      <c r="C53" s="43">
        <v>4015762</v>
      </c>
      <c r="D53" s="44" t="s">
        <v>122</v>
      </c>
      <c r="E53" s="44" t="s">
        <v>123</v>
      </c>
      <c r="F53" s="45">
        <v>10999</v>
      </c>
      <c r="G53" s="45">
        <v>7899</v>
      </c>
      <c r="H53" s="46">
        <v>7499</v>
      </c>
      <c r="I53" s="46">
        <v>7499</v>
      </c>
      <c r="J53" s="45">
        <v>7399</v>
      </c>
      <c r="K53" s="45">
        <v>7399</v>
      </c>
      <c r="L53" s="45">
        <v>7399</v>
      </c>
      <c r="M53" s="45">
        <v>7399</v>
      </c>
      <c r="N53" s="45">
        <v>7399</v>
      </c>
      <c r="O53" s="45">
        <v>7299</v>
      </c>
      <c r="P53" s="46">
        <v>7199</v>
      </c>
      <c r="Q53" s="46">
        <v>6999</v>
      </c>
      <c r="R53" s="45">
        <v>7299</v>
      </c>
      <c r="S53" s="45">
        <v>7199</v>
      </c>
      <c r="T53" s="46">
        <v>6999</v>
      </c>
      <c r="U53" s="46">
        <v>6999</v>
      </c>
      <c r="V53" s="46">
        <v>6999</v>
      </c>
      <c r="W53" s="46">
        <v>6999</v>
      </c>
      <c r="X53" s="46">
        <v>6899</v>
      </c>
      <c r="Y53" s="46">
        <v>6499</v>
      </c>
      <c r="Z53" s="46">
        <v>6499</v>
      </c>
      <c r="AA53" s="46">
        <v>6499</v>
      </c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7"/>
      <c r="AW53" s="48" t="s">
        <v>67</v>
      </c>
      <c r="AX53" s="49" t="s">
        <v>68</v>
      </c>
      <c r="AY53" s="50">
        <f t="shared" si="0"/>
        <v>151.47979999999998</v>
      </c>
      <c r="AZ53" s="50">
        <f t="shared" si="1"/>
        <v>136.48179999999999</v>
      </c>
      <c r="BA53" s="51">
        <f t="shared" si="2"/>
        <v>77.239699999999999</v>
      </c>
    </row>
    <row r="54" spans="1:53" ht="22.5" customHeight="1">
      <c r="A54" s="41" t="s">
        <v>63</v>
      </c>
      <c r="B54" s="42" t="s">
        <v>64</v>
      </c>
      <c r="C54" s="43">
        <v>4015774</v>
      </c>
      <c r="D54" s="44" t="s">
        <v>122</v>
      </c>
      <c r="E54" s="44" t="s">
        <v>124</v>
      </c>
      <c r="F54" s="45">
        <v>10999</v>
      </c>
      <c r="G54" s="45">
        <v>7899</v>
      </c>
      <c r="H54" s="46">
        <v>7499</v>
      </c>
      <c r="I54" s="46">
        <v>7499</v>
      </c>
      <c r="J54" s="45">
        <v>7399</v>
      </c>
      <c r="K54" s="45">
        <v>7399</v>
      </c>
      <c r="L54" s="45">
        <v>7399</v>
      </c>
      <c r="M54" s="45">
        <v>7399</v>
      </c>
      <c r="N54" s="45">
        <v>7399</v>
      </c>
      <c r="O54" s="45">
        <v>7299</v>
      </c>
      <c r="P54" s="46">
        <v>7199</v>
      </c>
      <c r="Q54" s="46">
        <v>6999</v>
      </c>
      <c r="R54" s="45">
        <v>7299</v>
      </c>
      <c r="S54" s="45">
        <v>7199</v>
      </c>
      <c r="T54" s="46">
        <v>6999</v>
      </c>
      <c r="U54" s="46">
        <v>6999</v>
      </c>
      <c r="V54" s="46">
        <v>6999</v>
      </c>
      <c r="W54" s="46">
        <v>6999</v>
      </c>
      <c r="X54" s="46">
        <v>6899</v>
      </c>
      <c r="Y54" s="46">
        <v>6499</v>
      </c>
      <c r="Z54" s="46">
        <v>6499</v>
      </c>
      <c r="AA54" s="46">
        <v>6499</v>
      </c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7"/>
      <c r="AW54" s="48" t="s">
        <v>67</v>
      </c>
      <c r="AX54" s="49" t="s">
        <v>68</v>
      </c>
      <c r="AY54" s="50">
        <f t="shared" si="0"/>
        <v>151.47979999999998</v>
      </c>
      <c r="AZ54" s="50">
        <f t="shared" si="1"/>
        <v>136.48179999999999</v>
      </c>
      <c r="BA54" s="51">
        <f t="shared" si="2"/>
        <v>77.239699999999999</v>
      </c>
    </row>
    <row r="55" spans="1:53" ht="22.5" customHeight="1">
      <c r="A55" s="41" t="s">
        <v>63</v>
      </c>
      <c r="B55" s="42" t="s">
        <v>64</v>
      </c>
      <c r="C55" s="43">
        <v>4015788</v>
      </c>
      <c r="D55" s="44" t="s">
        <v>122</v>
      </c>
      <c r="E55" s="44" t="s">
        <v>125</v>
      </c>
      <c r="F55" s="45">
        <v>10999</v>
      </c>
      <c r="G55" s="45">
        <v>7899</v>
      </c>
      <c r="H55" s="46">
        <v>7499</v>
      </c>
      <c r="I55" s="46">
        <v>7499</v>
      </c>
      <c r="J55" s="45">
        <v>7399</v>
      </c>
      <c r="K55" s="45">
        <v>7399</v>
      </c>
      <c r="L55" s="45">
        <v>7399</v>
      </c>
      <c r="M55" s="45">
        <v>7399</v>
      </c>
      <c r="N55" s="45">
        <v>7399</v>
      </c>
      <c r="O55" s="45">
        <v>7299</v>
      </c>
      <c r="P55" s="46">
        <v>7199</v>
      </c>
      <c r="Q55" s="46">
        <v>6999</v>
      </c>
      <c r="R55" s="45">
        <v>7299</v>
      </c>
      <c r="S55" s="45">
        <v>7199</v>
      </c>
      <c r="T55" s="46">
        <v>6999</v>
      </c>
      <c r="U55" s="46">
        <v>6999</v>
      </c>
      <c r="V55" s="46">
        <v>6999</v>
      </c>
      <c r="W55" s="46">
        <v>6999</v>
      </c>
      <c r="X55" s="46">
        <v>6899</v>
      </c>
      <c r="Y55" s="46">
        <v>6499</v>
      </c>
      <c r="Z55" s="46">
        <v>6499</v>
      </c>
      <c r="AA55" s="46">
        <v>6499</v>
      </c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7"/>
      <c r="AW55" s="48" t="s">
        <v>67</v>
      </c>
      <c r="AX55" s="49" t="s">
        <v>68</v>
      </c>
      <c r="AY55" s="50">
        <f t="shared" si="0"/>
        <v>151.47979999999998</v>
      </c>
      <c r="AZ55" s="50">
        <f t="shared" si="1"/>
        <v>136.48179999999999</v>
      </c>
      <c r="BA55" s="51">
        <f t="shared" si="2"/>
        <v>77.239699999999999</v>
      </c>
    </row>
    <row r="56" spans="1:53" ht="22.5" customHeight="1">
      <c r="A56" s="41" t="s">
        <v>63</v>
      </c>
      <c r="B56" s="42" t="s">
        <v>64</v>
      </c>
      <c r="C56" s="43">
        <v>4015763</v>
      </c>
      <c r="D56" s="44" t="s">
        <v>126</v>
      </c>
      <c r="E56" s="44" t="s">
        <v>127</v>
      </c>
      <c r="F56" s="45">
        <v>12499</v>
      </c>
      <c r="G56" s="45">
        <v>9999</v>
      </c>
      <c r="H56" s="46">
        <v>7999</v>
      </c>
      <c r="I56" s="46">
        <v>7999</v>
      </c>
      <c r="J56" s="45">
        <v>7899</v>
      </c>
      <c r="K56" s="45">
        <v>7899</v>
      </c>
      <c r="L56" s="45">
        <v>7899</v>
      </c>
      <c r="M56" s="45">
        <v>7899</v>
      </c>
      <c r="N56" s="45">
        <v>7899</v>
      </c>
      <c r="O56" s="45">
        <v>7799</v>
      </c>
      <c r="P56" s="46">
        <v>7699</v>
      </c>
      <c r="Q56" s="46">
        <v>7499</v>
      </c>
      <c r="R56" s="45">
        <v>7799</v>
      </c>
      <c r="S56" s="45">
        <v>7699</v>
      </c>
      <c r="T56" s="46">
        <v>7499</v>
      </c>
      <c r="U56" s="46">
        <v>7499</v>
      </c>
      <c r="V56" s="46">
        <v>7499</v>
      </c>
      <c r="W56" s="46">
        <v>7499</v>
      </c>
      <c r="X56" s="46">
        <v>7399</v>
      </c>
      <c r="Y56" s="46">
        <v>6999</v>
      </c>
      <c r="Z56" s="46">
        <v>6999</v>
      </c>
      <c r="AA56" s="46">
        <v>6999</v>
      </c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7"/>
      <c r="AW56" s="48" t="s">
        <v>67</v>
      </c>
      <c r="AX56" s="49" t="s">
        <v>68</v>
      </c>
      <c r="AY56" s="50">
        <f t="shared" si="0"/>
        <v>161.57980000000001</v>
      </c>
      <c r="AZ56" s="50">
        <f t="shared" si="1"/>
        <v>145.58180000000002</v>
      </c>
      <c r="BA56" s="51">
        <f t="shared" si="2"/>
        <v>82.389700000000005</v>
      </c>
    </row>
    <row r="57" spans="1:53" ht="22.5" customHeight="1">
      <c r="A57" s="41" t="s">
        <v>63</v>
      </c>
      <c r="B57" s="42" t="s">
        <v>64</v>
      </c>
      <c r="C57" s="43">
        <v>4015779</v>
      </c>
      <c r="D57" s="44" t="s">
        <v>126</v>
      </c>
      <c r="E57" s="44" t="s">
        <v>128</v>
      </c>
      <c r="F57" s="45">
        <v>12499</v>
      </c>
      <c r="G57" s="45">
        <v>9999</v>
      </c>
      <c r="H57" s="46">
        <v>7999</v>
      </c>
      <c r="I57" s="46">
        <v>7999</v>
      </c>
      <c r="J57" s="45">
        <v>7899</v>
      </c>
      <c r="K57" s="45">
        <v>7899</v>
      </c>
      <c r="L57" s="45">
        <v>7899</v>
      </c>
      <c r="M57" s="45">
        <v>7899</v>
      </c>
      <c r="N57" s="45">
        <v>7899</v>
      </c>
      <c r="O57" s="45">
        <v>7799</v>
      </c>
      <c r="P57" s="46">
        <v>7699</v>
      </c>
      <c r="Q57" s="46">
        <v>7499</v>
      </c>
      <c r="R57" s="45">
        <v>7799</v>
      </c>
      <c r="S57" s="45">
        <v>7699</v>
      </c>
      <c r="T57" s="46">
        <v>7499</v>
      </c>
      <c r="U57" s="46">
        <v>7499</v>
      </c>
      <c r="V57" s="46">
        <v>7499</v>
      </c>
      <c r="W57" s="46">
        <v>7499</v>
      </c>
      <c r="X57" s="46">
        <v>7399</v>
      </c>
      <c r="Y57" s="46">
        <v>6999</v>
      </c>
      <c r="Z57" s="46">
        <v>6999</v>
      </c>
      <c r="AA57" s="46">
        <v>6999</v>
      </c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7"/>
      <c r="AW57" s="48" t="s">
        <v>67</v>
      </c>
      <c r="AX57" s="49" t="s">
        <v>68</v>
      </c>
      <c r="AY57" s="50">
        <f t="shared" si="0"/>
        <v>161.57980000000001</v>
      </c>
      <c r="AZ57" s="50">
        <f t="shared" si="1"/>
        <v>145.58180000000002</v>
      </c>
      <c r="BA57" s="51">
        <f t="shared" si="2"/>
        <v>82.389700000000005</v>
      </c>
    </row>
    <row r="58" spans="1:53" ht="22.5" customHeight="1">
      <c r="A58" s="41" t="s">
        <v>63</v>
      </c>
      <c r="B58" s="42" t="s">
        <v>64</v>
      </c>
      <c r="C58" s="43">
        <v>4015793</v>
      </c>
      <c r="D58" s="44" t="s">
        <v>126</v>
      </c>
      <c r="E58" s="44" t="s">
        <v>129</v>
      </c>
      <c r="F58" s="45">
        <v>12499</v>
      </c>
      <c r="G58" s="45">
        <v>9999</v>
      </c>
      <c r="H58" s="46">
        <v>7999</v>
      </c>
      <c r="I58" s="46">
        <v>7999</v>
      </c>
      <c r="J58" s="45">
        <v>7899</v>
      </c>
      <c r="K58" s="45">
        <v>7899</v>
      </c>
      <c r="L58" s="45">
        <v>7899</v>
      </c>
      <c r="M58" s="45">
        <v>7899</v>
      </c>
      <c r="N58" s="45">
        <v>7899</v>
      </c>
      <c r="O58" s="45">
        <v>7799</v>
      </c>
      <c r="P58" s="46">
        <v>7699</v>
      </c>
      <c r="Q58" s="46">
        <v>7499</v>
      </c>
      <c r="R58" s="45">
        <v>7799</v>
      </c>
      <c r="S58" s="45">
        <v>7699</v>
      </c>
      <c r="T58" s="46">
        <v>7499</v>
      </c>
      <c r="U58" s="46">
        <v>7499</v>
      </c>
      <c r="V58" s="46">
        <v>7499</v>
      </c>
      <c r="W58" s="46">
        <v>7499</v>
      </c>
      <c r="X58" s="46">
        <v>7399</v>
      </c>
      <c r="Y58" s="46">
        <v>6999</v>
      </c>
      <c r="Z58" s="46">
        <v>6999</v>
      </c>
      <c r="AA58" s="46">
        <v>6999</v>
      </c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7"/>
      <c r="AW58" s="48" t="s">
        <v>67</v>
      </c>
      <c r="AX58" s="49" t="s">
        <v>68</v>
      </c>
      <c r="AY58" s="50">
        <f t="shared" si="0"/>
        <v>161.57980000000001</v>
      </c>
      <c r="AZ58" s="50">
        <f t="shared" si="1"/>
        <v>145.58180000000002</v>
      </c>
      <c r="BA58" s="51">
        <f t="shared" si="2"/>
        <v>82.389700000000005</v>
      </c>
    </row>
    <row r="59" spans="1:53" ht="22.5" customHeight="1">
      <c r="A59" s="41" t="s">
        <v>63</v>
      </c>
      <c r="B59" s="42" t="s">
        <v>64</v>
      </c>
      <c r="C59" s="43">
        <v>4016678</v>
      </c>
      <c r="D59" s="44" t="s">
        <v>130</v>
      </c>
      <c r="E59" s="44" t="s">
        <v>131</v>
      </c>
      <c r="F59" s="45">
        <v>7799</v>
      </c>
      <c r="G59" s="45">
        <v>6099</v>
      </c>
      <c r="H59" s="46">
        <v>5999</v>
      </c>
      <c r="I59" s="46">
        <v>5999</v>
      </c>
      <c r="J59" s="45">
        <v>5799</v>
      </c>
      <c r="K59" s="45">
        <v>5799</v>
      </c>
      <c r="L59" s="45">
        <v>5799</v>
      </c>
      <c r="M59" s="45">
        <v>5799</v>
      </c>
      <c r="N59" s="45">
        <v>5799</v>
      </c>
      <c r="O59" s="45">
        <v>5299</v>
      </c>
      <c r="P59" s="46">
        <v>5199</v>
      </c>
      <c r="Q59" s="46">
        <v>4999</v>
      </c>
      <c r="R59" s="45">
        <v>5299</v>
      </c>
      <c r="S59" s="45">
        <v>5199</v>
      </c>
      <c r="T59" s="46">
        <v>4999</v>
      </c>
      <c r="U59" s="46">
        <v>4999</v>
      </c>
      <c r="V59" s="46">
        <v>4999</v>
      </c>
      <c r="W59" s="46">
        <v>4999</v>
      </c>
      <c r="X59" s="46">
        <v>4899</v>
      </c>
      <c r="Y59" s="46">
        <v>3999</v>
      </c>
      <c r="Z59" s="46">
        <v>3999</v>
      </c>
      <c r="AA59" s="46">
        <v>3999</v>
      </c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7"/>
      <c r="AW59" s="48" t="s">
        <v>67</v>
      </c>
      <c r="AX59" s="49" t="s">
        <v>68</v>
      </c>
      <c r="AY59" s="50">
        <f t="shared" si="0"/>
        <v>121.1798</v>
      </c>
      <c r="AZ59" s="50">
        <f t="shared" si="1"/>
        <v>109.18180000000001</v>
      </c>
      <c r="BA59" s="51">
        <f t="shared" si="2"/>
        <v>61.789700000000003</v>
      </c>
    </row>
    <row r="60" spans="1:53" ht="22.5" customHeight="1">
      <c r="A60" s="41" t="s">
        <v>63</v>
      </c>
      <c r="B60" s="42" t="s">
        <v>64</v>
      </c>
      <c r="C60" s="43">
        <v>4016486</v>
      </c>
      <c r="D60" s="44" t="s">
        <v>130</v>
      </c>
      <c r="E60" s="44" t="s">
        <v>132</v>
      </c>
      <c r="F60" s="45">
        <v>7799</v>
      </c>
      <c r="G60" s="45">
        <v>6099</v>
      </c>
      <c r="H60" s="46">
        <v>5999</v>
      </c>
      <c r="I60" s="46">
        <v>5999</v>
      </c>
      <c r="J60" s="45">
        <v>5799</v>
      </c>
      <c r="K60" s="45">
        <v>5799</v>
      </c>
      <c r="L60" s="45">
        <v>5799</v>
      </c>
      <c r="M60" s="45">
        <v>5799</v>
      </c>
      <c r="N60" s="45">
        <v>5799</v>
      </c>
      <c r="O60" s="45">
        <v>5299</v>
      </c>
      <c r="P60" s="46">
        <v>5199</v>
      </c>
      <c r="Q60" s="46">
        <v>4999</v>
      </c>
      <c r="R60" s="45">
        <v>5299</v>
      </c>
      <c r="S60" s="45">
        <v>5199</v>
      </c>
      <c r="T60" s="46">
        <v>4999</v>
      </c>
      <c r="U60" s="46">
        <v>4999</v>
      </c>
      <c r="V60" s="46">
        <v>4999</v>
      </c>
      <c r="W60" s="46">
        <v>4999</v>
      </c>
      <c r="X60" s="46">
        <v>4899</v>
      </c>
      <c r="Y60" s="46">
        <v>3999</v>
      </c>
      <c r="Z60" s="46">
        <v>3999</v>
      </c>
      <c r="AA60" s="46">
        <v>3999</v>
      </c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7"/>
      <c r="AW60" s="48" t="s">
        <v>67</v>
      </c>
      <c r="AX60" s="49" t="s">
        <v>68</v>
      </c>
      <c r="AY60" s="50">
        <f t="shared" si="0"/>
        <v>121.1798</v>
      </c>
      <c r="AZ60" s="50">
        <f t="shared" si="1"/>
        <v>109.18180000000001</v>
      </c>
      <c r="BA60" s="51">
        <f t="shared" si="2"/>
        <v>61.789700000000003</v>
      </c>
    </row>
    <row r="61" spans="1:53" ht="22.5" customHeight="1">
      <c r="A61" s="41" t="s">
        <v>63</v>
      </c>
      <c r="B61" s="42" t="s">
        <v>64</v>
      </c>
      <c r="C61" s="43">
        <v>4016599</v>
      </c>
      <c r="D61" s="44" t="s">
        <v>130</v>
      </c>
      <c r="E61" s="44" t="s">
        <v>133</v>
      </c>
      <c r="F61" s="45">
        <v>7799</v>
      </c>
      <c r="G61" s="45">
        <v>6099</v>
      </c>
      <c r="H61" s="46">
        <v>5999</v>
      </c>
      <c r="I61" s="46">
        <v>5999</v>
      </c>
      <c r="J61" s="45">
        <v>5799</v>
      </c>
      <c r="K61" s="45">
        <v>5799</v>
      </c>
      <c r="L61" s="45">
        <v>5799</v>
      </c>
      <c r="M61" s="45">
        <v>5799</v>
      </c>
      <c r="N61" s="45">
        <v>5799</v>
      </c>
      <c r="O61" s="45">
        <v>5299</v>
      </c>
      <c r="P61" s="46">
        <v>5199</v>
      </c>
      <c r="Q61" s="46">
        <v>4999</v>
      </c>
      <c r="R61" s="45">
        <v>5299</v>
      </c>
      <c r="S61" s="45">
        <v>5199</v>
      </c>
      <c r="T61" s="46">
        <v>4999</v>
      </c>
      <c r="U61" s="46">
        <v>4999</v>
      </c>
      <c r="V61" s="46">
        <v>4999</v>
      </c>
      <c r="W61" s="46">
        <v>4999</v>
      </c>
      <c r="X61" s="46">
        <v>4899</v>
      </c>
      <c r="Y61" s="46">
        <v>3999</v>
      </c>
      <c r="Z61" s="46">
        <v>3999</v>
      </c>
      <c r="AA61" s="46">
        <v>3999</v>
      </c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7"/>
      <c r="AW61" s="48" t="s">
        <v>67</v>
      </c>
      <c r="AX61" s="49" t="s">
        <v>68</v>
      </c>
      <c r="AY61" s="50">
        <f t="shared" si="0"/>
        <v>121.1798</v>
      </c>
      <c r="AZ61" s="50">
        <f t="shared" si="1"/>
        <v>109.18180000000001</v>
      </c>
      <c r="BA61" s="51">
        <f t="shared" si="2"/>
        <v>61.789700000000003</v>
      </c>
    </row>
    <row r="62" spans="1:53" ht="22.5" customHeight="1">
      <c r="A62" s="41" t="s">
        <v>63</v>
      </c>
      <c r="B62" s="42" t="s">
        <v>64</v>
      </c>
      <c r="C62" s="43">
        <v>4016672</v>
      </c>
      <c r="D62" s="44" t="s">
        <v>130</v>
      </c>
      <c r="E62" s="44" t="s">
        <v>134</v>
      </c>
      <c r="F62" s="45">
        <v>7799</v>
      </c>
      <c r="G62" s="45">
        <v>6099</v>
      </c>
      <c r="H62" s="46">
        <v>5999</v>
      </c>
      <c r="I62" s="46">
        <v>5999</v>
      </c>
      <c r="J62" s="45">
        <v>5799</v>
      </c>
      <c r="K62" s="45">
        <v>5799</v>
      </c>
      <c r="L62" s="45">
        <v>5799</v>
      </c>
      <c r="M62" s="45">
        <v>5799</v>
      </c>
      <c r="N62" s="45">
        <v>5799</v>
      </c>
      <c r="O62" s="45">
        <v>5299</v>
      </c>
      <c r="P62" s="46">
        <v>5199</v>
      </c>
      <c r="Q62" s="46">
        <v>4999</v>
      </c>
      <c r="R62" s="45">
        <v>5299</v>
      </c>
      <c r="S62" s="45">
        <v>5199</v>
      </c>
      <c r="T62" s="46">
        <v>4999</v>
      </c>
      <c r="U62" s="46">
        <v>4999</v>
      </c>
      <c r="V62" s="46">
        <v>4999</v>
      </c>
      <c r="W62" s="46">
        <v>4999</v>
      </c>
      <c r="X62" s="46">
        <v>4899</v>
      </c>
      <c r="Y62" s="46">
        <v>3999</v>
      </c>
      <c r="Z62" s="46">
        <v>3999</v>
      </c>
      <c r="AA62" s="46">
        <v>3999</v>
      </c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7"/>
      <c r="AW62" s="48" t="s">
        <v>67</v>
      </c>
      <c r="AX62" s="49" t="s">
        <v>68</v>
      </c>
      <c r="AY62" s="50">
        <f t="shared" si="0"/>
        <v>121.1798</v>
      </c>
      <c r="AZ62" s="50">
        <f t="shared" si="1"/>
        <v>109.18180000000001</v>
      </c>
      <c r="BA62" s="51">
        <f t="shared" si="2"/>
        <v>61.789700000000003</v>
      </c>
    </row>
    <row r="63" spans="1:53" ht="22.5" customHeight="1">
      <c r="A63" s="41" t="s">
        <v>63</v>
      </c>
      <c r="B63" s="42" t="s">
        <v>64</v>
      </c>
      <c r="C63" s="43">
        <v>4016682</v>
      </c>
      <c r="D63" s="44" t="s">
        <v>130</v>
      </c>
      <c r="E63" s="44" t="s">
        <v>135</v>
      </c>
      <c r="F63" s="45">
        <v>7799</v>
      </c>
      <c r="G63" s="45">
        <v>6099</v>
      </c>
      <c r="H63" s="46">
        <v>5999</v>
      </c>
      <c r="I63" s="46">
        <v>5999</v>
      </c>
      <c r="J63" s="45">
        <v>5799</v>
      </c>
      <c r="K63" s="45">
        <v>5799</v>
      </c>
      <c r="L63" s="45">
        <v>5799</v>
      </c>
      <c r="M63" s="45">
        <v>5799</v>
      </c>
      <c r="N63" s="45">
        <v>5799</v>
      </c>
      <c r="O63" s="45">
        <v>5299</v>
      </c>
      <c r="P63" s="46">
        <v>5199</v>
      </c>
      <c r="Q63" s="46">
        <v>4999</v>
      </c>
      <c r="R63" s="45">
        <v>5299</v>
      </c>
      <c r="S63" s="45">
        <v>5199</v>
      </c>
      <c r="T63" s="46">
        <v>4999</v>
      </c>
      <c r="U63" s="46">
        <v>4999</v>
      </c>
      <c r="V63" s="46">
        <v>4999</v>
      </c>
      <c r="W63" s="46">
        <v>4999</v>
      </c>
      <c r="X63" s="46">
        <v>4899</v>
      </c>
      <c r="Y63" s="46">
        <v>3999</v>
      </c>
      <c r="Z63" s="46">
        <v>3999</v>
      </c>
      <c r="AA63" s="46">
        <v>3999</v>
      </c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7"/>
      <c r="AW63" s="48" t="s">
        <v>67</v>
      </c>
      <c r="AX63" s="49" t="s">
        <v>68</v>
      </c>
      <c r="AY63" s="50">
        <f t="shared" si="0"/>
        <v>121.1798</v>
      </c>
      <c r="AZ63" s="50">
        <f t="shared" si="1"/>
        <v>109.18180000000001</v>
      </c>
      <c r="BA63" s="51">
        <f t="shared" si="2"/>
        <v>61.789700000000003</v>
      </c>
    </row>
    <row r="64" spans="1:53" ht="22.5" customHeight="1">
      <c r="A64" s="41" t="s">
        <v>63</v>
      </c>
      <c r="B64" s="42" t="s">
        <v>64</v>
      </c>
      <c r="C64" s="43">
        <v>4016560</v>
      </c>
      <c r="D64" s="44" t="s">
        <v>136</v>
      </c>
      <c r="E64" s="44" t="s">
        <v>137</v>
      </c>
      <c r="F64" s="45">
        <v>8599</v>
      </c>
      <c r="G64" s="45">
        <v>4699</v>
      </c>
      <c r="H64" s="46">
        <v>5799</v>
      </c>
      <c r="I64" s="46">
        <v>5799</v>
      </c>
      <c r="J64" s="45">
        <v>5699</v>
      </c>
      <c r="K64" s="45">
        <v>5699</v>
      </c>
      <c r="L64" s="45">
        <v>5699</v>
      </c>
      <c r="M64" s="45">
        <v>5699</v>
      </c>
      <c r="N64" s="45">
        <v>5699</v>
      </c>
      <c r="O64" s="45">
        <v>5599</v>
      </c>
      <c r="P64" s="46">
        <v>5499</v>
      </c>
      <c r="Q64" s="46">
        <v>4799</v>
      </c>
      <c r="R64" s="45">
        <v>5599</v>
      </c>
      <c r="S64" s="45">
        <v>5499</v>
      </c>
      <c r="T64" s="46">
        <v>4799</v>
      </c>
      <c r="U64" s="46">
        <v>4799</v>
      </c>
      <c r="V64" s="46">
        <v>4799</v>
      </c>
      <c r="W64" s="46">
        <v>4799</v>
      </c>
      <c r="X64" s="46">
        <v>4699</v>
      </c>
      <c r="Y64" s="46">
        <v>4299</v>
      </c>
      <c r="Z64" s="46">
        <v>4299</v>
      </c>
      <c r="AA64" s="46">
        <v>4249</v>
      </c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7"/>
      <c r="AW64" s="48" t="s">
        <v>67</v>
      </c>
      <c r="AX64" s="49" t="s">
        <v>68</v>
      </c>
      <c r="AY64" s="50">
        <f t="shared" si="0"/>
        <v>117.13979999999999</v>
      </c>
      <c r="AZ64" s="50">
        <f t="shared" si="1"/>
        <v>105.54180000000001</v>
      </c>
      <c r="BA64" s="51">
        <f t="shared" si="2"/>
        <v>59.729700000000001</v>
      </c>
    </row>
    <row r="65" spans="1:53" ht="22.5" customHeight="1">
      <c r="A65" s="41" t="s">
        <v>63</v>
      </c>
      <c r="B65" s="42" t="s">
        <v>64</v>
      </c>
      <c r="C65" s="43">
        <v>4016565</v>
      </c>
      <c r="D65" s="44" t="s">
        <v>136</v>
      </c>
      <c r="E65" s="44" t="s">
        <v>138</v>
      </c>
      <c r="F65" s="45">
        <v>8599</v>
      </c>
      <c r="G65" s="45">
        <v>4699</v>
      </c>
      <c r="H65" s="46">
        <v>5799</v>
      </c>
      <c r="I65" s="46">
        <v>5799</v>
      </c>
      <c r="J65" s="45">
        <v>5699</v>
      </c>
      <c r="K65" s="45">
        <v>5699</v>
      </c>
      <c r="L65" s="45">
        <v>5699</v>
      </c>
      <c r="M65" s="45">
        <v>5699</v>
      </c>
      <c r="N65" s="45">
        <v>5699</v>
      </c>
      <c r="O65" s="45">
        <v>5599</v>
      </c>
      <c r="P65" s="46">
        <v>5499</v>
      </c>
      <c r="Q65" s="46">
        <v>4799</v>
      </c>
      <c r="R65" s="45">
        <v>5599</v>
      </c>
      <c r="S65" s="45">
        <v>5499</v>
      </c>
      <c r="T65" s="46">
        <v>4799</v>
      </c>
      <c r="U65" s="46">
        <v>4799</v>
      </c>
      <c r="V65" s="46">
        <v>4799</v>
      </c>
      <c r="W65" s="46">
        <v>4799</v>
      </c>
      <c r="X65" s="46">
        <v>4699</v>
      </c>
      <c r="Y65" s="46">
        <v>4299</v>
      </c>
      <c r="Z65" s="46">
        <v>4299</v>
      </c>
      <c r="AA65" s="46">
        <v>4249</v>
      </c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7"/>
      <c r="AW65" s="48" t="s">
        <v>67</v>
      </c>
      <c r="AX65" s="49" t="s">
        <v>68</v>
      </c>
      <c r="AY65" s="50">
        <f t="shared" si="0"/>
        <v>117.13979999999999</v>
      </c>
      <c r="AZ65" s="50">
        <f t="shared" si="1"/>
        <v>105.54180000000001</v>
      </c>
      <c r="BA65" s="51">
        <f t="shared" si="2"/>
        <v>59.729700000000001</v>
      </c>
    </row>
    <row r="66" spans="1:53" ht="22.5" customHeight="1">
      <c r="A66" s="41" t="s">
        <v>63</v>
      </c>
      <c r="B66" s="42" t="s">
        <v>64</v>
      </c>
      <c r="C66" s="43">
        <v>4016675</v>
      </c>
      <c r="D66" s="44" t="s">
        <v>136</v>
      </c>
      <c r="E66" s="44" t="s">
        <v>139</v>
      </c>
      <c r="F66" s="45">
        <v>8599</v>
      </c>
      <c r="G66" s="45">
        <v>4699</v>
      </c>
      <c r="H66" s="46">
        <v>5799</v>
      </c>
      <c r="I66" s="46">
        <v>5799</v>
      </c>
      <c r="J66" s="45">
        <v>5699</v>
      </c>
      <c r="K66" s="45">
        <v>5699</v>
      </c>
      <c r="L66" s="45">
        <v>5699</v>
      </c>
      <c r="M66" s="45">
        <v>5699</v>
      </c>
      <c r="N66" s="45">
        <v>5699</v>
      </c>
      <c r="O66" s="45">
        <v>5599</v>
      </c>
      <c r="P66" s="46">
        <v>5499</v>
      </c>
      <c r="Q66" s="46">
        <v>4799</v>
      </c>
      <c r="R66" s="45">
        <v>5599</v>
      </c>
      <c r="S66" s="45">
        <v>5499</v>
      </c>
      <c r="T66" s="46">
        <v>4799</v>
      </c>
      <c r="U66" s="46">
        <v>4799</v>
      </c>
      <c r="V66" s="46">
        <v>4799</v>
      </c>
      <c r="W66" s="46">
        <v>4799</v>
      </c>
      <c r="X66" s="46">
        <v>4699</v>
      </c>
      <c r="Y66" s="46">
        <v>4299</v>
      </c>
      <c r="Z66" s="46">
        <v>4299</v>
      </c>
      <c r="AA66" s="46">
        <v>4249</v>
      </c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7"/>
      <c r="AW66" s="48" t="s">
        <v>67</v>
      </c>
      <c r="AX66" s="49" t="s">
        <v>68</v>
      </c>
      <c r="AY66" s="50">
        <f t="shared" si="0"/>
        <v>117.13979999999999</v>
      </c>
      <c r="AZ66" s="50">
        <f t="shared" si="1"/>
        <v>105.54180000000001</v>
      </c>
      <c r="BA66" s="51">
        <f t="shared" si="2"/>
        <v>59.729700000000001</v>
      </c>
    </row>
    <row r="67" spans="1:53" ht="22.5" customHeight="1">
      <c r="A67" s="41" t="s">
        <v>63</v>
      </c>
      <c r="B67" s="42" t="s">
        <v>64</v>
      </c>
      <c r="C67" s="43">
        <v>4016670</v>
      </c>
      <c r="D67" s="44" t="s">
        <v>136</v>
      </c>
      <c r="E67" s="44" t="s">
        <v>140</v>
      </c>
      <c r="F67" s="45">
        <v>8599</v>
      </c>
      <c r="G67" s="45">
        <v>4699</v>
      </c>
      <c r="H67" s="46">
        <v>5799</v>
      </c>
      <c r="I67" s="46">
        <v>5799</v>
      </c>
      <c r="J67" s="45">
        <v>5699</v>
      </c>
      <c r="K67" s="45">
        <v>5699</v>
      </c>
      <c r="L67" s="45">
        <v>5699</v>
      </c>
      <c r="M67" s="45">
        <v>5699</v>
      </c>
      <c r="N67" s="45">
        <v>5699</v>
      </c>
      <c r="O67" s="45">
        <v>5599</v>
      </c>
      <c r="P67" s="46">
        <v>5499</v>
      </c>
      <c r="Q67" s="46">
        <v>4799</v>
      </c>
      <c r="R67" s="45">
        <v>5599</v>
      </c>
      <c r="S67" s="45">
        <v>5499</v>
      </c>
      <c r="T67" s="46">
        <v>4799</v>
      </c>
      <c r="U67" s="46">
        <v>4799</v>
      </c>
      <c r="V67" s="46">
        <v>4799</v>
      </c>
      <c r="W67" s="46">
        <v>4799</v>
      </c>
      <c r="X67" s="46">
        <v>4699</v>
      </c>
      <c r="Y67" s="46">
        <v>4299</v>
      </c>
      <c r="Z67" s="46">
        <v>4299</v>
      </c>
      <c r="AA67" s="46">
        <v>4249</v>
      </c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7"/>
      <c r="AW67" s="48" t="s">
        <v>67</v>
      </c>
      <c r="AX67" s="49" t="s">
        <v>68</v>
      </c>
      <c r="AY67" s="50">
        <f t="shared" si="0"/>
        <v>117.13979999999999</v>
      </c>
      <c r="AZ67" s="50">
        <f t="shared" si="1"/>
        <v>105.54180000000001</v>
      </c>
      <c r="BA67" s="51">
        <f t="shared" si="2"/>
        <v>59.729700000000001</v>
      </c>
    </row>
    <row r="68" spans="1:53" ht="22.5" customHeight="1">
      <c r="A68" s="41" t="s">
        <v>63</v>
      </c>
      <c r="B68" s="42" t="s">
        <v>64</v>
      </c>
      <c r="C68" s="43">
        <v>4016673</v>
      </c>
      <c r="D68" s="44" t="s">
        <v>136</v>
      </c>
      <c r="E68" s="44" t="s">
        <v>141</v>
      </c>
      <c r="F68" s="45">
        <v>8599</v>
      </c>
      <c r="G68" s="45">
        <v>4699</v>
      </c>
      <c r="H68" s="46">
        <v>5799</v>
      </c>
      <c r="I68" s="46">
        <v>5799</v>
      </c>
      <c r="J68" s="45">
        <v>5699</v>
      </c>
      <c r="K68" s="45">
        <v>5699</v>
      </c>
      <c r="L68" s="45">
        <v>5699</v>
      </c>
      <c r="M68" s="45">
        <v>5699</v>
      </c>
      <c r="N68" s="45">
        <v>5699</v>
      </c>
      <c r="O68" s="45">
        <v>5599</v>
      </c>
      <c r="P68" s="46">
        <v>5499</v>
      </c>
      <c r="Q68" s="46">
        <v>4799</v>
      </c>
      <c r="R68" s="45">
        <v>5599</v>
      </c>
      <c r="S68" s="45">
        <v>5499</v>
      </c>
      <c r="T68" s="46">
        <v>4799</v>
      </c>
      <c r="U68" s="46">
        <v>4799</v>
      </c>
      <c r="V68" s="46">
        <v>4799</v>
      </c>
      <c r="W68" s="46">
        <v>4799</v>
      </c>
      <c r="X68" s="46">
        <v>4699</v>
      </c>
      <c r="Y68" s="46">
        <v>4299</v>
      </c>
      <c r="Z68" s="46">
        <v>4299</v>
      </c>
      <c r="AA68" s="46">
        <v>4249</v>
      </c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7"/>
      <c r="AW68" s="48" t="s">
        <v>67</v>
      </c>
      <c r="AX68" s="49" t="s">
        <v>68</v>
      </c>
      <c r="AY68" s="50">
        <f t="shared" si="0"/>
        <v>117.13979999999999</v>
      </c>
      <c r="AZ68" s="50">
        <f t="shared" si="1"/>
        <v>105.54180000000001</v>
      </c>
      <c r="BA68" s="51">
        <f t="shared" si="2"/>
        <v>59.729700000000001</v>
      </c>
    </row>
    <row r="69" spans="1:53" ht="22.5" customHeight="1">
      <c r="A69" s="41" t="s">
        <v>63</v>
      </c>
      <c r="B69" s="42" t="s">
        <v>64</v>
      </c>
      <c r="C69" s="43">
        <v>4016679</v>
      </c>
      <c r="D69" s="44" t="s">
        <v>136</v>
      </c>
      <c r="E69" s="44" t="s">
        <v>142</v>
      </c>
      <c r="F69" s="45">
        <v>8599</v>
      </c>
      <c r="G69" s="45">
        <v>4699</v>
      </c>
      <c r="H69" s="46">
        <v>5799</v>
      </c>
      <c r="I69" s="46">
        <v>5799</v>
      </c>
      <c r="J69" s="45">
        <v>5699</v>
      </c>
      <c r="K69" s="45">
        <v>5699</v>
      </c>
      <c r="L69" s="45">
        <v>5699</v>
      </c>
      <c r="M69" s="45">
        <v>5699</v>
      </c>
      <c r="N69" s="45">
        <v>5699</v>
      </c>
      <c r="O69" s="45">
        <v>5599</v>
      </c>
      <c r="P69" s="46">
        <v>5499</v>
      </c>
      <c r="Q69" s="46">
        <v>4799</v>
      </c>
      <c r="R69" s="45">
        <v>5599</v>
      </c>
      <c r="S69" s="45">
        <v>5499</v>
      </c>
      <c r="T69" s="46">
        <v>4799</v>
      </c>
      <c r="U69" s="46">
        <v>4799</v>
      </c>
      <c r="V69" s="46">
        <v>4799</v>
      </c>
      <c r="W69" s="46">
        <v>4799</v>
      </c>
      <c r="X69" s="46">
        <v>4699</v>
      </c>
      <c r="Y69" s="46">
        <v>4299</v>
      </c>
      <c r="Z69" s="46">
        <v>4299</v>
      </c>
      <c r="AA69" s="46">
        <v>4249</v>
      </c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7"/>
      <c r="AW69" s="48" t="s">
        <v>67</v>
      </c>
      <c r="AX69" s="49" t="s">
        <v>68</v>
      </c>
      <c r="AY69" s="50">
        <f t="shared" si="0"/>
        <v>117.13979999999999</v>
      </c>
      <c r="AZ69" s="50">
        <f t="shared" si="1"/>
        <v>105.54180000000001</v>
      </c>
      <c r="BA69" s="51">
        <f t="shared" si="2"/>
        <v>59.729700000000001</v>
      </c>
    </row>
    <row r="70" spans="1:53" ht="22.5" customHeight="1">
      <c r="A70" s="41" t="s">
        <v>63</v>
      </c>
      <c r="B70" s="42" t="s">
        <v>64</v>
      </c>
      <c r="C70" s="43">
        <v>4016594</v>
      </c>
      <c r="D70" s="44" t="s">
        <v>143</v>
      </c>
      <c r="E70" s="44" t="s">
        <v>144</v>
      </c>
      <c r="F70" s="45">
        <v>10499</v>
      </c>
      <c r="G70" s="45">
        <v>7699</v>
      </c>
      <c r="H70" s="46">
        <v>9099</v>
      </c>
      <c r="I70" s="46">
        <v>9099</v>
      </c>
      <c r="J70" s="45">
        <v>8999</v>
      </c>
      <c r="K70" s="45">
        <v>8999</v>
      </c>
      <c r="L70" s="45">
        <v>8999</v>
      </c>
      <c r="M70" s="45">
        <v>8999</v>
      </c>
      <c r="N70" s="45">
        <v>8999</v>
      </c>
      <c r="O70" s="45">
        <v>8899</v>
      </c>
      <c r="P70" s="46">
        <v>8799</v>
      </c>
      <c r="Q70" s="46">
        <v>7999</v>
      </c>
      <c r="R70" s="45">
        <v>8899</v>
      </c>
      <c r="S70" s="45">
        <v>8799</v>
      </c>
      <c r="T70" s="46">
        <v>7999</v>
      </c>
      <c r="U70" s="46">
        <v>7999</v>
      </c>
      <c r="V70" s="46">
        <v>7699</v>
      </c>
      <c r="W70" s="46">
        <v>7699</v>
      </c>
      <c r="X70" s="46">
        <v>7699</v>
      </c>
      <c r="Y70" s="46">
        <v>7499</v>
      </c>
      <c r="Z70" s="46">
        <v>7499</v>
      </c>
      <c r="AA70" s="46">
        <v>7499</v>
      </c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7"/>
      <c r="AW70" s="48" t="s">
        <v>67</v>
      </c>
      <c r="AX70" s="49" t="s">
        <v>68</v>
      </c>
      <c r="AY70" s="50">
        <f t="shared" si="0"/>
        <v>183.7998</v>
      </c>
      <c r="AZ70" s="50">
        <f t="shared" si="1"/>
        <v>165.6018</v>
      </c>
      <c r="BA70" s="51">
        <f t="shared" si="2"/>
        <v>93.719700000000003</v>
      </c>
    </row>
    <row r="71" spans="1:53" ht="22.5" customHeight="1">
      <c r="A71" s="41" t="s">
        <v>63</v>
      </c>
      <c r="B71" s="42" t="s">
        <v>64</v>
      </c>
      <c r="C71" s="43">
        <v>4016593</v>
      </c>
      <c r="D71" s="44" t="s">
        <v>143</v>
      </c>
      <c r="E71" s="44" t="s">
        <v>145</v>
      </c>
      <c r="F71" s="45">
        <v>10499</v>
      </c>
      <c r="G71" s="45">
        <v>7699</v>
      </c>
      <c r="H71" s="46">
        <v>9099</v>
      </c>
      <c r="I71" s="46">
        <v>9099</v>
      </c>
      <c r="J71" s="45">
        <v>8999</v>
      </c>
      <c r="K71" s="45">
        <v>8999</v>
      </c>
      <c r="L71" s="45">
        <v>8999</v>
      </c>
      <c r="M71" s="45">
        <v>8999</v>
      </c>
      <c r="N71" s="45">
        <v>8999</v>
      </c>
      <c r="O71" s="45">
        <v>8899</v>
      </c>
      <c r="P71" s="46">
        <v>8799</v>
      </c>
      <c r="Q71" s="46">
        <v>7999</v>
      </c>
      <c r="R71" s="45">
        <v>8899</v>
      </c>
      <c r="S71" s="45">
        <v>8799</v>
      </c>
      <c r="T71" s="46">
        <v>7999</v>
      </c>
      <c r="U71" s="46">
        <v>7999</v>
      </c>
      <c r="V71" s="46">
        <v>7699</v>
      </c>
      <c r="W71" s="46">
        <v>7699</v>
      </c>
      <c r="X71" s="46">
        <v>7699</v>
      </c>
      <c r="Y71" s="46">
        <v>7499</v>
      </c>
      <c r="Z71" s="46">
        <v>7499</v>
      </c>
      <c r="AA71" s="46">
        <v>7499</v>
      </c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7"/>
      <c r="AW71" s="48" t="s">
        <v>67</v>
      </c>
      <c r="AX71" s="49" t="s">
        <v>68</v>
      </c>
      <c r="AY71" s="50">
        <f t="shared" si="0"/>
        <v>183.7998</v>
      </c>
      <c r="AZ71" s="50">
        <f t="shared" si="1"/>
        <v>165.6018</v>
      </c>
      <c r="BA71" s="51">
        <f t="shared" si="2"/>
        <v>93.719700000000003</v>
      </c>
    </row>
    <row r="72" spans="1:53" ht="22.5" customHeight="1">
      <c r="A72" s="41" t="s">
        <v>63</v>
      </c>
      <c r="B72" s="42" t="s">
        <v>64</v>
      </c>
      <c r="C72" s="43">
        <v>4016592</v>
      </c>
      <c r="D72" s="44" t="s">
        <v>143</v>
      </c>
      <c r="E72" s="44" t="s">
        <v>146</v>
      </c>
      <c r="F72" s="45">
        <v>10499</v>
      </c>
      <c r="G72" s="45">
        <v>7699</v>
      </c>
      <c r="H72" s="46">
        <v>9099</v>
      </c>
      <c r="I72" s="46">
        <v>9099</v>
      </c>
      <c r="J72" s="45">
        <v>8999</v>
      </c>
      <c r="K72" s="45">
        <v>8999</v>
      </c>
      <c r="L72" s="45">
        <v>8999</v>
      </c>
      <c r="M72" s="45">
        <v>8999</v>
      </c>
      <c r="N72" s="45">
        <v>8999</v>
      </c>
      <c r="O72" s="45">
        <v>8899</v>
      </c>
      <c r="P72" s="46">
        <v>8799</v>
      </c>
      <c r="Q72" s="46">
        <v>7999</v>
      </c>
      <c r="R72" s="45">
        <v>8899</v>
      </c>
      <c r="S72" s="45">
        <v>8799</v>
      </c>
      <c r="T72" s="46">
        <v>7999</v>
      </c>
      <c r="U72" s="46">
        <v>7999</v>
      </c>
      <c r="V72" s="46">
        <v>7699</v>
      </c>
      <c r="W72" s="46">
        <v>7699</v>
      </c>
      <c r="X72" s="46">
        <v>7699</v>
      </c>
      <c r="Y72" s="46">
        <v>7499</v>
      </c>
      <c r="Z72" s="46">
        <v>7499</v>
      </c>
      <c r="AA72" s="46">
        <v>7499</v>
      </c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7"/>
      <c r="AW72" s="48" t="s">
        <v>67</v>
      </c>
      <c r="AX72" s="49" t="s">
        <v>68</v>
      </c>
      <c r="AY72" s="50">
        <f t="shared" si="0"/>
        <v>183.7998</v>
      </c>
      <c r="AZ72" s="50">
        <f t="shared" si="1"/>
        <v>165.6018</v>
      </c>
      <c r="BA72" s="51">
        <f t="shared" si="2"/>
        <v>93.719700000000003</v>
      </c>
    </row>
    <row r="73" spans="1:53" ht="22.5" customHeight="1">
      <c r="A73" s="41" t="s">
        <v>63</v>
      </c>
      <c r="B73" s="42" t="s">
        <v>64</v>
      </c>
      <c r="C73" s="43">
        <v>4016591</v>
      </c>
      <c r="D73" s="44" t="s">
        <v>143</v>
      </c>
      <c r="E73" s="44" t="s">
        <v>147</v>
      </c>
      <c r="F73" s="45">
        <v>10499</v>
      </c>
      <c r="G73" s="45">
        <v>7699</v>
      </c>
      <c r="H73" s="46">
        <v>9099</v>
      </c>
      <c r="I73" s="46">
        <v>9099</v>
      </c>
      <c r="J73" s="45">
        <v>8999</v>
      </c>
      <c r="K73" s="45">
        <v>8999</v>
      </c>
      <c r="L73" s="45">
        <v>8999</v>
      </c>
      <c r="M73" s="45">
        <v>8999</v>
      </c>
      <c r="N73" s="45">
        <v>8999</v>
      </c>
      <c r="O73" s="45">
        <v>8899</v>
      </c>
      <c r="P73" s="46">
        <v>8799</v>
      </c>
      <c r="Q73" s="46">
        <v>7999</v>
      </c>
      <c r="R73" s="45">
        <v>8899</v>
      </c>
      <c r="S73" s="45">
        <v>8799</v>
      </c>
      <c r="T73" s="46">
        <v>7999</v>
      </c>
      <c r="U73" s="46">
        <v>7999</v>
      </c>
      <c r="V73" s="46">
        <v>7699</v>
      </c>
      <c r="W73" s="46">
        <v>7699</v>
      </c>
      <c r="X73" s="46">
        <v>7699</v>
      </c>
      <c r="Y73" s="46">
        <v>7499</v>
      </c>
      <c r="Z73" s="46">
        <v>7499</v>
      </c>
      <c r="AA73" s="46">
        <v>7499</v>
      </c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7"/>
      <c r="AW73" s="48" t="s">
        <v>67</v>
      </c>
      <c r="AX73" s="49" t="s">
        <v>68</v>
      </c>
      <c r="AY73" s="50">
        <f t="shared" si="0"/>
        <v>183.7998</v>
      </c>
      <c r="AZ73" s="50">
        <f t="shared" si="1"/>
        <v>165.6018</v>
      </c>
      <c r="BA73" s="51">
        <f t="shared" si="2"/>
        <v>93.719700000000003</v>
      </c>
    </row>
    <row r="74" spans="1:53" ht="22.5" customHeight="1">
      <c r="A74" s="41" t="s">
        <v>63</v>
      </c>
      <c r="B74" s="42" t="s">
        <v>64</v>
      </c>
      <c r="C74" s="43">
        <v>4016595</v>
      </c>
      <c r="D74" s="44" t="s">
        <v>148</v>
      </c>
      <c r="E74" s="44" t="s">
        <v>149</v>
      </c>
      <c r="F74" s="45">
        <v>11299</v>
      </c>
      <c r="G74" s="45">
        <v>8399</v>
      </c>
      <c r="H74" s="46">
        <v>9799</v>
      </c>
      <c r="I74" s="46">
        <v>9799</v>
      </c>
      <c r="J74" s="45">
        <v>9699</v>
      </c>
      <c r="K74" s="45">
        <v>9699</v>
      </c>
      <c r="L74" s="45">
        <v>9699</v>
      </c>
      <c r="M74" s="45">
        <v>9699</v>
      </c>
      <c r="N74" s="45">
        <v>9699</v>
      </c>
      <c r="O74" s="45">
        <v>9599</v>
      </c>
      <c r="P74" s="46">
        <v>9499</v>
      </c>
      <c r="Q74" s="46">
        <v>8699</v>
      </c>
      <c r="R74" s="45">
        <v>9599</v>
      </c>
      <c r="S74" s="45">
        <v>9499</v>
      </c>
      <c r="T74" s="46">
        <v>8699</v>
      </c>
      <c r="U74" s="46">
        <v>8699</v>
      </c>
      <c r="V74" s="46">
        <v>8399</v>
      </c>
      <c r="W74" s="46">
        <v>8399</v>
      </c>
      <c r="X74" s="46">
        <v>8399</v>
      </c>
      <c r="Y74" s="46">
        <v>8199</v>
      </c>
      <c r="Z74" s="46">
        <v>8199</v>
      </c>
      <c r="AA74" s="46">
        <v>8199</v>
      </c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7"/>
      <c r="AW74" s="48" t="s">
        <v>67</v>
      </c>
      <c r="AX74" s="49" t="s">
        <v>68</v>
      </c>
      <c r="AY74" s="50">
        <f t="shared" si="0"/>
        <v>197.93979999999999</v>
      </c>
      <c r="AZ74" s="50">
        <f t="shared" si="1"/>
        <v>178.34180000000001</v>
      </c>
      <c r="BA74" s="51">
        <f t="shared" si="2"/>
        <v>100.9297</v>
      </c>
    </row>
    <row r="75" spans="1:53" ht="22.5" customHeight="1">
      <c r="A75" s="41" t="s">
        <v>63</v>
      </c>
      <c r="B75" s="42" t="s">
        <v>64</v>
      </c>
      <c r="C75" s="43">
        <v>4016596</v>
      </c>
      <c r="D75" s="44" t="s">
        <v>148</v>
      </c>
      <c r="E75" s="44" t="s">
        <v>150</v>
      </c>
      <c r="F75" s="45">
        <v>11299</v>
      </c>
      <c r="G75" s="45">
        <v>8399</v>
      </c>
      <c r="H75" s="46">
        <v>9799</v>
      </c>
      <c r="I75" s="46">
        <v>9799</v>
      </c>
      <c r="J75" s="45">
        <v>9699</v>
      </c>
      <c r="K75" s="45">
        <v>9699</v>
      </c>
      <c r="L75" s="45">
        <v>9699</v>
      </c>
      <c r="M75" s="45">
        <v>9699</v>
      </c>
      <c r="N75" s="45">
        <v>9699</v>
      </c>
      <c r="O75" s="45">
        <v>9599</v>
      </c>
      <c r="P75" s="46">
        <v>9499</v>
      </c>
      <c r="Q75" s="46">
        <v>8699</v>
      </c>
      <c r="R75" s="45">
        <v>9599</v>
      </c>
      <c r="S75" s="45">
        <v>9499</v>
      </c>
      <c r="T75" s="46">
        <v>8699</v>
      </c>
      <c r="U75" s="46">
        <v>8699</v>
      </c>
      <c r="V75" s="46">
        <v>8399</v>
      </c>
      <c r="W75" s="46">
        <v>8399</v>
      </c>
      <c r="X75" s="46">
        <v>8399</v>
      </c>
      <c r="Y75" s="46">
        <v>8199</v>
      </c>
      <c r="Z75" s="46">
        <v>8199</v>
      </c>
      <c r="AA75" s="46">
        <v>8199</v>
      </c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7"/>
      <c r="AW75" s="48" t="s">
        <v>67</v>
      </c>
      <c r="AX75" s="49" t="s">
        <v>68</v>
      </c>
      <c r="AY75" s="50">
        <f t="shared" si="0"/>
        <v>197.93979999999999</v>
      </c>
      <c r="AZ75" s="50">
        <f t="shared" si="1"/>
        <v>178.34180000000001</v>
      </c>
      <c r="BA75" s="51">
        <f t="shared" si="2"/>
        <v>100.9297</v>
      </c>
    </row>
    <row r="76" spans="1:53" ht="22.5" customHeight="1">
      <c r="A76" s="41" t="s">
        <v>63</v>
      </c>
      <c r="B76" s="42" t="s">
        <v>64</v>
      </c>
      <c r="C76" s="43">
        <v>4016508</v>
      </c>
      <c r="D76" s="44" t="s">
        <v>148</v>
      </c>
      <c r="E76" s="44" t="s">
        <v>151</v>
      </c>
      <c r="F76" s="45">
        <v>11299</v>
      </c>
      <c r="G76" s="45">
        <v>8399</v>
      </c>
      <c r="H76" s="46">
        <v>9799</v>
      </c>
      <c r="I76" s="46">
        <v>9799</v>
      </c>
      <c r="J76" s="45">
        <v>9699</v>
      </c>
      <c r="K76" s="45">
        <v>9699</v>
      </c>
      <c r="L76" s="45">
        <v>9699</v>
      </c>
      <c r="M76" s="45">
        <v>9699</v>
      </c>
      <c r="N76" s="45">
        <v>9699</v>
      </c>
      <c r="O76" s="45">
        <v>9599</v>
      </c>
      <c r="P76" s="46">
        <v>9499</v>
      </c>
      <c r="Q76" s="46">
        <v>8699</v>
      </c>
      <c r="R76" s="45">
        <v>9599</v>
      </c>
      <c r="S76" s="45">
        <v>9499</v>
      </c>
      <c r="T76" s="46">
        <v>8699</v>
      </c>
      <c r="U76" s="46">
        <v>8699</v>
      </c>
      <c r="V76" s="46">
        <v>8399</v>
      </c>
      <c r="W76" s="46">
        <v>8399</v>
      </c>
      <c r="X76" s="46">
        <v>8399</v>
      </c>
      <c r="Y76" s="46">
        <v>8199</v>
      </c>
      <c r="Z76" s="46">
        <v>8199</v>
      </c>
      <c r="AA76" s="46">
        <v>8199</v>
      </c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7"/>
      <c r="AW76" s="48" t="s">
        <v>67</v>
      </c>
      <c r="AX76" s="49" t="s">
        <v>68</v>
      </c>
      <c r="AY76" s="50">
        <f t="shared" si="0"/>
        <v>197.93979999999999</v>
      </c>
      <c r="AZ76" s="50">
        <f t="shared" si="1"/>
        <v>178.34180000000001</v>
      </c>
      <c r="BA76" s="51">
        <f t="shared" si="2"/>
        <v>100.9297</v>
      </c>
    </row>
    <row r="77" spans="1:53" ht="22.5" customHeight="1">
      <c r="A77" s="41" t="s">
        <v>63</v>
      </c>
      <c r="B77" s="42" t="s">
        <v>64</v>
      </c>
      <c r="C77" s="43">
        <v>4016507</v>
      </c>
      <c r="D77" s="44" t="s">
        <v>148</v>
      </c>
      <c r="E77" s="44" t="s">
        <v>152</v>
      </c>
      <c r="F77" s="45">
        <v>11299</v>
      </c>
      <c r="G77" s="45">
        <v>8399</v>
      </c>
      <c r="H77" s="46">
        <v>9799</v>
      </c>
      <c r="I77" s="46">
        <v>9799</v>
      </c>
      <c r="J77" s="45">
        <v>9699</v>
      </c>
      <c r="K77" s="45">
        <v>9699</v>
      </c>
      <c r="L77" s="45">
        <v>9699</v>
      </c>
      <c r="M77" s="45">
        <v>9699</v>
      </c>
      <c r="N77" s="45">
        <v>9699</v>
      </c>
      <c r="O77" s="45">
        <v>9599</v>
      </c>
      <c r="P77" s="46">
        <v>9499</v>
      </c>
      <c r="Q77" s="46">
        <v>8699</v>
      </c>
      <c r="R77" s="45">
        <v>9599</v>
      </c>
      <c r="S77" s="45">
        <v>9499</v>
      </c>
      <c r="T77" s="46">
        <v>8699</v>
      </c>
      <c r="U77" s="46">
        <v>8699</v>
      </c>
      <c r="V77" s="46">
        <v>8399</v>
      </c>
      <c r="W77" s="46">
        <v>8399</v>
      </c>
      <c r="X77" s="46">
        <v>8399</v>
      </c>
      <c r="Y77" s="46">
        <v>8199</v>
      </c>
      <c r="Z77" s="46">
        <v>8199</v>
      </c>
      <c r="AA77" s="46">
        <v>8199</v>
      </c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7"/>
      <c r="AW77" s="48" t="s">
        <v>67</v>
      </c>
      <c r="AX77" s="49" t="s">
        <v>68</v>
      </c>
      <c r="AY77" s="50">
        <f t="shared" si="0"/>
        <v>197.93979999999999</v>
      </c>
      <c r="AZ77" s="50">
        <f t="shared" si="1"/>
        <v>178.34180000000001</v>
      </c>
      <c r="BA77" s="51">
        <f t="shared" si="2"/>
        <v>100.9297</v>
      </c>
    </row>
    <row r="78" spans="1:53" ht="22.5" customHeight="1">
      <c r="A78" s="41" t="s">
        <v>63</v>
      </c>
      <c r="B78" s="42" t="s">
        <v>64</v>
      </c>
      <c r="C78" s="43">
        <v>4016598</v>
      </c>
      <c r="D78" s="44" t="s">
        <v>153</v>
      </c>
      <c r="E78" s="44" t="s">
        <v>154</v>
      </c>
      <c r="F78" s="45">
        <v>12799</v>
      </c>
      <c r="G78" s="45">
        <v>9699</v>
      </c>
      <c r="H78" s="46">
        <v>11799</v>
      </c>
      <c r="I78" s="46">
        <v>11799</v>
      </c>
      <c r="J78" s="45">
        <v>11799</v>
      </c>
      <c r="K78" s="45">
        <v>11799</v>
      </c>
      <c r="L78" s="45">
        <v>11799</v>
      </c>
      <c r="M78" s="45">
        <v>11799</v>
      </c>
      <c r="N78" s="45">
        <v>11799</v>
      </c>
      <c r="O78" s="45">
        <v>11699</v>
      </c>
      <c r="P78" s="46">
        <v>11599</v>
      </c>
      <c r="Q78" s="46">
        <v>10799</v>
      </c>
      <c r="R78" s="45">
        <v>11699</v>
      </c>
      <c r="S78" s="45">
        <v>11599</v>
      </c>
      <c r="T78" s="46">
        <v>10799</v>
      </c>
      <c r="U78" s="46">
        <v>10799</v>
      </c>
      <c r="V78" s="46">
        <v>10799</v>
      </c>
      <c r="W78" s="46">
        <v>10699</v>
      </c>
      <c r="X78" s="46">
        <v>10699</v>
      </c>
      <c r="Y78" s="46">
        <v>9699</v>
      </c>
      <c r="Z78" s="46">
        <v>9599</v>
      </c>
      <c r="AA78" s="46">
        <v>9599</v>
      </c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7"/>
      <c r="AW78" s="48" t="s">
        <v>67</v>
      </c>
      <c r="AX78" s="49" t="s">
        <v>68</v>
      </c>
      <c r="AY78" s="50">
        <f t="shared" ref="AY78:AY168" si="3">$H78*AY$11</f>
        <v>238.3398</v>
      </c>
      <c r="AZ78" s="50">
        <f t="shared" ref="AZ78:AZ168" si="4">($H78*AZ$11)</f>
        <v>214.74180000000001</v>
      </c>
      <c r="BA78" s="51">
        <f t="shared" ref="BA78:BA168" si="5">$H78*BA$11</f>
        <v>121.52970000000001</v>
      </c>
    </row>
    <row r="79" spans="1:53" ht="22.5" customHeight="1">
      <c r="A79" s="41" t="s">
        <v>63</v>
      </c>
      <c r="B79" s="42" t="s">
        <v>64</v>
      </c>
      <c r="C79" s="43">
        <v>4016606</v>
      </c>
      <c r="D79" s="44" t="s">
        <v>155</v>
      </c>
      <c r="E79" s="44" t="s">
        <v>156</v>
      </c>
      <c r="F79" s="45">
        <v>12499</v>
      </c>
      <c r="G79" s="45">
        <v>9599</v>
      </c>
      <c r="H79" s="46">
        <v>10999</v>
      </c>
      <c r="I79" s="46">
        <v>10999</v>
      </c>
      <c r="J79" s="45">
        <v>10899</v>
      </c>
      <c r="K79" s="45">
        <v>10899</v>
      </c>
      <c r="L79" s="45">
        <v>10899</v>
      </c>
      <c r="M79" s="45">
        <v>10899</v>
      </c>
      <c r="N79" s="45">
        <v>10899</v>
      </c>
      <c r="O79" s="45">
        <v>10599</v>
      </c>
      <c r="P79" s="46">
        <v>10499</v>
      </c>
      <c r="Q79" s="46">
        <v>9799</v>
      </c>
      <c r="R79" s="45">
        <v>10599</v>
      </c>
      <c r="S79" s="45">
        <v>10499</v>
      </c>
      <c r="T79" s="46">
        <v>9799</v>
      </c>
      <c r="U79" s="46">
        <v>9799</v>
      </c>
      <c r="V79" s="46">
        <v>9799</v>
      </c>
      <c r="W79" s="46">
        <v>9799</v>
      </c>
      <c r="X79" s="46">
        <v>9599</v>
      </c>
      <c r="Y79" s="46">
        <v>8999</v>
      </c>
      <c r="Z79" s="46">
        <v>8999</v>
      </c>
      <c r="AA79" s="46">
        <v>8999</v>
      </c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7"/>
      <c r="AW79" s="48" t="s">
        <v>67</v>
      </c>
      <c r="AX79" s="49" t="s">
        <v>68</v>
      </c>
      <c r="AY79" s="50">
        <f t="shared" si="3"/>
        <v>222.1798</v>
      </c>
      <c r="AZ79" s="50">
        <f t="shared" si="4"/>
        <v>200.18180000000001</v>
      </c>
      <c r="BA79" s="51">
        <f t="shared" si="5"/>
        <v>113.2897</v>
      </c>
    </row>
    <row r="80" spans="1:53" ht="22.5" customHeight="1">
      <c r="A80" s="41" t="s">
        <v>63</v>
      </c>
      <c r="B80" s="42" t="s">
        <v>64</v>
      </c>
      <c r="C80" s="43">
        <v>4016618</v>
      </c>
      <c r="D80" s="44" t="s">
        <v>155</v>
      </c>
      <c r="E80" s="44" t="s">
        <v>157</v>
      </c>
      <c r="F80" s="45">
        <v>12499</v>
      </c>
      <c r="G80" s="45">
        <v>9599</v>
      </c>
      <c r="H80" s="46">
        <v>10999</v>
      </c>
      <c r="I80" s="46">
        <v>10999</v>
      </c>
      <c r="J80" s="45">
        <v>10899</v>
      </c>
      <c r="K80" s="45">
        <v>10899</v>
      </c>
      <c r="L80" s="45">
        <v>10899</v>
      </c>
      <c r="M80" s="45">
        <v>10899</v>
      </c>
      <c r="N80" s="45">
        <v>10899</v>
      </c>
      <c r="O80" s="45">
        <v>10599</v>
      </c>
      <c r="P80" s="46">
        <v>10499</v>
      </c>
      <c r="Q80" s="46">
        <v>9799</v>
      </c>
      <c r="R80" s="45">
        <v>10599</v>
      </c>
      <c r="S80" s="45">
        <v>10499</v>
      </c>
      <c r="T80" s="46">
        <v>9799</v>
      </c>
      <c r="U80" s="46">
        <v>9799</v>
      </c>
      <c r="V80" s="46">
        <v>9799</v>
      </c>
      <c r="W80" s="46">
        <v>9799</v>
      </c>
      <c r="X80" s="46">
        <v>9599</v>
      </c>
      <c r="Y80" s="46">
        <v>8999</v>
      </c>
      <c r="Z80" s="46">
        <v>8999</v>
      </c>
      <c r="AA80" s="46">
        <v>8999</v>
      </c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7"/>
      <c r="AW80" s="48" t="s">
        <v>67</v>
      </c>
      <c r="AX80" s="49" t="s">
        <v>68</v>
      </c>
      <c r="AY80" s="50">
        <f t="shared" si="3"/>
        <v>222.1798</v>
      </c>
      <c r="AZ80" s="50">
        <f t="shared" si="4"/>
        <v>200.18180000000001</v>
      </c>
      <c r="BA80" s="51">
        <f t="shared" si="5"/>
        <v>113.2897</v>
      </c>
    </row>
    <row r="81" spans="1:53" ht="22.5" customHeight="1">
      <c r="A81" s="41" t="s">
        <v>63</v>
      </c>
      <c r="B81" s="42" t="s">
        <v>64</v>
      </c>
      <c r="C81" s="43">
        <v>4016617</v>
      </c>
      <c r="D81" s="44" t="s">
        <v>155</v>
      </c>
      <c r="E81" s="44" t="s">
        <v>158</v>
      </c>
      <c r="F81" s="45">
        <v>12499</v>
      </c>
      <c r="G81" s="45">
        <v>9599</v>
      </c>
      <c r="H81" s="46">
        <v>10999</v>
      </c>
      <c r="I81" s="46">
        <v>10999</v>
      </c>
      <c r="J81" s="45">
        <v>10899</v>
      </c>
      <c r="K81" s="45">
        <v>10899</v>
      </c>
      <c r="L81" s="45">
        <v>10899</v>
      </c>
      <c r="M81" s="45">
        <v>10899</v>
      </c>
      <c r="N81" s="45">
        <v>10899</v>
      </c>
      <c r="O81" s="45">
        <v>10599</v>
      </c>
      <c r="P81" s="46">
        <v>10499</v>
      </c>
      <c r="Q81" s="46">
        <v>9799</v>
      </c>
      <c r="R81" s="45">
        <v>10599</v>
      </c>
      <c r="S81" s="45">
        <v>10499</v>
      </c>
      <c r="T81" s="46">
        <v>9799</v>
      </c>
      <c r="U81" s="46">
        <v>9799</v>
      </c>
      <c r="V81" s="46">
        <v>9799</v>
      </c>
      <c r="W81" s="46">
        <v>9799</v>
      </c>
      <c r="X81" s="46">
        <v>9599</v>
      </c>
      <c r="Y81" s="46">
        <v>8999</v>
      </c>
      <c r="Z81" s="46">
        <v>8999</v>
      </c>
      <c r="AA81" s="46">
        <v>8999</v>
      </c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7"/>
      <c r="AW81" s="48" t="s">
        <v>67</v>
      </c>
      <c r="AX81" s="49" t="s">
        <v>68</v>
      </c>
      <c r="AY81" s="50">
        <f t="shared" si="3"/>
        <v>222.1798</v>
      </c>
      <c r="AZ81" s="50">
        <f t="shared" si="4"/>
        <v>200.18180000000001</v>
      </c>
      <c r="BA81" s="51">
        <f t="shared" si="5"/>
        <v>113.2897</v>
      </c>
    </row>
    <row r="82" spans="1:53" ht="22.5" customHeight="1">
      <c r="A82" s="41" t="s">
        <v>63</v>
      </c>
      <c r="B82" s="42" t="s">
        <v>64</v>
      </c>
      <c r="C82" s="43">
        <v>4016605</v>
      </c>
      <c r="D82" s="44" t="s">
        <v>155</v>
      </c>
      <c r="E82" s="44" t="s">
        <v>159</v>
      </c>
      <c r="F82" s="45">
        <v>12499</v>
      </c>
      <c r="G82" s="45">
        <v>9599</v>
      </c>
      <c r="H82" s="46">
        <v>10999</v>
      </c>
      <c r="I82" s="46">
        <v>10999</v>
      </c>
      <c r="J82" s="45">
        <v>10899</v>
      </c>
      <c r="K82" s="45">
        <v>10899</v>
      </c>
      <c r="L82" s="45">
        <v>10899</v>
      </c>
      <c r="M82" s="45">
        <v>10899</v>
      </c>
      <c r="N82" s="45">
        <v>10899</v>
      </c>
      <c r="O82" s="45">
        <v>10599</v>
      </c>
      <c r="P82" s="46">
        <v>10499</v>
      </c>
      <c r="Q82" s="46">
        <v>9799</v>
      </c>
      <c r="R82" s="45">
        <v>10599</v>
      </c>
      <c r="S82" s="45">
        <v>10499</v>
      </c>
      <c r="T82" s="46">
        <v>9799</v>
      </c>
      <c r="U82" s="46">
        <v>9799</v>
      </c>
      <c r="V82" s="46">
        <v>9799</v>
      </c>
      <c r="W82" s="46">
        <v>9799</v>
      </c>
      <c r="X82" s="46">
        <v>9599</v>
      </c>
      <c r="Y82" s="46">
        <v>8999</v>
      </c>
      <c r="Z82" s="46">
        <v>8999</v>
      </c>
      <c r="AA82" s="46">
        <v>8999</v>
      </c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7"/>
      <c r="AW82" s="48" t="s">
        <v>67</v>
      </c>
      <c r="AX82" s="49" t="s">
        <v>68</v>
      </c>
      <c r="AY82" s="50">
        <f t="shared" si="3"/>
        <v>222.1798</v>
      </c>
      <c r="AZ82" s="50">
        <f t="shared" si="4"/>
        <v>200.18180000000001</v>
      </c>
      <c r="BA82" s="51">
        <f t="shared" si="5"/>
        <v>113.2897</v>
      </c>
    </row>
    <row r="83" spans="1:53" ht="22.5" customHeight="1">
      <c r="A83" s="41" t="s">
        <v>63</v>
      </c>
      <c r="B83" s="42" t="s">
        <v>64</v>
      </c>
      <c r="C83" s="43">
        <v>4016613</v>
      </c>
      <c r="D83" s="44" t="s">
        <v>160</v>
      </c>
      <c r="E83" s="44" t="s">
        <v>161</v>
      </c>
      <c r="F83" s="45">
        <v>13999</v>
      </c>
      <c r="G83" s="45">
        <v>10799</v>
      </c>
      <c r="H83" s="46">
        <v>12099</v>
      </c>
      <c r="I83" s="46">
        <v>12099</v>
      </c>
      <c r="J83" s="45">
        <v>11999</v>
      </c>
      <c r="K83" s="45">
        <v>11999</v>
      </c>
      <c r="L83" s="45">
        <v>11999</v>
      </c>
      <c r="M83" s="45">
        <v>11999</v>
      </c>
      <c r="N83" s="45">
        <v>11999</v>
      </c>
      <c r="O83" s="45">
        <v>11699</v>
      </c>
      <c r="P83" s="46">
        <v>11599</v>
      </c>
      <c r="Q83" s="46">
        <v>10999</v>
      </c>
      <c r="R83" s="45">
        <v>11699</v>
      </c>
      <c r="S83" s="45">
        <v>11599</v>
      </c>
      <c r="T83" s="46">
        <v>10999</v>
      </c>
      <c r="U83" s="46">
        <v>10999</v>
      </c>
      <c r="V83" s="46">
        <v>10999</v>
      </c>
      <c r="W83" s="46">
        <v>10999</v>
      </c>
      <c r="X83" s="46">
        <v>10799</v>
      </c>
      <c r="Y83" s="46">
        <v>10299</v>
      </c>
      <c r="Z83" s="46">
        <v>10299</v>
      </c>
      <c r="AA83" s="46">
        <v>10299</v>
      </c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7"/>
      <c r="AW83" s="48" t="s">
        <v>67</v>
      </c>
      <c r="AX83" s="49" t="s">
        <v>68</v>
      </c>
      <c r="AY83" s="50">
        <f t="shared" si="3"/>
        <v>244.3998</v>
      </c>
      <c r="AZ83" s="50">
        <f t="shared" si="4"/>
        <v>220.20180000000002</v>
      </c>
      <c r="BA83" s="51">
        <f t="shared" si="5"/>
        <v>124.61969999999999</v>
      </c>
    </row>
    <row r="84" spans="1:53" ht="22.5" customHeight="1">
      <c r="A84" s="41" t="s">
        <v>63</v>
      </c>
      <c r="B84" s="42" t="s">
        <v>64</v>
      </c>
      <c r="C84" s="43">
        <v>4016619</v>
      </c>
      <c r="D84" s="44" t="s">
        <v>160</v>
      </c>
      <c r="E84" s="44" t="s">
        <v>162</v>
      </c>
      <c r="F84" s="45">
        <v>13999</v>
      </c>
      <c r="G84" s="45">
        <v>10799</v>
      </c>
      <c r="H84" s="46">
        <v>12099</v>
      </c>
      <c r="I84" s="46">
        <v>12099</v>
      </c>
      <c r="J84" s="45">
        <v>11999</v>
      </c>
      <c r="K84" s="45">
        <v>11999</v>
      </c>
      <c r="L84" s="45">
        <v>11999</v>
      </c>
      <c r="M84" s="45">
        <v>11999</v>
      </c>
      <c r="N84" s="45">
        <v>11999</v>
      </c>
      <c r="O84" s="45">
        <v>11699</v>
      </c>
      <c r="P84" s="46">
        <v>11599</v>
      </c>
      <c r="Q84" s="46">
        <v>10999</v>
      </c>
      <c r="R84" s="45">
        <v>11699</v>
      </c>
      <c r="S84" s="45">
        <v>11599</v>
      </c>
      <c r="T84" s="46">
        <v>10999</v>
      </c>
      <c r="U84" s="46">
        <v>10999</v>
      </c>
      <c r="V84" s="46">
        <v>10999</v>
      </c>
      <c r="W84" s="46">
        <v>10999</v>
      </c>
      <c r="X84" s="46">
        <v>10799</v>
      </c>
      <c r="Y84" s="46">
        <v>10299</v>
      </c>
      <c r="Z84" s="46">
        <v>10299</v>
      </c>
      <c r="AA84" s="46">
        <v>10299</v>
      </c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7"/>
      <c r="AW84" s="48" t="s">
        <v>67</v>
      </c>
      <c r="AX84" s="49" t="s">
        <v>68</v>
      </c>
      <c r="AY84" s="50">
        <f t="shared" si="3"/>
        <v>244.3998</v>
      </c>
      <c r="AZ84" s="50">
        <f t="shared" si="4"/>
        <v>220.20180000000002</v>
      </c>
      <c r="BA84" s="51">
        <f t="shared" si="5"/>
        <v>124.61969999999999</v>
      </c>
    </row>
    <row r="85" spans="1:53" ht="22.5" customHeight="1">
      <c r="A85" s="41" t="s">
        <v>63</v>
      </c>
      <c r="B85" s="42" t="s">
        <v>64</v>
      </c>
      <c r="C85" s="43">
        <v>4016609</v>
      </c>
      <c r="D85" s="44" t="s">
        <v>160</v>
      </c>
      <c r="E85" s="44" t="s">
        <v>163</v>
      </c>
      <c r="F85" s="45">
        <v>13999</v>
      </c>
      <c r="G85" s="45">
        <v>10799</v>
      </c>
      <c r="H85" s="46">
        <v>12099</v>
      </c>
      <c r="I85" s="46">
        <v>12099</v>
      </c>
      <c r="J85" s="45">
        <v>11999</v>
      </c>
      <c r="K85" s="45">
        <v>11999</v>
      </c>
      <c r="L85" s="45">
        <v>11999</v>
      </c>
      <c r="M85" s="45">
        <v>11999</v>
      </c>
      <c r="N85" s="45">
        <v>11999</v>
      </c>
      <c r="O85" s="45">
        <v>11699</v>
      </c>
      <c r="P85" s="46">
        <v>11599</v>
      </c>
      <c r="Q85" s="46">
        <v>10999</v>
      </c>
      <c r="R85" s="45">
        <v>11699</v>
      </c>
      <c r="S85" s="45">
        <v>11599</v>
      </c>
      <c r="T85" s="46">
        <v>10999</v>
      </c>
      <c r="U85" s="46">
        <v>10999</v>
      </c>
      <c r="V85" s="46">
        <v>10999</v>
      </c>
      <c r="W85" s="46">
        <v>10999</v>
      </c>
      <c r="X85" s="46">
        <v>10799</v>
      </c>
      <c r="Y85" s="46">
        <v>10299</v>
      </c>
      <c r="Z85" s="46">
        <v>10299</v>
      </c>
      <c r="AA85" s="46">
        <v>10299</v>
      </c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7"/>
      <c r="AW85" s="48" t="s">
        <v>67</v>
      </c>
      <c r="AX85" s="49" t="s">
        <v>68</v>
      </c>
      <c r="AY85" s="50">
        <f t="shared" si="3"/>
        <v>244.3998</v>
      </c>
      <c r="AZ85" s="50">
        <f t="shared" si="4"/>
        <v>220.20180000000002</v>
      </c>
      <c r="BA85" s="51">
        <f t="shared" si="5"/>
        <v>124.61969999999999</v>
      </c>
    </row>
    <row r="86" spans="1:53" ht="22.5" customHeight="1">
      <c r="A86" s="41" t="s">
        <v>63</v>
      </c>
      <c r="B86" s="42" t="s">
        <v>64</v>
      </c>
      <c r="C86" s="43">
        <v>4016916</v>
      </c>
      <c r="D86" s="52" t="s">
        <v>164</v>
      </c>
      <c r="E86" s="44" t="s">
        <v>165</v>
      </c>
      <c r="F86" s="45">
        <v>6599</v>
      </c>
      <c r="G86" s="45">
        <v>2299</v>
      </c>
      <c r="H86" s="53">
        <v>4699</v>
      </c>
      <c r="I86" s="53">
        <v>4699</v>
      </c>
      <c r="J86" s="54">
        <v>4599</v>
      </c>
      <c r="K86" s="54">
        <v>4599</v>
      </c>
      <c r="L86" s="54">
        <v>4599</v>
      </c>
      <c r="M86" s="54">
        <v>4599</v>
      </c>
      <c r="N86" s="54">
        <v>4599</v>
      </c>
      <c r="O86" s="54">
        <v>4499</v>
      </c>
      <c r="P86" s="53">
        <v>4399</v>
      </c>
      <c r="Q86" s="53">
        <v>2499</v>
      </c>
      <c r="R86" s="54">
        <v>4499</v>
      </c>
      <c r="S86" s="54">
        <v>4399</v>
      </c>
      <c r="T86" s="53">
        <v>2499</v>
      </c>
      <c r="U86" s="53">
        <v>2499</v>
      </c>
      <c r="V86" s="53">
        <v>2499</v>
      </c>
      <c r="W86" s="53">
        <v>2499</v>
      </c>
      <c r="X86" s="53">
        <v>2399</v>
      </c>
      <c r="Y86" s="53">
        <v>2299</v>
      </c>
      <c r="Z86" s="53">
        <v>2299</v>
      </c>
      <c r="AA86" s="53">
        <v>1999</v>
      </c>
      <c r="AB86" s="54">
        <v>4599</v>
      </c>
      <c r="AC86" s="54">
        <v>4599</v>
      </c>
      <c r="AD86" s="54">
        <v>4599</v>
      </c>
      <c r="AE86" s="54">
        <v>4599</v>
      </c>
      <c r="AF86" s="54">
        <v>4499</v>
      </c>
      <c r="AG86" s="54">
        <v>4399</v>
      </c>
      <c r="AH86" s="54">
        <v>2499</v>
      </c>
      <c r="AI86" s="54">
        <v>2499</v>
      </c>
      <c r="AJ86" s="54">
        <v>2499</v>
      </c>
      <c r="AK86" s="54">
        <v>2499</v>
      </c>
      <c r="AL86" s="54">
        <v>2299</v>
      </c>
      <c r="AM86" s="45"/>
      <c r="AN86" s="45"/>
      <c r="AO86" s="45"/>
      <c r="AP86" s="45"/>
      <c r="AQ86" s="45"/>
      <c r="AR86" s="45"/>
      <c r="AS86" s="45"/>
      <c r="AT86" s="45"/>
      <c r="AU86" s="45"/>
      <c r="AV86" s="47"/>
      <c r="AW86" s="48" t="s">
        <v>67</v>
      </c>
      <c r="AX86" s="49" t="s">
        <v>68</v>
      </c>
      <c r="AY86" s="55">
        <f t="shared" si="3"/>
        <v>94.919799999999995</v>
      </c>
      <c r="AZ86" s="55">
        <f t="shared" si="4"/>
        <v>85.521799999999999</v>
      </c>
      <c r="BA86" s="56">
        <f t="shared" si="5"/>
        <v>48.399700000000003</v>
      </c>
    </row>
    <row r="87" spans="1:53" ht="22.5" customHeight="1">
      <c r="A87" s="41" t="s">
        <v>63</v>
      </c>
      <c r="B87" s="42" t="s">
        <v>64</v>
      </c>
      <c r="C87" s="43">
        <v>4016917</v>
      </c>
      <c r="D87" s="52" t="s">
        <v>164</v>
      </c>
      <c r="E87" s="44" t="s">
        <v>166</v>
      </c>
      <c r="F87" s="45">
        <v>6599</v>
      </c>
      <c r="G87" s="45">
        <v>2299</v>
      </c>
      <c r="H87" s="53">
        <v>4699</v>
      </c>
      <c r="I87" s="53">
        <v>4699</v>
      </c>
      <c r="J87" s="54">
        <v>4599</v>
      </c>
      <c r="K87" s="54">
        <v>4599</v>
      </c>
      <c r="L87" s="54">
        <v>4599</v>
      </c>
      <c r="M87" s="54">
        <v>4599</v>
      </c>
      <c r="N87" s="54">
        <v>4599</v>
      </c>
      <c r="O87" s="54">
        <v>4499</v>
      </c>
      <c r="P87" s="53">
        <v>4399</v>
      </c>
      <c r="Q87" s="53">
        <v>2499</v>
      </c>
      <c r="R87" s="54">
        <v>4499</v>
      </c>
      <c r="S87" s="54">
        <v>4399</v>
      </c>
      <c r="T87" s="53">
        <v>2499</v>
      </c>
      <c r="U87" s="53">
        <v>2499</v>
      </c>
      <c r="V87" s="53">
        <v>2499</v>
      </c>
      <c r="W87" s="53">
        <v>2499</v>
      </c>
      <c r="X87" s="53">
        <v>2399</v>
      </c>
      <c r="Y87" s="53">
        <v>2299</v>
      </c>
      <c r="Z87" s="53">
        <v>2299</v>
      </c>
      <c r="AA87" s="53">
        <v>1999</v>
      </c>
      <c r="AB87" s="54">
        <v>4599</v>
      </c>
      <c r="AC87" s="54">
        <v>4599</v>
      </c>
      <c r="AD87" s="54">
        <v>4599</v>
      </c>
      <c r="AE87" s="54">
        <v>4599</v>
      </c>
      <c r="AF87" s="54">
        <v>4499</v>
      </c>
      <c r="AG87" s="54">
        <v>4399</v>
      </c>
      <c r="AH87" s="54">
        <v>2499</v>
      </c>
      <c r="AI87" s="54">
        <v>2499</v>
      </c>
      <c r="AJ87" s="54">
        <v>2499</v>
      </c>
      <c r="AK87" s="54">
        <v>2499</v>
      </c>
      <c r="AL87" s="54">
        <v>2299</v>
      </c>
      <c r="AM87" s="45"/>
      <c r="AN87" s="45"/>
      <c r="AO87" s="45"/>
      <c r="AP87" s="45"/>
      <c r="AQ87" s="45"/>
      <c r="AR87" s="45"/>
      <c r="AS87" s="45"/>
      <c r="AT87" s="45"/>
      <c r="AU87" s="45"/>
      <c r="AV87" s="47"/>
      <c r="AW87" s="48" t="s">
        <v>67</v>
      </c>
      <c r="AX87" s="49" t="s">
        <v>68</v>
      </c>
      <c r="AY87" s="55">
        <f t="shared" si="3"/>
        <v>94.919799999999995</v>
      </c>
      <c r="AZ87" s="55">
        <f t="shared" si="4"/>
        <v>85.521799999999999</v>
      </c>
      <c r="BA87" s="56">
        <f t="shared" si="5"/>
        <v>48.399700000000003</v>
      </c>
    </row>
    <row r="88" spans="1:53" ht="22.5" customHeight="1">
      <c r="A88" s="41" t="s">
        <v>63</v>
      </c>
      <c r="B88" s="42" t="s">
        <v>64</v>
      </c>
      <c r="C88" s="43">
        <v>4017449</v>
      </c>
      <c r="D88" s="44" t="s">
        <v>167</v>
      </c>
      <c r="E88" s="44" t="s">
        <v>168</v>
      </c>
      <c r="F88" s="45">
        <v>7999</v>
      </c>
      <c r="G88" s="45">
        <v>5399</v>
      </c>
      <c r="H88" s="46">
        <v>6499</v>
      </c>
      <c r="I88" s="46">
        <v>6499</v>
      </c>
      <c r="J88" s="45">
        <v>6399</v>
      </c>
      <c r="K88" s="45">
        <v>6399</v>
      </c>
      <c r="L88" s="45">
        <v>6399</v>
      </c>
      <c r="M88" s="45">
        <v>6399</v>
      </c>
      <c r="N88" s="45">
        <v>6399</v>
      </c>
      <c r="O88" s="45">
        <v>6299</v>
      </c>
      <c r="P88" s="46">
        <v>6199</v>
      </c>
      <c r="Q88" s="46">
        <v>5499</v>
      </c>
      <c r="R88" s="45">
        <v>6299</v>
      </c>
      <c r="S88" s="45">
        <v>6199</v>
      </c>
      <c r="T88" s="46">
        <v>5499</v>
      </c>
      <c r="U88" s="46">
        <v>5499</v>
      </c>
      <c r="V88" s="46">
        <v>5499</v>
      </c>
      <c r="W88" s="46">
        <v>5499</v>
      </c>
      <c r="X88" s="46">
        <v>5399</v>
      </c>
      <c r="Y88" s="46">
        <v>4999</v>
      </c>
      <c r="Z88" s="46">
        <v>4999</v>
      </c>
      <c r="AA88" s="46">
        <v>4949</v>
      </c>
      <c r="AB88" s="45">
        <v>6399</v>
      </c>
      <c r="AC88" s="45">
        <v>6399</v>
      </c>
      <c r="AD88" s="45">
        <v>6399</v>
      </c>
      <c r="AE88" s="45">
        <v>6299</v>
      </c>
      <c r="AF88" s="45">
        <v>6199</v>
      </c>
      <c r="AG88" s="45">
        <v>6199</v>
      </c>
      <c r="AH88" s="45">
        <v>5499</v>
      </c>
      <c r="AI88" s="45">
        <v>5499</v>
      </c>
      <c r="AJ88" s="45">
        <v>5499</v>
      </c>
      <c r="AK88" s="45">
        <v>5499</v>
      </c>
      <c r="AL88" s="45">
        <v>4999</v>
      </c>
      <c r="AM88" s="45"/>
      <c r="AN88" s="45"/>
      <c r="AO88" s="45"/>
      <c r="AP88" s="45"/>
      <c r="AQ88" s="45"/>
      <c r="AR88" s="45"/>
      <c r="AS88" s="45"/>
      <c r="AT88" s="45"/>
      <c r="AU88" s="45"/>
      <c r="AV88" s="47"/>
      <c r="AW88" s="48" t="s">
        <v>67</v>
      </c>
      <c r="AX88" s="49" t="s">
        <v>68</v>
      </c>
      <c r="AY88" s="50">
        <f t="shared" si="3"/>
        <v>131.27979999999999</v>
      </c>
      <c r="AZ88" s="50">
        <f t="shared" si="4"/>
        <v>118.2818</v>
      </c>
      <c r="BA88" s="51">
        <f t="shared" si="5"/>
        <v>66.939700000000002</v>
      </c>
    </row>
    <row r="89" spans="1:53" ht="22.5" customHeight="1">
      <c r="A89" s="41" t="s">
        <v>63</v>
      </c>
      <c r="B89" s="42" t="s">
        <v>64</v>
      </c>
      <c r="C89" s="43">
        <v>4017897</v>
      </c>
      <c r="D89" s="44" t="s">
        <v>167</v>
      </c>
      <c r="E89" s="44" t="s">
        <v>169</v>
      </c>
      <c r="F89" s="45">
        <v>7999</v>
      </c>
      <c r="G89" s="45">
        <v>5399</v>
      </c>
      <c r="H89" s="46">
        <v>6499</v>
      </c>
      <c r="I89" s="46">
        <v>6499</v>
      </c>
      <c r="J89" s="45">
        <v>6399</v>
      </c>
      <c r="K89" s="45">
        <v>6399</v>
      </c>
      <c r="L89" s="45">
        <v>6399</v>
      </c>
      <c r="M89" s="45">
        <v>6399</v>
      </c>
      <c r="N89" s="45">
        <v>6399</v>
      </c>
      <c r="O89" s="45">
        <v>6299</v>
      </c>
      <c r="P89" s="46">
        <v>6199</v>
      </c>
      <c r="Q89" s="46">
        <v>5499</v>
      </c>
      <c r="R89" s="45">
        <v>6299</v>
      </c>
      <c r="S89" s="45">
        <v>6199</v>
      </c>
      <c r="T89" s="46">
        <v>5499</v>
      </c>
      <c r="U89" s="46">
        <v>5499</v>
      </c>
      <c r="V89" s="46">
        <v>5499</v>
      </c>
      <c r="W89" s="46">
        <v>5499</v>
      </c>
      <c r="X89" s="46">
        <v>5399</v>
      </c>
      <c r="Y89" s="46">
        <v>4999</v>
      </c>
      <c r="Z89" s="46">
        <v>4999</v>
      </c>
      <c r="AA89" s="46">
        <v>4949</v>
      </c>
      <c r="AB89" s="45">
        <v>6399</v>
      </c>
      <c r="AC89" s="45">
        <v>6399</v>
      </c>
      <c r="AD89" s="45">
        <v>6399</v>
      </c>
      <c r="AE89" s="45">
        <v>6299</v>
      </c>
      <c r="AF89" s="45">
        <v>6199</v>
      </c>
      <c r="AG89" s="45">
        <v>6199</v>
      </c>
      <c r="AH89" s="45">
        <v>5499</v>
      </c>
      <c r="AI89" s="45">
        <v>5499</v>
      </c>
      <c r="AJ89" s="45">
        <v>5499</v>
      </c>
      <c r="AK89" s="45">
        <v>5499</v>
      </c>
      <c r="AL89" s="45">
        <v>4999</v>
      </c>
      <c r="AM89" s="45"/>
      <c r="AN89" s="45"/>
      <c r="AO89" s="45"/>
      <c r="AP89" s="45"/>
      <c r="AQ89" s="45"/>
      <c r="AR89" s="45"/>
      <c r="AS89" s="45"/>
      <c r="AT89" s="45"/>
      <c r="AU89" s="45"/>
      <c r="AV89" s="47"/>
      <c r="AW89" s="48" t="s">
        <v>67</v>
      </c>
      <c r="AX89" s="49" t="s">
        <v>68</v>
      </c>
      <c r="AY89" s="50">
        <f t="shared" si="3"/>
        <v>131.27979999999999</v>
      </c>
      <c r="AZ89" s="50">
        <f t="shared" si="4"/>
        <v>118.2818</v>
      </c>
      <c r="BA89" s="51">
        <f t="shared" si="5"/>
        <v>66.939700000000002</v>
      </c>
    </row>
    <row r="90" spans="1:53" ht="22.5" customHeight="1">
      <c r="A90" s="41" t="s">
        <v>63</v>
      </c>
      <c r="B90" s="42" t="s">
        <v>64</v>
      </c>
      <c r="C90" s="43">
        <v>4017480</v>
      </c>
      <c r="D90" s="44" t="s">
        <v>167</v>
      </c>
      <c r="E90" s="44" t="s">
        <v>170</v>
      </c>
      <c r="F90" s="45">
        <v>7999</v>
      </c>
      <c r="G90" s="45">
        <v>5399</v>
      </c>
      <c r="H90" s="46">
        <v>6499</v>
      </c>
      <c r="I90" s="46">
        <v>6499</v>
      </c>
      <c r="J90" s="45">
        <v>6399</v>
      </c>
      <c r="K90" s="45">
        <v>6399</v>
      </c>
      <c r="L90" s="45">
        <v>6399</v>
      </c>
      <c r="M90" s="45">
        <v>6399</v>
      </c>
      <c r="N90" s="45">
        <v>6399</v>
      </c>
      <c r="O90" s="45">
        <v>6299</v>
      </c>
      <c r="P90" s="46">
        <v>6199</v>
      </c>
      <c r="Q90" s="46">
        <v>5499</v>
      </c>
      <c r="R90" s="45">
        <v>6299</v>
      </c>
      <c r="S90" s="45">
        <v>6199</v>
      </c>
      <c r="T90" s="46">
        <v>5499</v>
      </c>
      <c r="U90" s="46">
        <v>5499</v>
      </c>
      <c r="V90" s="46">
        <v>5499</v>
      </c>
      <c r="W90" s="46">
        <v>5499</v>
      </c>
      <c r="X90" s="46">
        <v>5399</v>
      </c>
      <c r="Y90" s="46">
        <v>4999</v>
      </c>
      <c r="Z90" s="46">
        <v>4999</v>
      </c>
      <c r="AA90" s="46">
        <v>4949</v>
      </c>
      <c r="AB90" s="45">
        <v>6399</v>
      </c>
      <c r="AC90" s="45">
        <v>6399</v>
      </c>
      <c r="AD90" s="45">
        <v>6399</v>
      </c>
      <c r="AE90" s="45">
        <v>6299</v>
      </c>
      <c r="AF90" s="45">
        <v>6199</v>
      </c>
      <c r="AG90" s="45">
        <v>6199</v>
      </c>
      <c r="AH90" s="45">
        <v>5499</v>
      </c>
      <c r="AI90" s="45">
        <v>5499</v>
      </c>
      <c r="AJ90" s="45">
        <v>5499</v>
      </c>
      <c r="AK90" s="45">
        <v>5499</v>
      </c>
      <c r="AL90" s="45">
        <v>4999</v>
      </c>
      <c r="AM90" s="45"/>
      <c r="AN90" s="45"/>
      <c r="AO90" s="45"/>
      <c r="AP90" s="45"/>
      <c r="AQ90" s="45"/>
      <c r="AR90" s="45"/>
      <c r="AS90" s="45"/>
      <c r="AT90" s="45"/>
      <c r="AU90" s="45"/>
      <c r="AV90" s="47"/>
      <c r="AW90" s="48" t="s">
        <v>67</v>
      </c>
      <c r="AX90" s="49" t="s">
        <v>68</v>
      </c>
      <c r="AY90" s="50">
        <f t="shared" si="3"/>
        <v>131.27979999999999</v>
      </c>
      <c r="AZ90" s="50">
        <f t="shared" si="4"/>
        <v>118.2818</v>
      </c>
      <c r="BA90" s="51">
        <f t="shared" si="5"/>
        <v>66.939700000000002</v>
      </c>
    </row>
    <row r="91" spans="1:53" ht="22.5" customHeight="1">
      <c r="A91" s="41" t="s">
        <v>63</v>
      </c>
      <c r="B91" s="42" t="s">
        <v>64</v>
      </c>
      <c r="C91" s="43">
        <v>4017894</v>
      </c>
      <c r="D91" s="44" t="s">
        <v>167</v>
      </c>
      <c r="E91" s="44" t="s">
        <v>171</v>
      </c>
      <c r="F91" s="45">
        <v>7999</v>
      </c>
      <c r="G91" s="45">
        <v>5399</v>
      </c>
      <c r="H91" s="46">
        <v>6499</v>
      </c>
      <c r="I91" s="46">
        <v>6499</v>
      </c>
      <c r="J91" s="45">
        <v>6399</v>
      </c>
      <c r="K91" s="45">
        <v>6399</v>
      </c>
      <c r="L91" s="45">
        <v>6399</v>
      </c>
      <c r="M91" s="45">
        <v>6399</v>
      </c>
      <c r="N91" s="45">
        <v>6399</v>
      </c>
      <c r="O91" s="45">
        <v>6299</v>
      </c>
      <c r="P91" s="46">
        <v>6199</v>
      </c>
      <c r="Q91" s="46">
        <v>5499</v>
      </c>
      <c r="R91" s="45">
        <v>6299</v>
      </c>
      <c r="S91" s="45">
        <v>6199</v>
      </c>
      <c r="T91" s="46">
        <v>5499</v>
      </c>
      <c r="U91" s="46">
        <v>5499</v>
      </c>
      <c r="V91" s="46">
        <v>5499</v>
      </c>
      <c r="W91" s="46">
        <v>5499</v>
      </c>
      <c r="X91" s="46">
        <v>5399</v>
      </c>
      <c r="Y91" s="46">
        <v>4999</v>
      </c>
      <c r="Z91" s="46">
        <v>4999</v>
      </c>
      <c r="AA91" s="46">
        <v>4949</v>
      </c>
      <c r="AB91" s="45">
        <v>6399</v>
      </c>
      <c r="AC91" s="45">
        <v>6399</v>
      </c>
      <c r="AD91" s="45">
        <v>6399</v>
      </c>
      <c r="AE91" s="45">
        <v>6299</v>
      </c>
      <c r="AF91" s="45">
        <v>6199</v>
      </c>
      <c r="AG91" s="45">
        <v>6199</v>
      </c>
      <c r="AH91" s="45">
        <v>5499</v>
      </c>
      <c r="AI91" s="45">
        <v>5499</v>
      </c>
      <c r="AJ91" s="45">
        <v>5499</v>
      </c>
      <c r="AK91" s="45">
        <v>5499</v>
      </c>
      <c r="AL91" s="45">
        <v>4999</v>
      </c>
      <c r="AM91" s="45"/>
      <c r="AN91" s="45"/>
      <c r="AO91" s="45"/>
      <c r="AP91" s="45"/>
      <c r="AQ91" s="45"/>
      <c r="AR91" s="45"/>
      <c r="AS91" s="45"/>
      <c r="AT91" s="45"/>
      <c r="AU91" s="45"/>
      <c r="AV91" s="47"/>
      <c r="AW91" s="48" t="s">
        <v>67</v>
      </c>
      <c r="AX91" s="49" t="s">
        <v>68</v>
      </c>
      <c r="AY91" s="50">
        <f t="shared" si="3"/>
        <v>131.27979999999999</v>
      </c>
      <c r="AZ91" s="50">
        <f t="shared" si="4"/>
        <v>118.2818</v>
      </c>
      <c r="BA91" s="51">
        <f t="shared" si="5"/>
        <v>66.939700000000002</v>
      </c>
    </row>
    <row r="92" spans="1:53" ht="22.5" customHeight="1">
      <c r="A92" s="41" t="s">
        <v>63</v>
      </c>
      <c r="B92" s="42" t="s">
        <v>64</v>
      </c>
      <c r="C92" s="43">
        <v>4017485</v>
      </c>
      <c r="D92" s="44" t="s">
        <v>167</v>
      </c>
      <c r="E92" s="44" t="s">
        <v>172</v>
      </c>
      <c r="F92" s="45">
        <v>7999</v>
      </c>
      <c r="G92" s="45">
        <v>5399</v>
      </c>
      <c r="H92" s="46">
        <v>6499</v>
      </c>
      <c r="I92" s="46">
        <v>6499</v>
      </c>
      <c r="J92" s="45">
        <v>6399</v>
      </c>
      <c r="K92" s="45">
        <v>6399</v>
      </c>
      <c r="L92" s="45">
        <v>6399</v>
      </c>
      <c r="M92" s="45">
        <v>6399</v>
      </c>
      <c r="N92" s="45">
        <v>6399</v>
      </c>
      <c r="O92" s="45">
        <v>6299</v>
      </c>
      <c r="P92" s="46">
        <v>6199</v>
      </c>
      <c r="Q92" s="46">
        <v>5499</v>
      </c>
      <c r="R92" s="45">
        <v>6299</v>
      </c>
      <c r="S92" s="45">
        <v>6199</v>
      </c>
      <c r="T92" s="46">
        <v>5499</v>
      </c>
      <c r="U92" s="46">
        <v>5499</v>
      </c>
      <c r="V92" s="46">
        <v>5499</v>
      </c>
      <c r="W92" s="46">
        <v>5499</v>
      </c>
      <c r="X92" s="46">
        <v>5399</v>
      </c>
      <c r="Y92" s="46">
        <v>4999</v>
      </c>
      <c r="Z92" s="46">
        <v>4999</v>
      </c>
      <c r="AA92" s="46">
        <v>4949</v>
      </c>
      <c r="AB92" s="45">
        <v>6399</v>
      </c>
      <c r="AC92" s="45">
        <v>6399</v>
      </c>
      <c r="AD92" s="45">
        <v>6399</v>
      </c>
      <c r="AE92" s="45">
        <v>6299</v>
      </c>
      <c r="AF92" s="45">
        <v>6199</v>
      </c>
      <c r="AG92" s="45">
        <v>6199</v>
      </c>
      <c r="AH92" s="45">
        <v>5499</v>
      </c>
      <c r="AI92" s="45">
        <v>5499</v>
      </c>
      <c r="AJ92" s="45">
        <v>5499</v>
      </c>
      <c r="AK92" s="45">
        <v>5499</v>
      </c>
      <c r="AL92" s="45">
        <v>4999</v>
      </c>
      <c r="AM92" s="45"/>
      <c r="AN92" s="45"/>
      <c r="AO92" s="45"/>
      <c r="AP92" s="45"/>
      <c r="AQ92" s="45"/>
      <c r="AR92" s="45"/>
      <c r="AS92" s="45"/>
      <c r="AT92" s="45"/>
      <c r="AU92" s="45"/>
      <c r="AV92" s="47"/>
      <c r="AW92" s="48" t="s">
        <v>67</v>
      </c>
      <c r="AX92" s="49" t="s">
        <v>68</v>
      </c>
      <c r="AY92" s="50">
        <f t="shared" si="3"/>
        <v>131.27979999999999</v>
      </c>
      <c r="AZ92" s="50">
        <f t="shared" si="4"/>
        <v>118.2818</v>
      </c>
      <c r="BA92" s="51">
        <f t="shared" si="5"/>
        <v>66.939700000000002</v>
      </c>
    </row>
    <row r="93" spans="1:53" ht="22.5" customHeight="1">
      <c r="A93" s="41" t="s">
        <v>63</v>
      </c>
      <c r="B93" s="42" t="s">
        <v>64</v>
      </c>
      <c r="C93" s="43">
        <v>4017890</v>
      </c>
      <c r="D93" s="44" t="s">
        <v>167</v>
      </c>
      <c r="E93" s="44" t="s">
        <v>173</v>
      </c>
      <c r="F93" s="45">
        <v>7999</v>
      </c>
      <c r="G93" s="45">
        <v>5399</v>
      </c>
      <c r="H93" s="46">
        <v>6499</v>
      </c>
      <c r="I93" s="46">
        <v>6499</v>
      </c>
      <c r="J93" s="45">
        <v>6399</v>
      </c>
      <c r="K93" s="45">
        <v>6399</v>
      </c>
      <c r="L93" s="45">
        <v>6399</v>
      </c>
      <c r="M93" s="45">
        <v>6399</v>
      </c>
      <c r="N93" s="45">
        <v>6399</v>
      </c>
      <c r="O93" s="45">
        <v>6299</v>
      </c>
      <c r="P93" s="46">
        <v>6199</v>
      </c>
      <c r="Q93" s="46">
        <v>5499</v>
      </c>
      <c r="R93" s="45">
        <v>6299</v>
      </c>
      <c r="S93" s="45">
        <v>6199</v>
      </c>
      <c r="T93" s="46">
        <v>5499</v>
      </c>
      <c r="U93" s="46">
        <v>5499</v>
      </c>
      <c r="V93" s="46">
        <v>5499</v>
      </c>
      <c r="W93" s="46">
        <v>5499</v>
      </c>
      <c r="X93" s="46">
        <v>5399</v>
      </c>
      <c r="Y93" s="46">
        <v>4999</v>
      </c>
      <c r="Z93" s="46">
        <v>4999</v>
      </c>
      <c r="AA93" s="46">
        <v>4949</v>
      </c>
      <c r="AB93" s="45">
        <v>6399</v>
      </c>
      <c r="AC93" s="45">
        <v>6399</v>
      </c>
      <c r="AD93" s="45">
        <v>6399</v>
      </c>
      <c r="AE93" s="45">
        <v>6299</v>
      </c>
      <c r="AF93" s="45">
        <v>6199</v>
      </c>
      <c r="AG93" s="45">
        <v>6199</v>
      </c>
      <c r="AH93" s="45">
        <v>5499</v>
      </c>
      <c r="AI93" s="45">
        <v>5499</v>
      </c>
      <c r="AJ93" s="45">
        <v>5499</v>
      </c>
      <c r="AK93" s="45">
        <v>5499</v>
      </c>
      <c r="AL93" s="45">
        <v>4999</v>
      </c>
      <c r="AM93" s="45"/>
      <c r="AN93" s="45"/>
      <c r="AO93" s="45"/>
      <c r="AP93" s="45"/>
      <c r="AQ93" s="45"/>
      <c r="AR93" s="45"/>
      <c r="AS93" s="45"/>
      <c r="AT93" s="45"/>
      <c r="AU93" s="45"/>
      <c r="AV93" s="47"/>
      <c r="AW93" s="48" t="s">
        <v>67</v>
      </c>
      <c r="AX93" s="49" t="s">
        <v>68</v>
      </c>
      <c r="AY93" s="50">
        <f t="shared" si="3"/>
        <v>131.27979999999999</v>
      </c>
      <c r="AZ93" s="50">
        <f t="shared" si="4"/>
        <v>118.2818</v>
      </c>
      <c r="BA93" s="51">
        <f t="shared" si="5"/>
        <v>66.939700000000002</v>
      </c>
    </row>
    <row r="94" spans="1:53" ht="22.5" customHeight="1">
      <c r="A94" s="41" t="s">
        <v>63</v>
      </c>
      <c r="B94" s="42" t="s">
        <v>64</v>
      </c>
      <c r="C94" s="43">
        <v>4017486</v>
      </c>
      <c r="D94" s="44" t="s">
        <v>167</v>
      </c>
      <c r="E94" s="44" t="s">
        <v>174</v>
      </c>
      <c r="F94" s="45">
        <v>7999</v>
      </c>
      <c r="G94" s="45">
        <v>5399</v>
      </c>
      <c r="H94" s="46">
        <v>6499</v>
      </c>
      <c r="I94" s="46">
        <v>6499</v>
      </c>
      <c r="J94" s="45">
        <v>6399</v>
      </c>
      <c r="K94" s="45">
        <v>6399</v>
      </c>
      <c r="L94" s="45">
        <v>6399</v>
      </c>
      <c r="M94" s="45">
        <v>6399</v>
      </c>
      <c r="N94" s="45">
        <v>6399</v>
      </c>
      <c r="O94" s="45">
        <v>6299</v>
      </c>
      <c r="P94" s="46">
        <v>6199</v>
      </c>
      <c r="Q94" s="46">
        <v>5499</v>
      </c>
      <c r="R94" s="45">
        <v>6299</v>
      </c>
      <c r="S94" s="45">
        <v>6199</v>
      </c>
      <c r="T94" s="46">
        <v>5499</v>
      </c>
      <c r="U94" s="46">
        <v>5499</v>
      </c>
      <c r="V94" s="46">
        <v>5499</v>
      </c>
      <c r="W94" s="46">
        <v>5499</v>
      </c>
      <c r="X94" s="46">
        <v>5399</v>
      </c>
      <c r="Y94" s="46">
        <v>4999</v>
      </c>
      <c r="Z94" s="46">
        <v>4999</v>
      </c>
      <c r="AA94" s="46">
        <v>4949</v>
      </c>
      <c r="AB94" s="45">
        <v>6399</v>
      </c>
      <c r="AC94" s="45">
        <v>6399</v>
      </c>
      <c r="AD94" s="45">
        <v>6399</v>
      </c>
      <c r="AE94" s="45">
        <v>6299</v>
      </c>
      <c r="AF94" s="45">
        <v>6199</v>
      </c>
      <c r="AG94" s="45">
        <v>6199</v>
      </c>
      <c r="AH94" s="45">
        <v>5499</v>
      </c>
      <c r="AI94" s="45">
        <v>5499</v>
      </c>
      <c r="AJ94" s="45">
        <v>5499</v>
      </c>
      <c r="AK94" s="45">
        <v>5499</v>
      </c>
      <c r="AL94" s="45">
        <v>4999</v>
      </c>
      <c r="AM94" s="45"/>
      <c r="AN94" s="45"/>
      <c r="AO94" s="45"/>
      <c r="AP94" s="45"/>
      <c r="AQ94" s="45"/>
      <c r="AR94" s="45"/>
      <c r="AS94" s="45"/>
      <c r="AT94" s="45"/>
      <c r="AU94" s="45"/>
      <c r="AV94" s="47"/>
      <c r="AW94" s="48" t="s">
        <v>67</v>
      </c>
      <c r="AX94" s="49" t="s">
        <v>68</v>
      </c>
      <c r="AY94" s="50">
        <f t="shared" si="3"/>
        <v>131.27979999999999</v>
      </c>
      <c r="AZ94" s="50">
        <f t="shared" si="4"/>
        <v>118.2818</v>
      </c>
      <c r="BA94" s="51">
        <f t="shared" si="5"/>
        <v>66.939700000000002</v>
      </c>
    </row>
    <row r="95" spans="1:53" ht="22.5" customHeight="1">
      <c r="A95" s="41" t="s">
        <v>63</v>
      </c>
      <c r="B95" s="42" t="s">
        <v>64</v>
      </c>
      <c r="C95" s="43">
        <v>4017892</v>
      </c>
      <c r="D95" s="44" t="s">
        <v>167</v>
      </c>
      <c r="E95" s="44" t="s">
        <v>175</v>
      </c>
      <c r="F95" s="45">
        <v>7999</v>
      </c>
      <c r="G95" s="45">
        <v>5399</v>
      </c>
      <c r="H95" s="46">
        <v>6499</v>
      </c>
      <c r="I95" s="46">
        <v>6499</v>
      </c>
      <c r="J95" s="45">
        <v>6399</v>
      </c>
      <c r="K95" s="45">
        <v>6399</v>
      </c>
      <c r="L95" s="45">
        <v>6399</v>
      </c>
      <c r="M95" s="45">
        <v>6399</v>
      </c>
      <c r="N95" s="45">
        <v>6399</v>
      </c>
      <c r="O95" s="45">
        <v>6299</v>
      </c>
      <c r="P95" s="46">
        <v>6199</v>
      </c>
      <c r="Q95" s="46">
        <v>5499</v>
      </c>
      <c r="R95" s="45">
        <v>6299</v>
      </c>
      <c r="S95" s="45">
        <v>6199</v>
      </c>
      <c r="T95" s="46">
        <v>5499</v>
      </c>
      <c r="U95" s="46">
        <v>5499</v>
      </c>
      <c r="V95" s="46">
        <v>5499</v>
      </c>
      <c r="W95" s="46">
        <v>5499</v>
      </c>
      <c r="X95" s="46">
        <v>5399</v>
      </c>
      <c r="Y95" s="46">
        <v>4999</v>
      </c>
      <c r="Z95" s="46">
        <v>4999</v>
      </c>
      <c r="AA95" s="46">
        <v>4949</v>
      </c>
      <c r="AB95" s="45">
        <v>6399</v>
      </c>
      <c r="AC95" s="45">
        <v>6399</v>
      </c>
      <c r="AD95" s="45">
        <v>6399</v>
      </c>
      <c r="AE95" s="45">
        <v>6299</v>
      </c>
      <c r="AF95" s="45">
        <v>6199</v>
      </c>
      <c r="AG95" s="45">
        <v>6199</v>
      </c>
      <c r="AH95" s="45">
        <v>5499</v>
      </c>
      <c r="AI95" s="45">
        <v>5499</v>
      </c>
      <c r="AJ95" s="45">
        <v>5499</v>
      </c>
      <c r="AK95" s="45">
        <v>5499</v>
      </c>
      <c r="AL95" s="45">
        <v>4999</v>
      </c>
      <c r="AM95" s="45"/>
      <c r="AN95" s="45"/>
      <c r="AO95" s="45"/>
      <c r="AP95" s="45"/>
      <c r="AQ95" s="45"/>
      <c r="AR95" s="45"/>
      <c r="AS95" s="45"/>
      <c r="AT95" s="45"/>
      <c r="AU95" s="45"/>
      <c r="AV95" s="47"/>
      <c r="AW95" s="48" t="s">
        <v>67</v>
      </c>
      <c r="AX95" s="49" t="s">
        <v>68</v>
      </c>
      <c r="AY95" s="50">
        <f t="shared" si="3"/>
        <v>131.27979999999999</v>
      </c>
      <c r="AZ95" s="50">
        <f t="shared" si="4"/>
        <v>118.2818</v>
      </c>
      <c r="BA95" s="51">
        <f t="shared" si="5"/>
        <v>66.939700000000002</v>
      </c>
    </row>
    <row r="96" spans="1:53" ht="22.5" customHeight="1">
      <c r="A96" s="41" t="s">
        <v>63</v>
      </c>
      <c r="B96" s="42" t="s">
        <v>64</v>
      </c>
      <c r="C96" s="43">
        <v>4017483</v>
      </c>
      <c r="D96" s="44" t="s">
        <v>167</v>
      </c>
      <c r="E96" s="44" t="s">
        <v>176</v>
      </c>
      <c r="F96" s="45">
        <v>7999</v>
      </c>
      <c r="G96" s="45">
        <v>5399</v>
      </c>
      <c r="H96" s="46">
        <v>6499</v>
      </c>
      <c r="I96" s="46">
        <v>6499</v>
      </c>
      <c r="J96" s="45">
        <v>6399</v>
      </c>
      <c r="K96" s="45">
        <v>6399</v>
      </c>
      <c r="L96" s="45">
        <v>6399</v>
      </c>
      <c r="M96" s="45">
        <v>6399</v>
      </c>
      <c r="N96" s="45">
        <v>6399</v>
      </c>
      <c r="O96" s="45">
        <v>6299</v>
      </c>
      <c r="P96" s="46">
        <v>6199</v>
      </c>
      <c r="Q96" s="46">
        <v>5499</v>
      </c>
      <c r="R96" s="45">
        <v>6299</v>
      </c>
      <c r="S96" s="45">
        <v>6199</v>
      </c>
      <c r="T96" s="46">
        <v>5499</v>
      </c>
      <c r="U96" s="46">
        <v>5499</v>
      </c>
      <c r="V96" s="46">
        <v>5499</v>
      </c>
      <c r="W96" s="46">
        <v>5499</v>
      </c>
      <c r="X96" s="46">
        <v>5399</v>
      </c>
      <c r="Y96" s="46">
        <v>4999</v>
      </c>
      <c r="Z96" s="46">
        <v>4999</v>
      </c>
      <c r="AA96" s="46">
        <v>4949</v>
      </c>
      <c r="AB96" s="45">
        <v>6399</v>
      </c>
      <c r="AC96" s="45">
        <v>6399</v>
      </c>
      <c r="AD96" s="45">
        <v>6399</v>
      </c>
      <c r="AE96" s="45">
        <v>6299</v>
      </c>
      <c r="AF96" s="45">
        <v>6199</v>
      </c>
      <c r="AG96" s="45">
        <v>6199</v>
      </c>
      <c r="AH96" s="45">
        <v>5499</v>
      </c>
      <c r="AI96" s="45">
        <v>5499</v>
      </c>
      <c r="AJ96" s="45">
        <v>5499</v>
      </c>
      <c r="AK96" s="45">
        <v>5499</v>
      </c>
      <c r="AL96" s="45">
        <v>4999</v>
      </c>
      <c r="AM96" s="45"/>
      <c r="AN96" s="45"/>
      <c r="AO96" s="45"/>
      <c r="AP96" s="45"/>
      <c r="AQ96" s="45"/>
      <c r="AR96" s="45"/>
      <c r="AS96" s="45"/>
      <c r="AT96" s="45"/>
      <c r="AU96" s="45"/>
      <c r="AV96" s="47"/>
      <c r="AW96" s="48" t="s">
        <v>67</v>
      </c>
      <c r="AX96" s="49" t="s">
        <v>68</v>
      </c>
      <c r="AY96" s="50">
        <f t="shared" si="3"/>
        <v>131.27979999999999</v>
      </c>
      <c r="AZ96" s="50">
        <f t="shared" si="4"/>
        <v>118.2818</v>
      </c>
      <c r="BA96" s="51">
        <f t="shared" si="5"/>
        <v>66.939700000000002</v>
      </c>
    </row>
    <row r="97" spans="1:53" ht="22.5" customHeight="1">
      <c r="A97" s="41" t="s">
        <v>63</v>
      </c>
      <c r="B97" s="42" t="s">
        <v>64</v>
      </c>
      <c r="C97" s="43">
        <v>4017899</v>
      </c>
      <c r="D97" s="44" t="s">
        <v>167</v>
      </c>
      <c r="E97" s="44" t="s">
        <v>177</v>
      </c>
      <c r="F97" s="45">
        <v>7999</v>
      </c>
      <c r="G97" s="45">
        <v>5399</v>
      </c>
      <c r="H97" s="46">
        <v>6499</v>
      </c>
      <c r="I97" s="46">
        <v>6499</v>
      </c>
      <c r="J97" s="45">
        <v>6399</v>
      </c>
      <c r="K97" s="45">
        <v>6399</v>
      </c>
      <c r="L97" s="45">
        <v>6399</v>
      </c>
      <c r="M97" s="45">
        <v>6399</v>
      </c>
      <c r="N97" s="45">
        <v>6399</v>
      </c>
      <c r="O97" s="45">
        <v>6299</v>
      </c>
      <c r="P97" s="46">
        <v>6199</v>
      </c>
      <c r="Q97" s="46">
        <v>5499</v>
      </c>
      <c r="R97" s="45">
        <v>6299</v>
      </c>
      <c r="S97" s="45">
        <v>6199</v>
      </c>
      <c r="T97" s="46">
        <v>5499</v>
      </c>
      <c r="U97" s="46">
        <v>5499</v>
      </c>
      <c r="V97" s="46">
        <v>5499</v>
      </c>
      <c r="W97" s="46">
        <v>5499</v>
      </c>
      <c r="X97" s="46">
        <v>5399</v>
      </c>
      <c r="Y97" s="46">
        <v>4999</v>
      </c>
      <c r="Z97" s="46">
        <v>4999</v>
      </c>
      <c r="AA97" s="46">
        <v>4949</v>
      </c>
      <c r="AB97" s="45">
        <v>6399</v>
      </c>
      <c r="AC97" s="45">
        <v>6399</v>
      </c>
      <c r="AD97" s="45">
        <v>6399</v>
      </c>
      <c r="AE97" s="45">
        <v>6299</v>
      </c>
      <c r="AF97" s="45">
        <v>6199</v>
      </c>
      <c r="AG97" s="45">
        <v>6199</v>
      </c>
      <c r="AH97" s="45">
        <v>5499</v>
      </c>
      <c r="AI97" s="45">
        <v>5499</v>
      </c>
      <c r="AJ97" s="45">
        <v>5499</v>
      </c>
      <c r="AK97" s="45">
        <v>5499</v>
      </c>
      <c r="AL97" s="45">
        <v>4999</v>
      </c>
      <c r="AM97" s="45"/>
      <c r="AN97" s="45"/>
      <c r="AO97" s="45"/>
      <c r="AP97" s="45"/>
      <c r="AQ97" s="45"/>
      <c r="AR97" s="45"/>
      <c r="AS97" s="45"/>
      <c r="AT97" s="45"/>
      <c r="AU97" s="45"/>
      <c r="AV97" s="47"/>
      <c r="AW97" s="48" t="s">
        <v>67</v>
      </c>
      <c r="AX97" s="49" t="s">
        <v>68</v>
      </c>
      <c r="AY97" s="50">
        <f t="shared" si="3"/>
        <v>131.27979999999999</v>
      </c>
      <c r="AZ97" s="50">
        <f t="shared" si="4"/>
        <v>118.2818</v>
      </c>
      <c r="BA97" s="51">
        <f t="shared" si="5"/>
        <v>66.939700000000002</v>
      </c>
    </row>
    <row r="98" spans="1:53" ht="22.5" customHeight="1">
      <c r="A98" s="41" t="s">
        <v>63</v>
      </c>
      <c r="B98" s="42" t="s">
        <v>64</v>
      </c>
      <c r="C98" s="43">
        <v>4017484</v>
      </c>
      <c r="D98" s="44" t="s">
        <v>178</v>
      </c>
      <c r="E98" s="44" t="s">
        <v>179</v>
      </c>
      <c r="F98" s="45">
        <v>9499</v>
      </c>
      <c r="G98" s="45">
        <v>7699</v>
      </c>
      <c r="H98" s="46">
        <v>8199</v>
      </c>
      <c r="I98" s="46">
        <v>8199</v>
      </c>
      <c r="J98" s="45">
        <v>8099</v>
      </c>
      <c r="K98" s="45">
        <v>8099</v>
      </c>
      <c r="L98" s="45">
        <v>8099</v>
      </c>
      <c r="M98" s="45">
        <v>8099</v>
      </c>
      <c r="N98" s="45">
        <v>8099</v>
      </c>
      <c r="O98" s="45">
        <v>7999</v>
      </c>
      <c r="P98" s="46">
        <v>7899</v>
      </c>
      <c r="Q98" s="46">
        <v>7799</v>
      </c>
      <c r="R98" s="45">
        <v>7999</v>
      </c>
      <c r="S98" s="45">
        <v>7899</v>
      </c>
      <c r="T98" s="46">
        <v>7799</v>
      </c>
      <c r="U98" s="46">
        <v>7799</v>
      </c>
      <c r="V98" s="46">
        <v>7799</v>
      </c>
      <c r="W98" s="46">
        <v>7799</v>
      </c>
      <c r="X98" s="46">
        <v>7699</v>
      </c>
      <c r="Y98" s="46">
        <v>7499</v>
      </c>
      <c r="Z98" s="46">
        <v>7499</v>
      </c>
      <c r="AA98" s="46">
        <v>7499</v>
      </c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7"/>
      <c r="AW98" s="48" t="s">
        <v>67</v>
      </c>
      <c r="AX98" s="49" t="s">
        <v>68</v>
      </c>
      <c r="AY98" s="50">
        <f t="shared" si="3"/>
        <v>165.6198</v>
      </c>
      <c r="AZ98" s="50">
        <f t="shared" si="4"/>
        <v>149.2218</v>
      </c>
      <c r="BA98" s="51">
        <f t="shared" si="5"/>
        <v>84.449700000000007</v>
      </c>
    </row>
    <row r="99" spans="1:53" ht="22.5" customHeight="1">
      <c r="A99" s="41" t="s">
        <v>63</v>
      </c>
      <c r="B99" s="42" t="s">
        <v>64</v>
      </c>
      <c r="C99" s="43">
        <v>4017506</v>
      </c>
      <c r="D99" s="44" t="s">
        <v>178</v>
      </c>
      <c r="E99" s="44" t="s">
        <v>180</v>
      </c>
      <c r="F99" s="45">
        <v>9499</v>
      </c>
      <c r="G99" s="45">
        <v>7699</v>
      </c>
      <c r="H99" s="46">
        <v>8199</v>
      </c>
      <c r="I99" s="46">
        <v>8199</v>
      </c>
      <c r="J99" s="45">
        <v>8099</v>
      </c>
      <c r="K99" s="45">
        <v>8099</v>
      </c>
      <c r="L99" s="45">
        <v>8099</v>
      </c>
      <c r="M99" s="45">
        <v>8099</v>
      </c>
      <c r="N99" s="45">
        <v>8099</v>
      </c>
      <c r="O99" s="45">
        <v>7999</v>
      </c>
      <c r="P99" s="46">
        <v>7899</v>
      </c>
      <c r="Q99" s="46">
        <v>7799</v>
      </c>
      <c r="R99" s="45">
        <v>7999</v>
      </c>
      <c r="S99" s="45">
        <v>7899</v>
      </c>
      <c r="T99" s="46">
        <v>7799</v>
      </c>
      <c r="U99" s="46">
        <v>7799</v>
      </c>
      <c r="V99" s="46">
        <v>7799</v>
      </c>
      <c r="W99" s="46">
        <v>7799</v>
      </c>
      <c r="X99" s="46">
        <v>7699</v>
      </c>
      <c r="Y99" s="46">
        <v>7499</v>
      </c>
      <c r="Z99" s="46">
        <v>7499</v>
      </c>
      <c r="AA99" s="46">
        <v>7499</v>
      </c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7"/>
      <c r="AW99" s="48" t="s">
        <v>67</v>
      </c>
      <c r="AX99" s="49" t="s">
        <v>68</v>
      </c>
      <c r="AY99" s="50">
        <f t="shared" si="3"/>
        <v>165.6198</v>
      </c>
      <c r="AZ99" s="50">
        <f t="shared" si="4"/>
        <v>149.2218</v>
      </c>
      <c r="BA99" s="51">
        <f t="shared" si="5"/>
        <v>84.449700000000007</v>
      </c>
    </row>
    <row r="100" spans="1:53" ht="22.5" customHeight="1">
      <c r="A100" s="41" t="s">
        <v>63</v>
      </c>
      <c r="B100" s="42" t="s">
        <v>64</v>
      </c>
      <c r="C100" s="43">
        <v>4017497</v>
      </c>
      <c r="D100" s="44" t="s">
        <v>181</v>
      </c>
      <c r="E100" s="44" t="s">
        <v>182</v>
      </c>
      <c r="F100" s="45">
        <v>10499</v>
      </c>
      <c r="G100" s="45">
        <v>7299</v>
      </c>
      <c r="H100" s="46">
        <v>7799</v>
      </c>
      <c r="I100" s="46">
        <v>7799</v>
      </c>
      <c r="J100" s="45">
        <v>7699</v>
      </c>
      <c r="K100" s="45">
        <v>7699</v>
      </c>
      <c r="L100" s="45">
        <v>7699</v>
      </c>
      <c r="M100" s="45">
        <v>7699</v>
      </c>
      <c r="N100" s="45">
        <v>7699</v>
      </c>
      <c r="O100" s="45">
        <v>7599</v>
      </c>
      <c r="P100" s="46">
        <v>7499</v>
      </c>
      <c r="Q100" s="46">
        <v>7399</v>
      </c>
      <c r="R100" s="45">
        <v>7599</v>
      </c>
      <c r="S100" s="45">
        <v>7499</v>
      </c>
      <c r="T100" s="46">
        <v>7399</v>
      </c>
      <c r="U100" s="46">
        <v>7399</v>
      </c>
      <c r="V100" s="46">
        <v>7399</v>
      </c>
      <c r="W100" s="46">
        <v>7399</v>
      </c>
      <c r="X100" s="46">
        <v>7299</v>
      </c>
      <c r="Y100" s="46">
        <v>6499</v>
      </c>
      <c r="Z100" s="46">
        <v>6499</v>
      </c>
      <c r="AA100" s="46">
        <v>5499</v>
      </c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7"/>
      <c r="AW100" s="48" t="s">
        <v>67</v>
      </c>
      <c r="AX100" s="49" t="s">
        <v>68</v>
      </c>
      <c r="AY100" s="50">
        <f t="shared" si="3"/>
        <v>157.53979999999999</v>
      </c>
      <c r="AZ100" s="50">
        <f t="shared" si="4"/>
        <v>141.9418</v>
      </c>
      <c r="BA100" s="51">
        <f t="shared" si="5"/>
        <v>80.329700000000003</v>
      </c>
    </row>
    <row r="101" spans="1:53" ht="22.5" customHeight="1">
      <c r="A101" s="41" t="s">
        <v>63</v>
      </c>
      <c r="B101" s="42" t="s">
        <v>64</v>
      </c>
      <c r="C101" s="43">
        <v>4017498</v>
      </c>
      <c r="D101" s="44" t="s">
        <v>181</v>
      </c>
      <c r="E101" s="44" t="s">
        <v>183</v>
      </c>
      <c r="F101" s="45">
        <v>10499</v>
      </c>
      <c r="G101" s="45">
        <v>7299</v>
      </c>
      <c r="H101" s="46">
        <v>7799</v>
      </c>
      <c r="I101" s="46">
        <v>7799</v>
      </c>
      <c r="J101" s="45">
        <v>7699</v>
      </c>
      <c r="K101" s="45">
        <v>7699</v>
      </c>
      <c r="L101" s="45">
        <v>7699</v>
      </c>
      <c r="M101" s="45">
        <v>7699</v>
      </c>
      <c r="N101" s="45">
        <v>7699</v>
      </c>
      <c r="O101" s="45">
        <v>7599</v>
      </c>
      <c r="P101" s="46">
        <v>7499</v>
      </c>
      <c r="Q101" s="46">
        <v>7399</v>
      </c>
      <c r="R101" s="45">
        <v>7599</v>
      </c>
      <c r="S101" s="45">
        <v>7499</v>
      </c>
      <c r="T101" s="46">
        <v>7399</v>
      </c>
      <c r="U101" s="46">
        <v>7399</v>
      </c>
      <c r="V101" s="46">
        <v>7399</v>
      </c>
      <c r="W101" s="46">
        <v>7399</v>
      </c>
      <c r="X101" s="46">
        <v>7299</v>
      </c>
      <c r="Y101" s="46">
        <v>6499</v>
      </c>
      <c r="Z101" s="46">
        <v>6499</v>
      </c>
      <c r="AA101" s="46">
        <v>5499</v>
      </c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7"/>
      <c r="AW101" s="48" t="s">
        <v>67</v>
      </c>
      <c r="AX101" s="49" t="s">
        <v>68</v>
      </c>
      <c r="AY101" s="50">
        <f t="shared" si="3"/>
        <v>157.53979999999999</v>
      </c>
      <c r="AZ101" s="50">
        <f t="shared" si="4"/>
        <v>141.9418</v>
      </c>
      <c r="BA101" s="51">
        <f t="shared" si="5"/>
        <v>80.329700000000003</v>
      </c>
    </row>
    <row r="102" spans="1:53" ht="22.5" customHeight="1">
      <c r="A102" s="41" t="s">
        <v>63</v>
      </c>
      <c r="B102" s="42" t="s">
        <v>64</v>
      </c>
      <c r="C102" s="43">
        <v>4017499</v>
      </c>
      <c r="D102" s="44" t="s">
        <v>181</v>
      </c>
      <c r="E102" s="44" t="s">
        <v>184</v>
      </c>
      <c r="F102" s="45">
        <v>10499</v>
      </c>
      <c r="G102" s="45">
        <v>7299</v>
      </c>
      <c r="H102" s="46">
        <v>7799</v>
      </c>
      <c r="I102" s="46">
        <v>7799</v>
      </c>
      <c r="J102" s="45">
        <v>7699</v>
      </c>
      <c r="K102" s="45">
        <v>7699</v>
      </c>
      <c r="L102" s="45">
        <v>7699</v>
      </c>
      <c r="M102" s="45">
        <v>7699</v>
      </c>
      <c r="N102" s="45">
        <v>7699</v>
      </c>
      <c r="O102" s="45">
        <v>7599</v>
      </c>
      <c r="P102" s="46">
        <v>7499</v>
      </c>
      <c r="Q102" s="46">
        <v>7399</v>
      </c>
      <c r="R102" s="45">
        <v>7599</v>
      </c>
      <c r="S102" s="45">
        <v>7499</v>
      </c>
      <c r="T102" s="46">
        <v>7399</v>
      </c>
      <c r="U102" s="46">
        <v>7399</v>
      </c>
      <c r="V102" s="46">
        <v>7399</v>
      </c>
      <c r="W102" s="46">
        <v>7399</v>
      </c>
      <c r="X102" s="46">
        <v>7299</v>
      </c>
      <c r="Y102" s="46">
        <v>6499</v>
      </c>
      <c r="Z102" s="46">
        <v>6499</v>
      </c>
      <c r="AA102" s="46">
        <v>5499</v>
      </c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7"/>
      <c r="AW102" s="48" t="s">
        <v>67</v>
      </c>
      <c r="AX102" s="49" t="s">
        <v>68</v>
      </c>
      <c r="AY102" s="50">
        <f t="shared" si="3"/>
        <v>157.53979999999999</v>
      </c>
      <c r="AZ102" s="50">
        <f t="shared" si="4"/>
        <v>141.9418</v>
      </c>
      <c r="BA102" s="51">
        <f t="shared" si="5"/>
        <v>80.329700000000003</v>
      </c>
    </row>
    <row r="103" spans="1:53" ht="22.5" customHeight="1">
      <c r="A103" s="41" t="s">
        <v>63</v>
      </c>
      <c r="B103" s="42" t="s">
        <v>64</v>
      </c>
      <c r="C103" s="43">
        <v>4017521</v>
      </c>
      <c r="D103" s="44" t="s">
        <v>181</v>
      </c>
      <c r="E103" s="44" t="s">
        <v>185</v>
      </c>
      <c r="F103" s="45">
        <v>10499</v>
      </c>
      <c r="G103" s="45">
        <v>7299</v>
      </c>
      <c r="H103" s="46">
        <v>7799</v>
      </c>
      <c r="I103" s="46">
        <v>7799</v>
      </c>
      <c r="J103" s="45">
        <v>7699</v>
      </c>
      <c r="K103" s="45">
        <v>7699</v>
      </c>
      <c r="L103" s="45">
        <v>7699</v>
      </c>
      <c r="M103" s="45">
        <v>7699</v>
      </c>
      <c r="N103" s="45">
        <v>7699</v>
      </c>
      <c r="O103" s="45">
        <v>7599</v>
      </c>
      <c r="P103" s="46">
        <v>7499</v>
      </c>
      <c r="Q103" s="46">
        <v>7399</v>
      </c>
      <c r="R103" s="45">
        <v>7599</v>
      </c>
      <c r="S103" s="45">
        <v>7499</v>
      </c>
      <c r="T103" s="46">
        <v>7399</v>
      </c>
      <c r="U103" s="46">
        <v>7399</v>
      </c>
      <c r="V103" s="46">
        <v>7399</v>
      </c>
      <c r="W103" s="46">
        <v>7399</v>
      </c>
      <c r="X103" s="46">
        <v>7299</v>
      </c>
      <c r="Y103" s="46">
        <v>6499</v>
      </c>
      <c r="Z103" s="46">
        <v>6499</v>
      </c>
      <c r="AA103" s="46">
        <v>5499</v>
      </c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7"/>
      <c r="AW103" s="48" t="s">
        <v>67</v>
      </c>
      <c r="AX103" s="49" t="s">
        <v>68</v>
      </c>
      <c r="AY103" s="50">
        <f t="shared" si="3"/>
        <v>157.53979999999999</v>
      </c>
      <c r="AZ103" s="50">
        <f t="shared" si="4"/>
        <v>141.9418</v>
      </c>
      <c r="BA103" s="51">
        <f t="shared" si="5"/>
        <v>80.329700000000003</v>
      </c>
    </row>
    <row r="104" spans="1:53" ht="22.5" customHeight="1">
      <c r="A104" s="41" t="s">
        <v>63</v>
      </c>
      <c r="B104" s="42" t="s">
        <v>64</v>
      </c>
      <c r="C104" s="43">
        <v>4017496</v>
      </c>
      <c r="D104" s="44" t="s">
        <v>186</v>
      </c>
      <c r="E104" s="44" t="s">
        <v>187</v>
      </c>
      <c r="F104" s="46">
        <v>11999</v>
      </c>
      <c r="G104" s="46">
        <v>8399</v>
      </c>
      <c r="H104" s="46">
        <v>9099</v>
      </c>
      <c r="I104" s="46">
        <v>9099</v>
      </c>
      <c r="J104" s="46">
        <v>8999</v>
      </c>
      <c r="K104" s="46">
        <v>8999</v>
      </c>
      <c r="L104" s="46">
        <v>8999</v>
      </c>
      <c r="M104" s="46">
        <v>8999</v>
      </c>
      <c r="N104" s="46">
        <v>8999</v>
      </c>
      <c r="O104" s="46">
        <v>8899</v>
      </c>
      <c r="P104" s="46">
        <v>8799</v>
      </c>
      <c r="Q104" s="46">
        <v>8499</v>
      </c>
      <c r="R104" s="46">
        <v>8899</v>
      </c>
      <c r="S104" s="46">
        <v>8799</v>
      </c>
      <c r="T104" s="46">
        <v>8499</v>
      </c>
      <c r="U104" s="46">
        <v>8499</v>
      </c>
      <c r="V104" s="46">
        <v>8499</v>
      </c>
      <c r="W104" s="46">
        <v>8499</v>
      </c>
      <c r="X104" s="46">
        <v>8399</v>
      </c>
      <c r="Y104" s="46">
        <v>7799</v>
      </c>
      <c r="Z104" s="46">
        <v>7799</v>
      </c>
      <c r="AA104" s="46">
        <v>6799</v>
      </c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7"/>
      <c r="AW104" s="48" t="s">
        <v>67</v>
      </c>
      <c r="AX104" s="49" t="s">
        <v>68</v>
      </c>
      <c r="AY104" s="50">
        <f t="shared" si="3"/>
        <v>183.7998</v>
      </c>
      <c r="AZ104" s="50">
        <f t="shared" si="4"/>
        <v>165.6018</v>
      </c>
      <c r="BA104" s="51">
        <f t="shared" si="5"/>
        <v>93.719700000000003</v>
      </c>
    </row>
    <row r="105" spans="1:53" ht="22.5" customHeight="1">
      <c r="A105" s="41" t="s">
        <v>63</v>
      </c>
      <c r="B105" s="42" t="s">
        <v>64</v>
      </c>
      <c r="C105" s="43">
        <v>4017519</v>
      </c>
      <c r="D105" s="44" t="s">
        <v>186</v>
      </c>
      <c r="E105" s="44" t="s">
        <v>188</v>
      </c>
      <c r="F105" s="46">
        <v>11999</v>
      </c>
      <c r="G105" s="46">
        <v>8399</v>
      </c>
      <c r="H105" s="46">
        <v>9099</v>
      </c>
      <c r="I105" s="46">
        <v>9099</v>
      </c>
      <c r="J105" s="46">
        <v>8999</v>
      </c>
      <c r="K105" s="46">
        <v>8999</v>
      </c>
      <c r="L105" s="46">
        <v>8999</v>
      </c>
      <c r="M105" s="46">
        <v>8999</v>
      </c>
      <c r="N105" s="46">
        <v>8999</v>
      </c>
      <c r="O105" s="46">
        <v>8899</v>
      </c>
      <c r="P105" s="46">
        <v>8799</v>
      </c>
      <c r="Q105" s="46">
        <v>8499</v>
      </c>
      <c r="R105" s="46">
        <v>8899</v>
      </c>
      <c r="S105" s="46">
        <v>8799</v>
      </c>
      <c r="T105" s="46">
        <v>8499</v>
      </c>
      <c r="U105" s="46">
        <v>8499</v>
      </c>
      <c r="V105" s="46">
        <v>8499</v>
      </c>
      <c r="W105" s="46">
        <v>8499</v>
      </c>
      <c r="X105" s="46">
        <v>8399</v>
      </c>
      <c r="Y105" s="46">
        <v>7799</v>
      </c>
      <c r="Z105" s="46">
        <v>7799</v>
      </c>
      <c r="AA105" s="46">
        <v>6799</v>
      </c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7"/>
      <c r="AW105" s="48" t="s">
        <v>67</v>
      </c>
      <c r="AX105" s="49" t="s">
        <v>68</v>
      </c>
      <c r="AY105" s="50">
        <f t="shared" si="3"/>
        <v>183.7998</v>
      </c>
      <c r="AZ105" s="50">
        <f t="shared" si="4"/>
        <v>165.6018</v>
      </c>
      <c r="BA105" s="51">
        <f t="shared" si="5"/>
        <v>93.719700000000003</v>
      </c>
    </row>
    <row r="106" spans="1:53" ht="22.5" customHeight="1">
      <c r="A106" s="41" t="s">
        <v>63</v>
      </c>
      <c r="B106" s="42" t="s">
        <v>64</v>
      </c>
      <c r="C106" s="43">
        <v>4017525</v>
      </c>
      <c r="D106" s="44" t="s">
        <v>186</v>
      </c>
      <c r="E106" s="44" t="s">
        <v>189</v>
      </c>
      <c r="F106" s="46">
        <v>11999</v>
      </c>
      <c r="G106" s="46">
        <v>8399</v>
      </c>
      <c r="H106" s="46">
        <v>9099</v>
      </c>
      <c r="I106" s="46">
        <v>9099</v>
      </c>
      <c r="J106" s="46">
        <v>8999</v>
      </c>
      <c r="K106" s="46">
        <v>8999</v>
      </c>
      <c r="L106" s="46">
        <v>8999</v>
      </c>
      <c r="M106" s="46">
        <v>8999</v>
      </c>
      <c r="N106" s="46">
        <v>8999</v>
      </c>
      <c r="O106" s="46">
        <v>8899</v>
      </c>
      <c r="P106" s="46">
        <v>8799</v>
      </c>
      <c r="Q106" s="46">
        <v>8499</v>
      </c>
      <c r="R106" s="46">
        <v>8899</v>
      </c>
      <c r="S106" s="46">
        <v>8799</v>
      </c>
      <c r="T106" s="46">
        <v>8499</v>
      </c>
      <c r="U106" s="46">
        <v>8499</v>
      </c>
      <c r="V106" s="46">
        <v>8499</v>
      </c>
      <c r="W106" s="46">
        <v>8499</v>
      </c>
      <c r="X106" s="46">
        <v>8399</v>
      </c>
      <c r="Y106" s="46">
        <v>7799</v>
      </c>
      <c r="Z106" s="46">
        <v>7799</v>
      </c>
      <c r="AA106" s="46">
        <v>6799</v>
      </c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7"/>
      <c r="AW106" s="48" t="s">
        <v>67</v>
      </c>
      <c r="AX106" s="49" t="s">
        <v>68</v>
      </c>
      <c r="AY106" s="50">
        <f t="shared" si="3"/>
        <v>183.7998</v>
      </c>
      <c r="AZ106" s="50">
        <f t="shared" si="4"/>
        <v>165.6018</v>
      </c>
      <c r="BA106" s="51">
        <f t="shared" si="5"/>
        <v>93.719700000000003</v>
      </c>
    </row>
    <row r="107" spans="1:53" ht="22.5" customHeight="1">
      <c r="A107" s="41" t="s">
        <v>63</v>
      </c>
      <c r="B107" s="42" t="s">
        <v>64</v>
      </c>
      <c r="C107" s="43">
        <v>4017518</v>
      </c>
      <c r="D107" s="44" t="s">
        <v>186</v>
      </c>
      <c r="E107" s="44" t="s">
        <v>190</v>
      </c>
      <c r="F107" s="46">
        <v>11999</v>
      </c>
      <c r="G107" s="46">
        <v>8399</v>
      </c>
      <c r="H107" s="46">
        <v>9099</v>
      </c>
      <c r="I107" s="46">
        <v>9099</v>
      </c>
      <c r="J107" s="46">
        <v>8999</v>
      </c>
      <c r="K107" s="46">
        <v>8999</v>
      </c>
      <c r="L107" s="46">
        <v>8999</v>
      </c>
      <c r="M107" s="46">
        <v>8999</v>
      </c>
      <c r="N107" s="46">
        <v>8999</v>
      </c>
      <c r="O107" s="46">
        <v>8899</v>
      </c>
      <c r="P107" s="46">
        <v>8799</v>
      </c>
      <c r="Q107" s="46">
        <v>8499</v>
      </c>
      <c r="R107" s="46">
        <v>8899</v>
      </c>
      <c r="S107" s="46">
        <v>8799</v>
      </c>
      <c r="T107" s="46">
        <v>8499</v>
      </c>
      <c r="U107" s="46">
        <v>8499</v>
      </c>
      <c r="V107" s="46">
        <v>8499</v>
      </c>
      <c r="W107" s="46">
        <v>8499</v>
      </c>
      <c r="X107" s="46">
        <v>8399</v>
      </c>
      <c r="Y107" s="46">
        <v>7799</v>
      </c>
      <c r="Z107" s="46">
        <v>7799</v>
      </c>
      <c r="AA107" s="46">
        <v>6799</v>
      </c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7"/>
      <c r="AW107" s="48" t="s">
        <v>67</v>
      </c>
      <c r="AX107" s="49" t="s">
        <v>68</v>
      </c>
      <c r="AY107" s="50">
        <f t="shared" si="3"/>
        <v>183.7998</v>
      </c>
      <c r="AZ107" s="50">
        <f t="shared" si="4"/>
        <v>165.6018</v>
      </c>
      <c r="BA107" s="51">
        <f t="shared" si="5"/>
        <v>93.719700000000003</v>
      </c>
    </row>
    <row r="108" spans="1:53" ht="22.5" customHeight="1">
      <c r="A108" s="41" t="s">
        <v>63</v>
      </c>
      <c r="B108" s="42" t="s">
        <v>64</v>
      </c>
      <c r="C108" s="43">
        <v>4017487</v>
      </c>
      <c r="D108" s="44" t="s">
        <v>191</v>
      </c>
      <c r="E108" s="44" t="s">
        <v>192</v>
      </c>
      <c r="F108" s="45">
        <v>11499</v>
      </c>
      <c r="G108" s="45">
        <v>8799</v>
      </c>
      <c r="H108" s="46">
        <v>10799</v>
      </c>
      <c r="I108" s="46">
        <v>10799</v>
      </c>
      <c r="J108" s="45">
        <v>10799</v>
      </c>
      <c r="K108" s="45">
        <v>10799</v>
      </c>
      <c r="L108" s="45">
        <v>10799</v>
      </c>
      <c r="M108" s="45">
        <v>10799</v>
      </c>
      <c r="N108" s="45">
        <v>10799</v>
      </c>
      <c r="O108" s="45">
        <v>10699</v>
      </c>
      <c r="P108" s="46">
        <v>10599</v>
      </c>
      <c r="Q108" s="46">
        <v>9799</v>
      </c>
      <c r="R108" s="45">
        <v>10699</v>
      </c>
      <c r="S108" s="45">
        <v>10599</v>
      </c>
      <c r="T108" s="46">
        <v>9799</v>
      </c>
      <c r="U108" s="46">
        <v>9799</v>
      </c>
      <c r="V108" s="46">
        <v>9799</v>
      </c>
      <c r="W108" s="46">
        <v>9699</v>
      </c>
      <c r="X108" s="46">
        <v>9699</v>
      </c>
      <c r="Y108" s="46">
        <v>8799</v>
      </c>
      <c r="Z108" s="46">
        <v>8799</v>
      </c>
      <c r="AA108" s="46">
        <v>8799</v>
      </c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7"/>
      <c r="AW108" s="48" t="s">
        <v>67</v>
      </c>
      <c r="AX108" s="49" t="s">
        <v>68</v>
      </c>
      <c r="AY108" s="50">
        <f t="shared" si="3"/>
        <v>218.13979999999998</v>
      </c>
      <c r="AZ108" s="50">
        <f t="shared" si="4"/>
        <v>196.54180000000002</v>
      </c>
      <c r="BA108" s="51">
        <f t="shared" si="5"/>
        <v>111.22970000000001</v>
      </c>
    </row>
    <row r="109" spans="1:53" ht="22.5" customHeight="1">
      <c r="A109" s="41" t="s">
        <v>63</v>
      </c>
      <c r="B109" s="42" t="s">
        <v>64</v>
      </c>
      <c r="C109" s="43">
        <v>4017510</v>
      </c>
      <c r="D109" s="44" t="s">
        <v>191</v>
      </c>
      <c r="E109" s="44" t="s">
        <v>193</v>
      </c>
      <c r="F109" s="45">
        <v>11499</v>
      </c>
      <c r="G109" s="45">
        <v>8799</v>
      </c>
      <c r="H109" s="46">
        <v>10799</v>
      </c>
      <c r="I109" s="46">
        <v>10799</v>
      </c>
      <c r="J109" s="45">
        <v>10799</v>
      </c>
      <c r="K109" s="45">
        <v>10799</v>
      </c>
      <c r="L109" s="45">
        <v>10799</v>
      </c>
      <c r="M109" s="45">
        <v>10799</v>
      </c>
      <c r="N109" s="45">
        <v>10799</v>
      </c>
      <c r="O109" s="45">
        <v>10699</v>
      </c>
      <c r="P109" s="46">
        <v>10599</v>
      </c>
      <c r="Q109" s="46">
        <v>9799</v>
      </c>
      <c r="R109" s="45">
        <v>10699</v>
      </c>
      <c r="S109" s="45">
        <v>10599</v>
      </c>
      <c r="T109" s="46">
        <v>9799</v>
      </c>
      <c r="U109" s="46">
        <v>9799</v>
      </c>
      <c r="V109" s="46">
        <v>9799</v>
      </c>
      <c r="W109" s="46">
        <v>9699</v>
      </c>
      <c r="X109" s="46">
        <v>9699</v>
      </c>
      <c r="Y109" s="46">
        <v>8799</v>
      </c>
      <c r="Z109" s="46">
        <v>8799</v>
      </c>
      <c r="AA109" s="46">
        <v>8799</v>
      </c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7"/>
      <c r="AW109" s="48" t="s">
        <v>67</v>
      </c>
      <c r="AX109" s="49" t="s">
        <v>68</v>
      </c>
      <c r="AY109" s="50">
        <f t="shared" si="3"/>
        <v>218.13979999999998</v>
      </c>
      <c r="AZ109" s="50">
        <f t="shared" si="4"/>
        <v>196.54180000000002</v>
      </c>
      <c r="BA109" s="51">
        <f t="shared" si="5"/>
        <v>111.22970000000001</v>
      </c>
    </row>
    <row r="110" spans="1:53" ht="22.5" customHeight="1">
      <c r="A110" s="41" t="s">
        <v>63</v>
      </c>
      <c r="B110" s="42" t="s">
        <v>64</v>
      </c>
      <c r="C110" s="43">
        <v>4017513</v>
      </c>
      <c r="D110" s="44" t="s">
        <v>191</v>
      </c>
      <c r="E110" s="44" t="s">
        <v>194</v>
      </c>
      <c r="F110" s="45">
        <v>11499</v>
      </c>
      <c r="G110" s="45">
        <v>8799</v>
      </c>
      <c r="H110" s="46">
        <v>10799</v>
      </c>
      <c r="I110" s="46">
        <v>10799</v>
      </c>
      <c r="J110" s="45">
        <v>10799</v>
      </c>
      <c r="K110" s="45">
        <v>10799</v>
      </c>
      <c r="L110" s="45">
        <v>10799</v>
      </c>
      <c r="M110" s="45">
        <v>10799</v>
      </c>
      <c r="N110" s="45">
        <v>10799</v>
      </c>
      <c r="O110" s="45">
        <v>10699</v>
      </c>
      <c r="P110" s="46">
        <v>10599</v>
      </c>
      <c r="Q110" s="46">
        <v>9799</v>
      </c>
      <c r="R110" s="45">
        <v>10699</v>
      </c>
      <c r="S110" s="45">
        <v>10599</v>
      </c>
      <c r="T110" s="46">
        <v>9799</v>
      </c>
      <c r="U110" s="46">
        <v>9799</v>
      </c>
      <c r="V110" s="46">
        <v>9799</v>
      </c>
      <c r="W110" s="46">
        <v>9699</v>
      </c>
      <c r="X110" s="46">
        <v>9699</v>
      </c>
      <c r="Y110" s="46">
        <v>8799</v>
      </c>
      <c r="Z110" s="46">
        <v>8799</v>
      </c>
      <c r="AA110" s="46">
        <v>8799</v>
      </c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7"/>
      <c r="AW110" s="48" t="s">
        <v>67</v>
      </c>
      <c r="AX110" s="49" t="s">
        <v>68</v>
      </c>
      <c r="AY110" s="50">
        <f t="shared" si="3"/>
        <v>218.13979999999998</v>
      </c>
      <c r="AZ110" s="50">
        <f t="shared" si="4"/>
        <v>196.54180000000002</v>
      </c>
      <c r="BA110" s="51">
        <f t="shared" si="5"/>
        <v>111.22970000000001</v>
      </c>
    </row>
    <row r="111" spans="1:53" ht="22.5" customHeight="1">
      <c r="A111" s="41" t="s">
        <v>63</v>
      </c>
      <c r="B111" s="42" t="s">
        <v>64</v>
      </c>
      <c r="C111" s="43">
        <v>4017488</v>
      </c>
      <c r="D111" s="44" t="s">
        <v>195</v>
      </c>
      <c r="E111" s="44" t="s">
        <v>196</v>
      </c>
      <c r="F111" s="45">
        <v>12999</v>
      </c>
      <c r="G111" s="45">
        <v>9999</v>
      </c>
      <c r="H111" s="46">
        <v>12199</v>
      </c>
      <c r="I111" s="46">
        <v>12199</v>
      </c>
      <c r="J111" s="45">
        <v>12199</v>
      </c>
      <c r="K111" s="45">
        <v>12199</v>
      </c>
      <c r="L111" s="45">
        <v>12199</v>
      </c>
      <c r="M111" s="45">
        <v>12199</v>
      </c>
      <c r="N111" s="45">
        <v>12199</v>
      </c>
      <c r="O111" s="45">
        <v>12099</v>
      </c>
      <c r="P111" s="46">
        <v>11999</v>
      </c>
      <c r="Q111" s="46">
        <v>11199</v>
      </c>
      <c r="R111" s="45">
        <v>12099</v>
      </c>
      <c r="S111" s="45">
        <v>11999</v>
      </c>
      <c r="T111" s="46">
        <v>11199</v>
      </c>
      <c r="U111" s="46">
        <v>11199</v>
      </c>
      <c r="V111" s="46">
        <v>11199</v>
      </c>
      <c r="W111" s="46">
        <v>11099</v>
      </c>
      <c r="X111" s="46">
        <v>11099</v>
      </c>
      <c r="Y111" s="46">
        <v>9999</v>
      </c>
      <c r="Z111" s="46">
        <v>9999</v>
      </c>
      <c r="AA111" s="46">
        <v>9899</v>
      </c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7"/>
      <c r="AW111" s="48" t="s">
        <v>67</v>
      </c>
      <c r="AX111" s="49" t="s">
        <v>68</v>
      </c>
      <c r="AY111" s="50">
        <f t="shared" si="3"/>
        <v>246.41979999999998</v>
      </c>
      <c r="AZ111" s="50">
        <f t="shared" si="4"/>
        <v>222.02180000000001</v>
      </c>
      <c r="BA111" s="51">
        <f t="shared" si="5"/>
        <v>125.6497</v>
      </c>
    </row>
    <row r="112" spans="1:53" ht="22.5" customHeight="1">
      <c r="A112" s="41" t="s">
        <v>63</v>
      </c>
      <c r="B112" s="42" t="s">
        <v>64</v>
      </c>
      <c r="C112" s="43">
        <v>4017508</v>
      </c>
      <c r="D112" s="44" t="s">
        <v>195</v>
      </c>
      <c r="E112" s="44" t="s">
        <v>197</v>
      </c>
      <c r="F112" s="45">
        <v>12999</v>
      </c>
      <c r="G112" s="45">
        <v>9999</v>
      </c>
      <c r="H112" s="46">
        <v>12199</v>
      </c>
      <c r="I112" s="46">
        <v>12199</v>
      </c>
      <c r="J112" s="45">
        <v>12199</v>
      </c>
      <c r="K112" s="45">
        <v>12199</v>
      </c>
      <c r="L112" s="45">
        <v>12199</v>
      </c>
      <c r="M112" s="45">
        <v>12199</v>
      </c>
      <c r="N112" s="45">
        <v>12199</v>
      </c>
      <c r="O112" s="45">
        <v>12099</v>
      </c>
      <c r="P112" s="46">
        <v>11999</v>
      </c>
      <c r="Q112" s="46">
        <v>11199</v>
      </c>
      <c r="R112" s="45">
        <v>12099</v>
      </c>
      <c r="S112" s="45">
        <v>11999</v>
      </c>
      <c r="T112" s="46">
        <v>11199</v>
      </c>
      <c r="U112" s="46">
        <v>11199</v>
      </c>
      <c r="V112" s="46">
        <v>11199</v>
      </c>
      <c r="W112" s="46">
        <v>11099</v>
      </c>
      <c r="X112" s="46">
        <v>11099</v>
      </c>
      <c r="Y112" s="46">
        <v>9999</v>
      </c>
      <c r="Z112" s="46">
        <v>9999</v>
      </c>
      <c r="AA112" s="46">
        <v>9899</v>
      </c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7"/>
      <c r="AW112" s="48" t="s">
        <v>67</v>
      </c>
      <c r="AX112" s="49" t="s">
        <v>68</v>
      </c>
      <c r="AY112" s="50">
        <f t="shared" si="3"/>
        <v>246.41979999999998</v>
      </c>
      <c r="AZ112" s="50">
        <f t="shared" si="4"/>
        <v>222.02180000000001</v>
      </c>
      <c r="BA112" s="51">
        <f t="shared" si="5"/>
        <v>125.6497</v>
      </c>
    </row>
    <row r="113" spans="1:53" ht="22.5" customHeight="1">
      <c r="A113" s="41" t="s">
        <v>63</v>
      </c>
      <c r="B113" s="42" t="s">
        <v>64</v>
      </c>
      <c r="C113" s="43">
        <v>4017489</v>
      </c>
      <c r="D113" s="44" t="s">
        <v>195</v>
      </c>
      <c r="E113" s="44" t="s">
        <v>198</v>
      </c>
      <c r="F113" s="45">
        <v>12999</v>
      </c>
      <c r="G113" s="45">
        <v>9999</v>
      </c>
      <c r="H113" s="46">
        <v>12199</v>
      </c>
      <c r="I113" s="46">
        <v>12199</v>
      </c>
      <c r="J113" s="45">
        <v>12199</v>
      </c>
      <c r="K113" s="45">
        <v>12199</v>
      </c>
      <c r="L113" s="45">
        <v>12199</v>
      </c>
      <c r="M113" s="45">
        <v>12199</v>
      </c>
      <c r="N113" s="45">
        <v>12199</v>
      </c>
      <c r="O113" s="45">
        <v>12099</v>
      </c>
      <c r="P113" s="46">
        <v>11999</v>
      </c>
      <c r="Q113" s="46">
        <v>11199</v>
      </c>
      <c r="R113" s="45">
        <v>12099</v>
      </c>
      <c r="S113" s="45">
        <v>11999</v>
      </c>
      <c r="T113" s="46">
        <v>11199</v>
      </c>
      <c r="U113" s="46">
        <v>11199</v>
      </c>
      <c r="V113" s="46">
        <v>11199</v>
      </c>
      <c r="W113" s="46">
        <v>11099</v>
      </c>
      <c r="X113" s="46">
        <v>11099</v>
      </c>
      <c r="Y113" s="46">
        <v>9999</v>
      </c>
      <c r="Z113" s="46">
        <v>9999</v>
      </c>
      <c r="AA113" s="46">
        <v>9899</v>
      </c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7"/>
      <c r="AW113" s="48" t="s">
        <v>67</v>
      </c>
      <c r="AX113" s="49" t="s">
        <v>68</v>
      </c>
      <c r="AY113" s="50">
        <f t="shared" si="3"/>
        <v>246.41979999999998</v>
      </c>
      <c r="AZ113" s="50">
        <f t="shared" si="4"/>
        <v>222.02180000000001</v>
      </c>
      <c r="BA113" s="51">
        <f t="shared" si="5"/>
        <v>125.6497</v>
      </c>
    </row>
    <row r="114" spans="1:53" ht="22.5" customHeight="1">
      <c r="A114" s="41" t="s">
        <v>63</v>
      </c>
      <c r="B114" s="42" t="s">
        <v>64</v>
      </c>
      <c r="C114" s="43">
        <v>4017493</v>
      </c>
      <c r="D114" s="44" t="s">
        <v>199</v>
      </c>
      <c r="E114" s="44" t="s">
        <v>200</v>
      </c>
      <c r="F114" s="45">
        <v>12499</v>
      </c>
      <c r="G114" s="45">
        <v>9799</v>
      </c>
      <c r="H114" s="46">
        <v>11699</v>
      </c>
      <c r="I114" s="46">
        <v>11699</v>
      </c>
      <c r="J114" s="45">
        <v>11699</v>
      </c>
      <c r="K114" s="45">
        <v>11699</v>
      </c>
      <c r="L114" s="45">
        <v>11699</v>
      </c>
      <c r="M114" s="45">
        <v>11699</v>
      </c>
      <c r="N114" s="45">
        <v>11699</v>
      </c>
      <c r="O114" s="45">
        <v>11599</v>
      </c>
      <c r="P114" s="46">
        <v>11499</v>
      </c>
      <c r="Q114" s="46">
        <v>10699</v>
      </c>
      <c r="R114" s="45">
        <v>11599</v>
      </c>
      <c r="S114" s="45">
        <v>11499</v>
      </c>
      <c r="T114" s="46">
        <v>10699</v>
      </c>
      <c r="U114" s="46">
        <v>10699</v>
      </c>
      <c r="V114" s="46">
        <v>10699</v>
      </c>
      <c r="W114" s="46">
        <v>10599</v>
      </c>
      <c r="X114" s="46">
        <v>10599</v>
      </c>
      <c r="Y114" s="46">
        <v>9799</v>
      </c>
      <c r="Z114" s="46">
        <v>9799</v>
      </c>
      <c r="AA114" s="46">
        <v>9799</v>
      </c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7"/>
      <c r="AW114" s="48" t="s">
        <v>67</v>
      </c>
      <c r="AX114" s="49" t="s">
        <v>68</v>
      </c>
      <c r="AY114" s="50">
        <f t="shared" si="3"/>
        <v>236.31979999999999</v>
      </c>
      <c r="AZ114" s="50">
        <f t="shared" si="4"/>
        <v>212.92180000000002</v>
      </c>
      <c r="BA114" s="51">
        <f t="shared" si="5"/>
        <v>120.4997</v>
      </c>
    </row>
    <row r="115" spans="1:53" ht="22.5" customHeight="1">
      <c r="A115" s="41" t="s">
        <v>63</v>
      </c>
      <c r="B115" s="42" t="s">
        <v>64</v>
      </c>
      <c r="C115" s="43">
        <v>4017494</v>
      </c>
      <c r="D115" s="44" t="s">
        <v>199</v>
      </c>
      <c r="E115" s="44" t="s">
        <v>201</v>
      </c>
      <c r="F115" s="45">
        <v>12499</v>
      </c>
      <c r="G115" s="45">
        <v>9799</v>
      </c>
      <c r="H115" s="46">
        <v>11699</v>
      </c>
      <c r="I115" s="46">
        <v>11699</v>
      </c>
      <c r="J115" s="45">
        <v>11699</v>
      </c>
      <c r="K115" s="45">
        <v>11699</v>
      </c>
      <c r="L115" s="45">
        <v>11699</v>
      </c>
      <c r="M115" s="45">
        <v>11699</v>
      </c>
      <c r="N115" s="45">
        <v>11699</v>
      </c>
      <c r="O115" s="45">
        <v>11599</v>
      </c>
      <c r="P115" s="46">
        <v>11499</v>
      </c>
      <c r="Q115" s="46">
        <v>10699</v>
      </c>
      <c r="R115" s="45">
        <v>11599</v>
      </c>
      <c r="S115" s="45">
        <v>11499</v>
      </c>
      <c r="T115" s="46">
        <v>10699</v>
      </c>
      <c r="U115" s="46">
        <v>10699</v>
      </c>
      <c r="V115" s="46">
        <v>10699</v>
      </c>
      <c r="W115" s="46">
        <v>10599</v>
      </c>
      <c r="X115" s="46">
        <v>10599</v>
      </c>
      <c r="Y115" s="46">
        <v>9799</v>
      </c>
      <c r="Z115" s="46">
        <v>9799</v>
      </c>
      <c r="AA115" s="46">
        <v>9799</v>
      </c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7"/>
      <c r="AW115" s="48" t="s">
        <v>67</v>
      </c>
      <c r="AX115" s="49" t="s">
        <v>68</v>
      </c>
      <c r="AY115" s="50">
        <f t="shared" si="3"/>
        <v>236.31979999999999</v>
      </c>
      <c r="AZ115" s="50">
        <f t="shared" si="4"/>
        <v>212.92180000000002</v>
      </c>
      <c r="BA115" s="51">
        <f t="shared" si="5"/>
        <v>120.4997</v>
      </c>
    </row>
    <row r="116" spans="1:53" ht="22.5" customHeight="1">
      <c r="A116" s="41" t="s">
        <v>63</v>
      </c>
      <c r="B116" s="42" t="s">
        <v>64</v>
      </c>
      <c r="C116" s="43">
        <v>4017514</v>
      </c>
      <c r="D116" s="44" t="s">
        <v>199</v>
      </c>
      <c r="E116" s="44" t="s">
        <v>202</v>
      </c>
      <c r="F116" s="45">
        <v>12499</v>
      </c>
      <c r="G116" s="45">
        <v>9799</v>
      </c>
      <c r="H116" s="46">
        <v>11699</v>
      </c>
      <c r="I116" s="46">
        <v>11699</v>
      </c>
      <c r="J116" s="45">
        <v>11699</v>
      </c>
      <c r="K116" s="45">
        <v>11699</v>
      </c>
      <c r="L116" s="45">
        <v>11699</v>
      </c>
      <c r="M116" s="45">
        <v>11699</v>
      </c>
      <c r="N116" s="45">
        <v>11699</v>
      </c>
      <c r="O116" s="45">
        <v>11599</v>
      </c>
      <c r="P116" s="46">
        <v>11499</v>
      </c>
      <c r="Q116" s="46">
        <v>10699</v>
      </c>
      <c r="R116" s="45">
        <v>11599</v>
      </c>
      <c r="S116" s="45">
        <v>11499</v>
      </c>
      <c r="T116" s="46">
        <v>10699</v>
      </c>
      <c r="U116" s="46">
        <v>10699</v>
      </c>
      <c r="V116" s="46">
        <v>10699</v>
      </c>
      <c r="W116" s="46">
        <v>10599</v>
      </c>
      <c r="X116" s="46">
        <v>10599</v>
      </c>
      <c r="Y116" s="46">
        <v>9799</v>
      </c>
      <c r="Z116" s="46">
        <v>9799</v>
      </c>
      <c r="AA116" s="46">
        <v>9799</v>
      </c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7"/>
      <c r="AW116" s="48" t="s">
        <v>67</v>
      </c>
      <c r="AX116" s="49" t="s">
        <v>68</v>
      </c>
      <c r="AY116" s="50">
        <f t="shared" si="3"/>
        <v>236.31979999999999</v>
      </c>
      <c r="AZ116" s="50">
        <f t="shared" si="4"/>
        <v>212.92180000000002</v>
      </c>
      <c r="BA116" s="51">
        <f t="shared" si="5"/>
        <v>120.4997</v>
      </c>
    </row>
    <row r="117" spans="1:53" ht="22.5" customHeight="1">
      <c r="A117" s="41" t="s">
        <v>63</v>
      </c>
      <c r="B117" s="42" t="s">
        <v>64</v>
      </c>
      <c r="C117" s="43">
        <v>4017503</v>
      </c>
      <c r="D117" s="44" t="s">
        <v>203</v>
      </c>
      <c r="E117" s="44" t="s">
        <v>204</v>
      </c>
      <c r="F117" s="45">
        <v>13999</v>
      </c>
      <c r="G117" s="45">
        <v>10999</v>
      </c>
      <c r="H117" s="46">
        <v>13099</v>
      </c>
      <c r="I117" s="46">
        <v>13099</v>
      </c>
      <c r="J117" s="45">
        <v>13099</v>
      </c>
      <c r="K117" s="45">
        <v>13099</v>
      </c>
      <c r="L117" s="45">
        <v>13099</v>
      </c>
      <c r="M117" s="45">
        <v>13099</v>
      </c>
      <c r="N117" s="45">
        <v>13099</v>
      </c>
      <c r="O117" s="45">
        <v>12999</v>
      </c>
      <c r="P117" s="46">
        <v>12899</v>
      </c>
      <c r="Q117" s="46">
        <v>12099</v>
      </c>
      <c r="R117" s="45">
        <v>12999</v>
      </c>
      <c r="S117" s="45">
        <v>12899</v>
      </c>
      <c r="T117" s="46">
        <v>12099</v>
      </c>
      <c r="U117" s="46">
        <v>12099</v>
      </c>
      <c r="V117" s="46">
        <v>12099</v>
      </c>
      <c r="W117" s="46">
        <v>11999</v>
      </c>
      <c r="X117" s="46">
        <v>11999</v>
      </c>
      <c r="Y117" s="46">
        <v>10999</v>
      </c>
      <c r="Z117" s="46">
        <v>10999</v>
      </c>
      <c r="AA117" s="46">
        <v>10899</v>
      </c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7"/>
      <c r="AW117" s="48" t="s">
        <v>67</v>
      </c>
      <c r="AX117" s="49" t="s">
        <v>68</v>
      </c>
      <c r="AY117" s="50">
        <f t="shared" si="3"/>
        <v>264.59980000000002</v>
      </c>
      <c r="AZ117" s="50">
        <f t="shared" si="4"/>
        <v>238.40180000000001</v>
      </c>
      <c r="BA117" s="51">
        <f t="shared" si="5"/>
        <v>134.91970000000001</v>
      </c>
    </row>
    <row r="118" spans="1:53" ht="22.5" customHeight="1">
      <c r="A118" s="41" t="s">
        <v>63</v>
      </c>
      <c r="B118" s="42" t="s">
        <v>64</v>
      </c>
      <c r="C118" s="43">
        <v>4017520</v>
      </c>
      <c r="D118" s="44" t="s">
        <v>203</v>
      </c>
      <c r="E118" s="44" t="s">
        <v>205</v>
      </c>
      <c r="F118" s="45">
        <v>13999</v>
      </c>
      <c r="G118" s="45">
        <v>10999</v>
      </c>
      <c r="H118" s="46">
        <v>13099</v>
      </c>
      <c r="I118" s="46">
        <v>13099</v>
      </c>
      <c r="J118" s="45">
        <v>13099</v>
      </c>
      <c r="K118" s="45">
        <v>13099</v>
      </c>
      <c r="L118" s="45">
        <v>13099</v>
      </c>
      <c r="M118" s="45">
        <v>13099</v>
      </c>
      <c r="N118" s="45">
        <v>13099</v>
      </c>
      <c r="O118" s="45">
        <v>12999</v>
      </c>
      <c r="P118" s="46">
        <v>12899</v>
      </c>
      <c r="Q118" s="46">
        <v>12099</v>
      </c>
      <c r="R118" s="45">
        <v>12999</v>
      </c>
      <c r="S118" s="45">
        <v>12899</v>
      </c>
      <c r="T118" s="46">
        <v>12099</v>
      </c>
      <c r="U118" s="46">
        <v>12099</v>
      </c>
      <c r="V118" s="46">
        <v>12099</v>
      </c>
      <c r="W118" s="46">
        <v>11999</v>
      </c>
      <c r="X118" s="46">
        <v>11999</v>
      </c>
      <c r="Y118" s="46">
        <v>10999</v>
      </c>
      <c r="Z118" s="46">
        <v>10999</v>
      </c>
      <c r="AA118" s="46">
        <v>10899</v>
      </c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7"/>
      <c r="AW118" s="48" t="s">
        <v>67</v>
      </c>
      <c r="AX118" s="49" t="s">
        <v>68</v>
      </c>
      <c r="AY118" s="50">
        <f t="shared" si="3"/>
        <v>264.59980000000002</v>
      </c>
      <c r="AZ118" s="50">
        <f t="shared" si="4"/>
        <v>238.40180000000001</v>
      </c>
      <c r="BA118" s="51">
        <f t="shared" si="5"/>
        <v>134.91970000000001</v>
      </c>
    </row>
    <row r="119" spans="1:53" ht="22.5" customHeight="1">
      <c r="A119" s="41" t="s">
        <v>63</v>
      </c>
      <c r="B119" s="42" t="s">
        <v>64</v>
      </c>
      <c r="C119" s="43">
        <v>4017522</v>
      </c>
      <c r="D119" s="44" t="s">
        <v>203</v>
      </c>
      <c r="E119" s="44" t="s">
        <v>206</v>
      </c>
      <c r="F119" s="45">
        <v>13999</v>
      </c>
      <c r="G119" s="45">
        <v>10999</v>
      </c>
      <c r="H119" s="46">
        <v>13099</v>
      </c>
      <c r="I119" s="46">
        <v>13099</v>
      </c>
      <c r="J119" s="45">
        <v>13099</v>
      </c>
      <c r="K119" s="45">
        <v>13099</v>
      </c>
      <c r="L119" s="45">
        <v>13099</v>
      </c>
      <c r="M119" s="45">
        <v>13099</v>
      </c>
      <c r="N119" s="45">
        <v>13099</v>
      </c>
      <c r="O119" s="45">
        <v>12999</v>
      </c>
      <c r="P119" s="46">
        <v>12899</v>
      </c>
      <c r="Q119" s="46">
        <v>12099</v>
      </c>
      <c r="R119" s="45">
        <v>12999</v>
      </c>
      <c r="S119" s="45">
        <v>12899</v>
      </c>
      <c r="T119" s="46">
        <v>12099</v>
      </c>
      <c r="U119" s="46">
        <v>12099</v>
      </c>
      <c r="V119" s="46">
        <v>12099</v>
      </c>
      <c r="W119" s="46">
        <v>11999</v>
      </c>
      <c r="X119" s="46">
        <v>11999</v>
      </c>
      <c r="Y119" s="46">
        <v>10999</v>
      </c>
      <c r="Z119" s="46">
        <v>10999</v>
      </c>
      <c r="AA119" s="46">
        <v>10899</v>
      </c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7"/>
      <c r="AW119" s="48" t="s">
        <v>67</v>
      </c>
      <c r="AX119" s="49" t="s">
        <v>68</v>
      </c>
      <c r="AY119" s="50">
        <f t="shared" si="3"/>
        <v>264.59980000000002</v>
      </c>
      <c r="AZ119" s="50">
        <f t="shared" si="4"/>
        <v>238.40180000000001</v>
      </c>
      <c r="BA119" s="51">
        <f t="shared" si="5"/>
        <v>134.91970000000001</v>
      </c>
    </row>
    <row r="120" spans="1:53" ht="22.5" customHeight="1">
      <c r="A120" s="41" t="s">
        <v>63</v>
      </c>
      <c r="B120" s="42" t="s">
        <v>64</v>
      </c>
      <c r="C120" s="43">
        <v>4017845</v>
      </c>
      <c r="D120" s="52" t="s">
        <v>207</v>
      </c>
      <c r="E120" s="44" t="s">
        <v>208</v>
      </c>
      <c r="F120" s="45">
        <v>5799</v>
      </c>
      <c r="G120" s="45">
        <v>3099</v>
      </c>
      <c r="H120" s="46">
        <v>5199</v>
      </c>
      <c r="I120" s="46">
        <v>5199</v>
      </c>
      <c r="J120" s="54">
        <v>4999</v>
      </c>
      <c r="K120" s="54">
        <v>4999</v>
      </c>
      <c r="L120" s="54">
        <v>4999</v>
      </c>
      <c r="M120" s="54">
        <v>4999</v>
      </c>
      <c r="N120" s="54">
        <v>4999</v>
      </c>
      <c r="O120" s="54">
        <v>4899</v>
      </c>
      <c r="P120" s="53">
        <v>4799</v>
      </c>
      <c r="Q120" s="53">
        <v>3999</v>
      </c>
      <c r="R120" s="54">
        <v>4899</v>
      </c>
      <c r="S120" s="54">
        <v>4799</v>
      </c>
      <c r="T120" s="53">
        <v>3999</v>
      </c>
      <c r="U120" s="53">
        <v>3999</v>
      </c>
      <c r="V120" s="53">
        <v>3999</v>
      </c>
      <c r="W120" s="53">
        <v>3999</v>
      </c>
      <c r="X120" s="53">
        <v>3899</v>
      </c>
      <c r="Y120" s="53">
        <v>3099</v>
      </c>
      <c r="Z120" s="53">
        <v>3099</v>
      </c>
      <c r="AA120" s="53">
        <v>2999</v>
      </c>
      <c r="AB120" s="54">
        <v>4999</v>
      </c>
      <c r="AC120" s="54">
        <v>4999</v>
      </c>
      <c r="AD120" s="54">
        <v>4999</v>
      </c>
      <c r="AE120" s="54">
        <v>4999</v>
      </c>
      <c r="AF120" s="54">
        <v>4899</v>
      </c>
      <c r="AG120" s="54">
        <v>4799</v>
      </c>
      <c r="AH120" s="54">
        <v>3999</v>
      </c>
      <c r="AI120" s="54">
        <v>3999</v>
      </c>
      <c r="AJ120" s="54">
        <v>3999</v>
      </c>
      <c r="AK120" s="54">
        <v>3999</v>
      </c>
      <c r="AL120" s="54">
        <v>3099</v>
      </c>
      <c r="AM120" s="45"/>
      <c r="AN120" s="45"/>
      <c r="AO120" s="45"/>
      <c r="AP120" s="45"/>
      <c r="AQ120" s="45"/>
      <c r="AR120" s="45"/>
      <c r="AS120" s="45"/>
      <c r="AT120" s="45"/>
      <c r="AU120" s="45"/>
      <c r="AV120" s="47"/>
      <c r="AW120" s="48" t="s">
        <v>67</v>
      </c>
      <c r="AX120" s="49" t="s">
        <v>68</v>
      </c>
      <c r="AY120" s="55">
        <f t="shared" si="3"/>
        <v>105.01979999999999</v>
      </c>
      <c r="AZ120" s="55">
        <f t="shared" si="4"/>
        <v>94.621800000000007</v>
      </c>
      <c r="BA120" s="56">
        <f t="shared" si="5"/>
        <v>53.549700000000001</v>
      </c>
    </row>
    <row r="121" spans="1:53" ht="22.5" customHeight="1">
      <c r="A121" s="41" t="s">
        <v>63</v>
      </c>
      <c r="B121" s="42" t="s">
        <v>64</v>
      </c>
      <c r="C121" s="43">
        <v>4017841</v>
      </c>
      <c r="D121" s="52" t="s">
        <v>207</v>
      </c>
      <c r="E121" s="44" t="s">
        <v>209</v>
      </c>
      <c r="F121" s="45">
        <v>5799</v>
      </c>
      <c r="G121" s="45">
        <v>3099</v>
      </c>
      <c r="H121" s="46">
        <v>5199</v>
      </c>
      <c r="I121" s="46">
        <v>5199</v>
      </c>
      <c r="J121" s="54">
        <v>4999</v>
      </c>
      <c r="K121" s="54">
        <v>4999</v>
      </c>
      <c r="L121" s="54">
        <v>4999</v>
      </c>
      <c r="M121" s="54">
        <v>4999</v>
      </c>
      <c r="N121" s="54">
        <v>4999</v>
      </c>
      <c r="O121" s="54">
        <v>4899</v>
      </c>
      <c r="P121" s="53">
        <v>4799</v>
      </c>
      <c r="Q121" s="53">
        <v>3999</v>
      </c>
      <c r="R121" s="54">
        <v>4899</v>
      </c>
      <c r="S121" s="54">
        <v>4799</v>
      </c>
      <c r="T121" s="53">
        <v>3999</v>
      </c>
      <c r="U121" s="53">
        <v>3999</v>
      </c>
      <c r="V121" s="53">
        <v>3999</v>
      </c>
      <c r="W121" s="53">
        <v>3999</v>
      </c>
      <c r="X121" s="53">
        <v>3899</v>
      </c>
      <c r="Y121" s="53">
        <v>3099</v>
      </c>
      <c r="Z121" s="53">
        <v>3099</v>
      </c>
      <c r="AA121" s="53">
        <v>2999</v>
      </c>
      <c r="AB121" s="54">
        <v>4999</v>
      </c>
      <c r="AC121" s="54">
        <v>4999</v>
      </c>
      <c r="AD121" s="54">
        <v>4999</v>
      </c>
      <c r="AE121" s="54">
        <v>4999</v>
      </c>
      <c r="AF121" s="54">
        <v>4899</v>
      </c>
      <c r="AG121" s="54">
        <v>4799</v>
      </c>
      <c r="AH121" s="54">
        <v>3999</v>
      </c>
      <c r="AI121" s="54">
        <v>3999</v>
      </c>
      <c r="AJ121" s="54">
        <v>3999</v>
      </c>
      <c r="AK121" s="54">
        <v>3999</v>
      </c>
      <c r="AL121" s="54">
        <v>3099</v>
      </c>
      <c r="AM121" s="45"/>
      <c r="AN121" s="45"/>
      <c r="AO121" s="45"/>
      <c r="AP121" s="45"/>
      <c r="AQ121" s="45"/>
      <c r="AR121" s="45"/>
      <c r="AS121" s="45"/>
      <c r="AT121" s="45"/>
      <c r="AU121" s="45"/>
      <c r="AV121" s="47"/>
      <c r="AW121" s="48" t="s">
        <v>67</v>
      </c>
      <c r="AX121" s="49" t="s">
        <v>68</v>
      </c>
      <c r="AY121" s="55">
        <f t="shared" si="3"/>
        <v>105.01979999999999</v>
      </c>
      <c r="AZ121" s="55">
        <f t="shared" si="4"/>
        <v>94.621800000000007</v>
      </c>
      <c r="BA121" s="56">
        <f t="shared" si="5"/>
        <v>53.549700000000001</v>
      </c>
    </row>
    <row r="122" spans="1:53" ht="22.5" customHeight="1">
      <c r="A122" s="41" t="s">
        <v>63</v>
      </c>
      <c r="B122" s="42" t="s">
        <v>64</v>
      </c>
      <c r="C122" s="43">
        <v>4017846</v>
      </c>
      <c r="D122" s="52" t="s">
        <v>207</v>
      </c>
      <c r="E122" s="44" t="s">
        <v>210</v>
      </c>
      <c r="F122" s="45">
        <v>5799</v>
      </c>
      <c r="G122" s="45">
        <v>3099</v>
      </c>
      <c r="H122" s="46">
        <v>5199</v>
      </c>
      <c r="I122" s="46">
        <v>5199</v>
      </c>
      <c r="J122" s="54">
        <v>4999</v>
      </c>
      <c r="K122" s="54">
        <v>4999</v>
      </c>
      <c r="L122" s="54">
        <v>4999</v>
      </c>
      <c r="M122" s="54">
        <v>4999</v>
      </c>
      <c r="N122" s="54">
        <v>4999</v>
      </c>
      <c r="O122" s="54">
        <v>4899</v>
      </c>
      <c r="P122" s="53">
        <v>4799</v>
      </c>
      <c r="Q122" s="53">
        <v>3999</v>
      </c>
      <c r="R122" s="54">
        <v>4899</v>
      </c>
      <c r="S122" s="54">
        <v>4799</v>
      </c>
      <c r="T122" s="53">
        <v>3999</v>
      </c>
      <c r="U122" s="53">
        <v>3999</v>
      </c>
      <c r="V122" s="53">
        <v>3999</v>
      </c>
      <c r="W122" s="53">
        <v>3999</v>
      </c>
      <c r="X122" s="53">
        <v>3899</v>
      </c>
      <c r="Y122" s="53">
        <v>3099</v>
      </c>
      <c r="Z122" s="53">
        <v>3099</v>
      </c>
      <c r="AA122" s="53">
        <v>2999</v>
      </c>
      <c r="AB122" s="54">
        <v>4999</v>
      </c>
      <c r="AC122" s="54">
        <v>4999</v>
      </c>
      <c r="AD122" s="54">
        <v>4999</v>
      </c>
      <c r="AE122" s="54">
        <v>4999</v>
      </c>
      <c r="AF122" s="54">
        <v>4899</v>
      </c>
      <c r="AG122" s="54">
        <v>4799</v>
      </c>
      <c r="AH122" s="54">
        <v>3999</v>
      </c>
      <c r="AI122" s="54">
        <v>3999</v>
      </c>
      <c r="AJ122" s="54">
        <v>3999</v>
      </c>
      <c r="AK122" s="54">
        <v>3999</v>
      </c>
      <c r="AL122" s="54">
        <v>3099</v>
      </c>
      <c r="AM122" s="45"/>
      <c r="AN122" s="45"/>
      <c r="AO122" s="45"/>
      <c r="AP122" s="45"/>
      <c r="AQ122" s="45"/>
      <c r="AR122" s="45"/>
      <c r="AS122" s="45"/>
      <c r="AT122" s="45"/>
      <c r="AU122" s="45"/>
      <c r="AV122" s="47"/>
      <c r="AW122" s="48" t="s">
        <v>67</v>
      </c>
      <c r="AX122" s="49" t="s">
        <v>68</v>
      </c>
      <c r="AY122" s="55">
        <f t="shared" si="3"/>
        <v>105.01979999999999</v>
      </c>
      <c r="AZ122" s="55">
        <f t="shared" si="4"/>
        <v>94.621800000000007</v>
      </c>
      <c r="BA122" s="56">
        <f t="shared" si="5"/>
        <v>53.549700000000001</v>
      </c>
    </row>
    <row r="123" spans="1:53" ht="22.5" customHeight="1">
      <c r="A123" s="41" t="s">
        <v>63</v>
      </c>
      <c r="B123" s="42" t="s">
        <v>64</v>
      </c>
      <c r="C123" s="43">
        <v>4017981</v>
      </c>
      <c r="D123" s="52" t="s">
        <v>207</v>
      </c>
      <c r="E123" s="44" t="s">
        <v>211</v>
      </c>
      <c r="F123" s="45">
        <v>5799</v>
      </c>
      <c r="G123" s="45">
        <v>3099</v>
      </c>
      <c r="H123" s="46">
        <v>5199</v>
      </c>
      <c r="I123" s="46">
        <v>5199</v>
      </c>
      <c r="J123" s="54">
        <v>4999</v>
      </c>
      <c r="K123" s="54">
        <v>4999</v>
      </c>
      <c r="L123" s="54">
        <v>4999</v>
      </c>
      <c r="M123" s="54">
        <v>4999</v>
      </c>
      <c r="N123" s="54">
        <v>4999</v>
      </c>
      <c r="O123" s="54">
        <v>4899</v>
      </c>
      <c r="P123" s="53">
        <v>4799</v>
      </c>
      <c r="Q123" s="53">
        <v>3999</v>
      </c>
      <c r="R123" s="54">
        <v>4899</v>
      </c>
      <c r="S123" s="54">
        <v>4799</v>
      </c>
      <c r="T123" s="53">
        <v>3999</v>
      </c>
      <c r="U123" s="53">
        <v>3999</v>
      </c>
      <c r="V123" s="53">
        <v>3999</v>
      </c>
      <c r="W123" s="53">
        <v>3999</v>
      </c>
      <c r="X123" s="53">
        <v>3899</v>
      </c>
      <c r="Y123" s="53">
        <v>3099</v>
      </c>
      <c r="Z123" s="53">
        <v>3099</v>
      </c>
      <c r="AA123" s="53">
        <v>2999</v>
      </c>
      <c r="AB123" s="54">
        <v>4999</v>
      </c>
      <c r="AC123" s="54">
        <v>4999</v>
      </c>
      <c r="AD123" s="54">
        <v>4999</v>
      </c>
      <c r="AE123" s="54">
        <v>4999</v>
      </c>
      <c r="AF123" s="54">
        <v>4899</v>
      </c>
      <c r="AG123" s="54">
        <v>4799</v>
      </c>
      <c r="AH123" s="54">
        <v>3999</v>
      </c>
      <c r="AI123" s="54">
        <v>3999</v>
      </c>
      <c r="AJ123" s="54">
        <v>3999</v>
      </c>
      <c r="AK123" s="54">
        <v>3999</v>
      </c>
      <c r="AL123" s="54">
        <v>3099</v>
      </c>
      <c r="AM123" s="45"/>
      <c r="AN123" s="45"/>
      <c r="AO123" s="45"/>
      <c r="AP123" s="45"/>
      <c r="AQ123" s="45"/>
      <c r="AR123" s="45"/>
      <c r="AS123" s="45"/>
      <c r="AT123" s="45"/>
      <c r="AU123" s="45"/>
      <c r="AV123" s="47"/>
      <c r="AW123" s="48" t="s">
        <v>67</v>
      </c>
      <c r="AX123" s="49" t="s">
        <v>68</v>
      </c>
      <c r="AY123" s="55">
        <f t="shared" si="3"/>
        <v>105.01979999999999</v>
      </c>
      <c r="AZ123" s="55">
        <f t="shared" si="4"/>
        <v>94.621800000000007</v>
      </c>
      <c r="BA123" s="56">
        <f t="shared" si="5"/>
        <v>53.549700000000001</v>
      </c>
    </row>
    <row r="124" spans="1:53" ht="22.5" customHeight="1">
      <c r="A124" s="41" t="s">
        <v>63</v>
      </c>
      <c r="B124" s="42" t="s">
        <v>64</v>
      </c>
      <c r="C124" s="43">
        <v>4017980</v>
      </c>
      <c r="D124" s="52" t="s">
        <v>207</v>
      </c>
      <c r="E124" s="44" t="s">
        <v>212</v>
      </c>
      <c r="F124" s="45">
        <v>5799</v>
      </c>
      <c r="G124" s="45">
        <v>3099</v>
      </c>
      <c r="H124" s="46">
        <v>5199</v>
      </c>
      <c r="I124" s="46">
        <v>5199</v>
      </c>
      <c r="J124" s="54">
        <v>4999</v>
      </c>
      <c r="K124" s="54">
        <v>4999</v>
      </c>
      <c r="L124" s="54">
        <v>4999</v>
      </c>
      <c r="M124" s="54">
        <v>4999</v>
      </c>
      <c r="N124" s="54">
        <v>4999</v>
      </c>
      <c r="O124" s="54">
        <v>4899</v>
      </c>
      <c r="P124" s="53">
        <v>4799</v>
      </c>
      <c r="Q124" s="53">
        <v>3999</v>
      </c>
      <c r="R124" s="54">
        <v>4899</v>
      </c>
      <c r="S124" s="54">
        <v>4799</v>
      </c>
      <c r="T124" s="53">
        <v>3999</v>
      </c>
      <c r="U124" s="53">
        <v>3999</v>
      </c>
      <c r="V124" s="53">
        <v>3999</v>
      </c>
      <c r="W124" s="53">
        <v>3999</v>
      </c>
      <c r="X124" s="53">
        <v>3899</v>
      </c>
      <c r="Y124" s="53">
        <v>3099</v>
      </c>
      <c r="Z124" s="53">
        <v>3099</v>
      </c>
      <c r="AA124" s="53">
        <v>2999</v>
      </c>
      <c r="AB124" s="54">
        <v>4999</v>
      </c>
      <c r="AC124" s="54">
        <v>4999</v>
      </c>
      <c r="AD124" s="54">
        <v>4999</v>
      </c>
      <c r="AE124" s="54">
        <v>4999</v>
      </c>
      <c r="AF124" s="54">
        <v>4899</v>
      </c>
      <c r="AG124" s="54">
        <v>4799</v>
      </c>
      <c r="AH124" s="54">
        <v>3999</v>
      </c>
      <c r="AI124" s="54">
        <v>3999</v>
      </c>
      <c r="AJ124" s="54">
        <v>3999</v>
      </c>
      <c r="AK124" s="54">
        <v>3999</v>
      </c>
      <c r="AL124" s="54">
        <v>3099</v>
      </c>
      <c r="AM124" s="45"/>
      <c r="AN124" s="45"/>
      <c r="AO124" s="45"/>
      <c r="AP124" s="45"/>
      <c r="AQ124" s="45"/>
      <c r="AR124" s="45"/>
      <c r="AS124" s="45"/>
      <c r="AT124" s="45"/>
      <c r="AU124" s="45"/>
      <c r="AV124" s="47"/>
      <c r="AW124" s="48" t="s">
        <v>67</v>
      </c>
      <c r="AX124" s="49" t="s">
        <v>68</v>
      </c>
      <c r="AY124" s="55">
        <f t="shared" si="3"/>
        <v>105.01979999999999</v>
      </c>
      <c r="AZ124" s="55">
        <f t="shared" si="4"/>
        <v>94.621800000000007</v>
      </c>
      <c r="BA124" s="56">
        <f t="shared" si="5"/>
        <v>53.549700000000001</v>
      </c>
    </row>
    <row r="125" spans="1:53" ht="22.5" customHeight="1">
      <c r="A125" s="41" t="s">
        <v>63</v>
      </c>
      <c r="B125" s="42" t="s">
        <v>64</v>
      </c>
      <c r="C125" s="43">
        <v>4017985</v>
      </c>
      <c r="D125" s="52" t="s">
        <v>207</v>
      </c>
      <c r="E125" s="44" t="s">
        <v>213</v>
      </c>
      <c r="F125" s="45">
        <v>5799</v>
      </c>
      <c r="G125" s="45">
        <v>3099</v>
      </c>
      <c r="H125" s="46">
        <v>5199</v>
      </c>
      <c r="I125" s="46">
        <v>5199</v>
      </c>
      <c r="J125" s="54">
        <v>4999</v>
      </c>
      <c r="K125" s="54">
        <v>4999</v>
      </c>
      <c r="L125" s="54">
        <v>4999</v>
      </c>
      <c r="M125" s="54">
        <v>4999</v>
      </c>
      <c r="N125" s="54">
        <v>4999</v>
      </c>
      <c r="O125" s="54">
        <v>4899</v>
      </c>
      <c r="P125" s="53">
        <v>4799</v>
      </c>
      <c r="Q125" s="53">
        <v>3999</v>
      </c>
      <c r="R125" s="54">
        <v>4899</v>
      </c>
      <c r="S125" s="54">
        <v>4799</v>
      </c>
      <c r="T125" s="53">
        <v>3999</v>
      </c>
      <c r="U125" s="53">
        <v>3999</v>
      </c>
      <c r="V125" s="53">
        <v>3999</v>
      </c>
      <c r="W125" s="53">
        <v>3999</v>
      </c>
      <c r="X125" s="53">
        <v>3899</v>
      </c>
      <c r="Y125" s="53">
        <v>3099</v>
      </c>
      <c r="Z125" s="53">
        <v>3099</v>
      </c>
      <c r="AA125" s="53">
        <v>2999</v>
      </c>
      <c r="AB125" s="54">
        <v>4999</v>
      </c>
      <c r="AC125" s="54">
        <v>4999</v>
      </c>
      <c r="AD125" s="54">
        <v>4999</v>
      </c>
      <c r="AE125" s="54">
        <v>4999</v>
      </c>
      <c r="AF125" s="54">
        <v>4899</v>
      </c>
      <c r="AG125" s="54">
        <v>4799</v>
      </c>
      <c r="AH125" s="54">
        <v>3999</v>
      </c>
      <c r="AI125" s="54">
        <v>3999</v>
      </c>
      <c r="AJ125" s="54">
        <v>3999</v>
      </c>
      <c r="AK125" s="54">
        <v>3999</v>
      </c>
      <c r="AL125" s="54">
        <v>3099</v>
      </c>
      <c r="AM125" s="45"/>
      <c r="AN125" s="45"/>
      <c r="AO125" s="45"/>
      <c r="AP125" s="45"/>
      <c r="AQ125" s="45"/>
      <c r="AR125" s="45"/>
      <c r="AS125" s="45"/>
      <c r="AT125" s="45"/>
      <c r="AU125" s="45"/>
      <c r="AV125" s="47"/>
      <c r="AW125" s="48" t="s">
        <v>67</v>
      </c>
      <c r="AX125" s="49" t="s">
        <v>68</v>
      </c>
      <c r="AY125" s="55">
        <f t="shared" si="3"/>
        <v>105.01979999999999</v>
      </c>
      <c r="AZ125" s="55">
        <f t="shared" si="4"/>
        <v>94.621800000000007</v>
      </c>
      <c r="BA125" s="56">
        <f t="shared" si="5"/>
        <v>53.549700000000001</v>
      </c>
    </row>
    <row r="126" spans="1:53" ht="22.5" customHeight="1">
      <c r="A126" s="41" t="s">
        <v>63</v>
      </c>
      <c r="B126" s="42" t="s">
        <v>64</v>
      </c>
      <c r="C126" s="43">
        <v>4018280</v>
      </c>
      <c r="D126" s="44" t="s">
        <v>214</v>
      </c>
      <c r="E126" s="44" t="s">
        <v>215</v>
      </c>
      <c r="F126" s="45">
        <v>11999</v>
      </c>
      <c r="G126" s="45">
        <v>9899</v>
      </c>
      <c r="H126" s="46">
        <v>10999</v>
      </c>
      <c r="I126" s="46">
        <v>10999</v>
      </c>
      <c r="J126" s="45">
        <v>10899</v>
      </c>
      <c r="K126" s="45">
        <v>10899</v>
      </c>
      <c r="L126" s="45">
        <v>10899</v>
      </c>
      <c r="M126" s="45">
        <v>10899</v>
      </c>
      <c r="N126" s="45">
        <v>10899</v>
      </c>
      <c r="O126" s="45">
        <v>10799</v>
      </c>
      <c r="P126" s="46">
        <v>10699</v>
      </c>
      <c r="Q126" s="46">
        <v>9999</v>
      </c>
      <c r="R126" s="45">
        <v>10799</v>
      </c>
      <c r="S126" s="45">
        <v>10699</v>
      </c>
      <c r="T126" s="46">
        <v>9999</v>
      </c>
      <c r="U126" s="46">
        <v>9999</v>
      </c>
      <c r="V126" s="46">
        <v>9999</v>
      </c>
      <c r="W126" s="46">
        <v>9999</v>
      </c>
      <c r="X126" s="46">
        <v>9899</v>
      </c>
      <c r="Y126" s="46">
        <v>9499</v>
      </c>
      <c r="Z126" s="46">
        <v>9499</v>
      </c>
      <c r="AA126" s="46">
        <v>9299</v>
      </c>
      <c r="AB126" s="45">
        <v>10899</v>
      </c>
      <c r="AC126" s="45">
        <v>10899</v>
      </c>
      <c r="AD126" s="45">
        <v>10899</v>
      </c>
      <c r="AE126" s="45">
        <v>10899</v>
      </c>
      <c r="AF126" s="45">
        <v>10799</v>
      </c>
      <c r="AG126" s="45">
        <v>10699</v>
      </c>
      <c r="AH126" s="45">
        <v>9999</v>
      </c>
      <c r="AI126" s="45">
        <v>9999</v>
      </c>
      <c r="AJ126" s="45">
        <v>9999</v>
      </c>
      <c r="AK126" s="45">
        <v>9999</v>
      </c>
      <c r="AL126" s="45">
        <v>9499</v>
      </c>
      <c r="AM126" s="45"/>
      <c r="AN126" s="45"/>
      <c r="AO126" s="45"/>
      <c r="AP126" s="45"/>
      <c r="AQ126" s="45"/>
      <c r="AR126" s="45"/>
      <c r="AS126" s="45"/>
      <c r="AT126" s="45"/>
      <c r="AU126" s="45"/>
      <c r="AV126" s="47"/>
      <c r="AW126" s="48" t="s">
        <v>67</v>
      </c>
      <c r="AX126" s="49" t="s">
        <v>68</v>
      </c>
      <c r="AY126" s="55">
        <f t="shared" si="3"/>
        <v>222.1798</v>
      </c>
      <c r="AZ126" s="55">
        <f t="shared" si="4"/>
        <v>200.18180000000001</v>
      </c>
      <c r="BA126" s="56">
        <f t="shared" si="5"/>
        <v>113.2897</v>
      </c>
    </row>
    <row r="127" spans="1:53" ht="22.5" customHeight="1">
      <c r="A127" s="41" t="s">
        <v>63</v>
      </c>
      <c r="B127" s="42" t="s">
        <v>64</v>
      </c>
      <c r="C127" s="43">
        <v>4018283</v>
      </c>
      <c r="D127" s="44" t="s">
        <v>214</v>
      </c>
      <c r="E127" s="44" t="s">
        <v>216</v>
      </c>
      <c r="F127" s="45">
        <v>11999</v>
      </c>
      <c r="G127" s="45">
        <v>9899</v>
      </c>
      <c r="H127" s="46">
        <v>10999</v>
      </c>
      <c r="I127" s="46">
        <v>10999</v>
      </c>
      <c r="J127" s="45">
        <v>10899</v>
      </c>
      <c r="K127" s="45">
        <v>10899</v>
      </c>
      <c r="L127" s="45">
        <v>10899</v>
      </c>
      <c r="M127" s="45">
        <v>10899</v>
      </c>
      <c r="N127" s="45">
        <v>10899</v>
      </c>
      <c r="O127" s="45">
        <v>10799</v>
      </c>
      <c r="P127" s="46">
        <v>10699</v>
      </c>
      <c r="Q127" s="46">
        <v>9999</v>
      </c>
      <c r="R127" s="45">
        <v>10799</v>
      </c>
      <c r="S127" s="45">
        <v>10699</v>
      </c>
      <c r="T127" s="46">
        <v>9999</v>
      </c>
      <c r="U127" s="46">
        <v>9999</v>
      </c>
      <c r="V127" s="46">
        <v>9999</v>
      </c>
      <c r="W127" s="46">
        <v>9999</v>
      </c>
      <c r="X127" s="46">
        <v>9899</v>
      </c>
      <c r="Y127" s="46">
        <v>9499</v>
      </c>
      <c r="Z127" s="46">
        <v>9499</v>
      </c>
      <c r="AA127" s="46">
        <v>9299</v>
      </c>
      <c r="AB127" s="45">
        <v>10899</v>
      </c>
      <c r="AC127" s="45">
        <v>10899</v>
      </c>
      <c r="AD127" s="45">
        <v>10899</v>
      </c>
      <c r="AE127" s="45">
        <v>10899</v>
      </c>
      <c r="AF127" s="45">
        <v>10799</v>
      </c>
      <c r="AG127" s="45">
        <v>10699</v>
      </c>
      <c r="AH127" s="45">
        <v>9999</v>
      </c>
      <c r="AI127" s="45">
        <v>9999</v>
      </c>
      <c r="AJ127" s="45">
        <v>9999</v>
      </c>
      <c r="AK127" s="45">
        <v>9999</v>
      </c>
      <c r="AL127" s="45">
        <v>9499</v>
      </c>
      <c r="AM127" s="45"/>
      <c r="AN127" s="45"/>
      <c r="AO127" s="45"/>
      <c r="AP127" s="45"/>
      <c r="AQ127" s="45"/>
      <c r="AR127" s="45"/>
      <c r="AS127" s="45"/>
      <c r="AT127" s="45"/>
      <c r="AU127" s="45"/>
      <c r="AV127" s="47"/>
      <c r="AW127" s="48" t="s">
        <v>67</v>
      </c>
      <c r="AX127" s="49" t="s">
        <v>68</v>
      </c>
      <c r="AY127" s="55">
        <f t="shared" si="3"/>
        <v>222.1798</v>
      </c>
      <c r="AZ127" s="55">
        <f t="shared" si="4"/>
        <v>200.18180000000001</v>
      </c>
      <c r="BA127" s="56">
        <f t="shared" si="5"/>
        <v>113.2897</v>
      </c>
    </row>
    <row r="128" spans="1:53" ht="22.5" customHeight="1">
      <c r="A128" s="41" t="s">
        <v>63</v>
      </c>
      <c r="B128" s="42" t="s">
        <v>64</v>
      </c>
      <c r="C128" s="43">
        <v>4018301</v>
      </c>
      <c r="D128" s="44" t="s">
        <v>214</v>
      </c>
      <c r="E128" s="44" t="s">
        <v>217</v>
      </c>
      <c r="F128" s="45">
        <v>11999</v>
      </c>
      <c r="G128" s="45">
        <v>9899</v>
      </c>
      <c r="H128" s="46">
        <v>10999</v>
      </c>
      <c r="I128" s="46">
        <v>10999</v>
      </c>
      <c r="J128" s="45">
        <v>10899</v>
      </c>
      <c r="K128" s="45">
        <v>10899</v>
      </c>
      <c r="L128" s="45">
        <v>10899</v>
      </c>
      <c r="M128" s="45">
        <v>10899</v>
      </c>
      <c r="N128" s="45">
        <v>10899</v>
      </c>
      <c r="O128" s="45">
        <v>10799</v>
      </c>
      <c r="P128" s="46">
        <v>10699</v>
      </c>
      <c r="Q128" s="46">
        <v>9999</v>
      </c>
      <c r="R128" s="45">
        <v>10799</v>
      </c>
      <c r="S128" s="45">
        <v>10699</v>
      </c>
      <c r="T128" s="46">
        <v>9999</v>
      </c>
      <c r="U128" s="46">
        <v>9999</v>
      </c>
      <c r="V128" s="46">
        <v>9999</v>
      </c>
      <c r="W128" s="46">
        <v>9999</v>
      </c>
      <c r="X128" s="46">
        <v>9899</v>
      </c>
      <c r="Y128" s="46">
        <v>9499</v>
      </c>
      <c r="Z128" s="46">
        <v>9499</v>
      </c>
      <c r="AA128" s="46">
        <v>9299</v>
      </c>
      <c r="AB128" s="45">
        <v>10899</v>
      </c>
      <c r="AC128" s="45">
        <v>10899</v>
      </c>
      <c r="AD128" s="45">
        <v>10899</v>
      </c>
      <c r="AE128" s="45">
        <v>10899</v>
      </c>
      <c r="AF128" s="45">
        <v>10799</v>
      </c>
      <c r="AG128" s="45">
        <v>10699</v>
      </c>
      <c r="AH128" s="45">
        <v>9999</v>
      </c>
      <c r="AI128" s="45">
        <v>9999</v>
      </c>
      <c r="AJ128" s="45">
        <v>9999</v>
      </c>
      <c r="AK128" s="45">
        <v>9999</v>
      </c>
      <c r="AL128" s="45">
        <v>9499</v>
      </c>
      <c r="AM128" s="45"/>
      <c r="AN128" s="45"/>
      <c r="AO128" s="45"/>
      <c r="AP128" s="45"/>
      <c r="AQ128" s="45"/>
      <c r="AR128" s="45"/>
      <c r="AS128" s="45"/>
      <c r="AT128" s="45"/>
      <c r="AU128" s="45"/>
      <c r="AV128" s="47"/>
      <c r="AW128" s="48" t="s">
        <v>67</v>
      </c>
      <c r="AX128" s="49" t="s">
        <v>68</v>
      </c>
      <c r="AY128" s="55">
        <f t="shared" si="3"/>
        <v>222.1798</v>
      </c>
      <c r="AZ128" s="55">
        <f t="shared" si="4"/>
        <v>200.18180000000001</v>
      </c>
      <c r="BA128" s="56">
        <f t="shared" si="5"/>
        <v>113.2897</v>
      </c>
    </row>
    <row r="129" spans="1:53" ht="22.5" customHeight="1">
      <c r="A129" s="41" t="s">
        <v>63</v>
      </c>
      <c r="B129" s="42" t="s">
        <v>64</v>
      </c>
      <c r="C129" s="43">
        <v>4018282</v>
      </c>
      <c r="D129" s="44" t="s">
        <v>218</v>
      </c>
      <c r="E129" s="44" t="s">
        <v>219</v>
      </c>
      <c r="F129" s="45">
        <v>13499</v>
      </c>
      <c r="G129" s="45">
        <v>11299</v>
      </c>
      <c r="H129" s="46">
        <v>12399</v>
      </c>
      <c r="I129" s="46">
        <v>12399</v>
      </c>
      <c r="J129" s="45">
        <v>12299</v>
      </c>
      <c r="K129" s="45">
        <v>12299</v>
      </c>
      <c r="L129" s="45">
        <v>12299</v>
      </c>
      <c r="M129" s="45">
        <v>12299</v>
      </c>
      <c r="N129" s="45">
        <v>12299</v>
      </c>
      <c r="O129" s="45">
        <v>12199</v>
      </c>
      <c r="P129" s="46">
        <v>12099</v>
      </c>
      <c r="Q129" s="46">
        <v>11399</v>
      </c>
      <c r="R129" s="45">
        <v>12199</v>
      </c>
      <c r="S129" s="45">
        <v>12099</v>
      </c>
      <c r="T129" s="46">
        <v>11399</v>
      </c>
      <c r="U129" s="46">
        <v>11399</v>
      </c>
      <c r="V129" s="46">
        <v>11399</v>
      </c>
      <c r="W129" s="46">
        <v>11399</v>
      </c>
      <c r="X129" s="46">
        <v>11299</v>
      </c>
      <c r="Y129" s="46">
        <v>10799</v>
      </c>
      <c r="Z129" s="46">
        <v>10799</v>
      </c>
      <c r="AA129" s="46">
        <v>10499</v>
      </c>
      <c r="AB129" s="45">
        <v>12299</v>
      </c>
      <c r="AC129" s="45">
        <v>12299</v>
      </c>
      <c r="AD129" s="45">
        <v>12299</v>
      </c>
      <c r="AE129" s="45">
        <v>12299</v>
      </c>
      <c r="AF129" s="45">
        <v>12199</v>
      </c>
      <c r="AG129" s="45">
        <v>12099</v>
      </c>
      <c r="AH129" s="45">
        <v>11399</v>
      </c>
      <c r="AI129" s="45">
        <v>11399</v>
      </c>
      <c r="AJ129" s="45">
        <v>11399</v>
      </c>
      <c r="AK129" s="45">
        <v>11399</v>
      </c>
      <c r="AL129" s="45">
        <v>10799</v>
      </c>
      <c r="AM129" s="45"/>
      <c r="AN129" s="45"/>
      <c r="AO129" s="45"/>
      <c r="AP129" s="45"/>
      <c r="AQ129" s="45"/>
      <c r="AR129" s="45"/>
      <c r="AS129" s="45"/>
      <c r="AT129" s="45"/>
      <c r="AU129" s="45"/>
      <c r="AV129" s="47"/>
      <c r="AW129" s="48" t="s">
        <v>67</v>
      </c>
      <c r="AX129" s="49" t="s">
        <v>68</v>
      </c>
      <c r="AY129" s="55">
        <f t="shared" si="3"/>
        <v>250.4598</v>
      </c>
      <c r="AZ129" s="55">
        <f t="shared" si="4"/>
        <v>225.6618</v>
      </c>
      <c r="BA129" s="56">
        <f t="shared" si="5"/>
        <v>127.7097</v>
      </c>
    </row>
    <row r="130" spans="1:53" ht="22.5" customHeight="1">
      <c r="A130" s="41" t="s">
        <v>63</v>
      </c>
      <c r="B130" s="42" t="s">
        <v>64</v>
      </c>
      <c r="C130" s="43">
        <v>4018281</v>
      </c>
      <c r="D130" s="44" t="s">
        <v>218</v>
      </c>
      <c r="E130" s="44" t="s">
        <v>220</v>
      </c>
      <c r="F130" s="45">
        <v>13499</v>
      </c>
      <c r="G130" s="45">
        <v>11299</v>
      </c>
      <c r="H130" s="46">
        <v>12399</v>
      </c>
      <c r="I130" s="46">
        <v>12399</v>
      </c>
      <c r="J130" s="45">
        <v>12299</v>
      </c>
      <c r="K130" s="45">
        <v>12299</v>
      </c>
      <c r="L130" s="45">
        <v>12299</v>
      </c>
      <c r="M130" s="45">
        <v>12299</v>
      </c>
      <c r="N130" s="45">
        <v>12299</v>
      </c>
      <c r="O130" s="45">
        <v>12199</v>
      </c>
      <c r="P130" s="46">
        <v>12099</v>
      </c>
      <c r="Q130" s="46">
        <v>11399</v>
      </c>
      <c r="R130" s="45">
        <v>12199</v>
      </c>
      <c r="S130" s="45">
        <v>12099</v>
      </c>
      <c r="T130" s="46">
        <v>11399</v>
      </c>
      <c r="U130" s="46">
        <v>11399</v>
      </c>
      <c r="V130" s="46">
        <v>11399</v>
      </c>
      <c r="W130" s="46">
        <v>11399</v>
      </c>
      <c r="X130" s="46">
        <v>11299</v>
      </c>
      <c r="Y130" s="46">
        <v>10799</v>
      </c>
      <c r="Z130" s="46">
        <v>10799</v>
      </c>
      <c r="AA130" s="46">
        <v>10499</v>
      </c>
      <c r="AB130" s="45">
        <v>12299</v>
      </c>
      <c r="AC130" s="45">
        <v>12299</v>
      </c>
      <c r="AD130" s="45">
        <v>12299</v>
      </c>
      <c r="AE130" s="45">
        <v>12299</v>
      </c>
      <c r="AF130" s="45">
        <v>12199</v>
      </c>
      <c r="AG130" s="45">
        <v>12099</v>
      </c>
      <c r="AH130" s="45">
        <v>11399</v>
      </c>
      <c r="AI130" s="45">
        <v>11399</v>
      </c>
      <c r="AJ130" s="45">
        <v>11399</v>
      </c>
      <c r="AK130" s="45">
        <v>11399</v>
      </c>
      <c r="AL130" s="45">
        <v>10799</v>
      </c>
      <c r="AM130" s="45"/>
      <c r="AN130" s="45"/>
      <c r="AO130" s="45"/>
      <c r="AP130" s="45"/>
      <c r="AQ130" s="45"/>
      <c r="AR130" s="45"/>
      <c r="AS130" s="45"/>
      <c r="AT130" s="45"/>
      <c r="AU130" s="45"/>
      <c r="AV130" s="47"/>
      <c r="AW130" s="48" t="s">
        <v>67</v>
      </c>
      <c r="AX130" s="49" t="s">
        <v>68</v>
      </c>
      <c r="AY130" s="55">
        <f t="shared" si="3"/>
        <v>250.4598</v>
      </c>
      <c r="AZ130" s="55">
        <f t="shared" si="4"/>
        <v>225.6618</v>
      </c>
      <c r="BA130" s="56">
        <f t="shared" si="5"/>
        <v>127.7097</v>
      </c>
    </row>
    <row r="131" spans="1:53" ht="22.5" customHeight="1">
      <c r="A131" s="41" t="s">
        <v>63</v>
      </c>
      <c r="B131" s="42" t="s">
        <v>64</v>
      </c>
      <c r="C131" s="43">
        <v>4018300</v>
      </c>
      <c r="D131" s="44" t="s">
        <v>218</v>
      </c>
      <c r="E131" s="44" t="s">
        <v>221</v>
      </c>
      <c r="F131" s="45">
        <v>13499</v>
      </c>
      <c r="G131" s="45">
        <v>11299</v>
      </c>
      <c r="H131" s="46">
        <v>12399</v>
      </c>
      <c r="I131" s="46">
        <v>12399</v>
      </c>
      <c r="J131" s="45">
        <v>12299</v>
      </c>
      <c r="K131" s="45">
        <v>12299</v>
      </c>
      <c r="L131" s="45">
        <v>12299</v>
      </c>
      <c r="M131" s="45">
        <v>12299</v>
      </c>
      <c r="N131" s="45">
        <v>12299</v>
      </c>
      <c r="O131" s="45">
        <v>12199</v>
      </c>
      <c r="P131" s="46">
        <v>12099</v>
      </c>
      <c r="Q131" s="46">
        <v>11399</v>
      </c>
      <c r="R131" s="45">
        <v>12199</v>
      </c>
      <c r="S131" s="45">
        <v>12099</v>
      </c>
      <c r="T131" s="46">
        <v>11399</v>
      </c>
      <c r="U131" s="46">
        <v>11399</v>
      </c>
      <c r="V131" s="46">
        <v>11399</v>
      </c>
      <c r="W131" s="46">
        <v>11399</v>
      </c>
      <c r="X131" s="46">
        <v>11299</v>
      </c>
      <c r="Y131" s="46">
        <v>10799</v>
      </c>
      <c r="Z131" s="46">
        <v>10799</v>
      </c>
      <c r="AA131" s="46">
        <v>10499</v>
      </c>
      <c r="AB131" s="45">
        <v>12299</v>
      </c>
      <c r="AC131" s="45">
        <v>12299</v>
      </c>
      <c r="AD131" s="45">
        <v>12299</v>
      </c>
      <c r="AE131" s="45">
        <v>12299</v>
      </c>
      <c r="AF131" s="45">
        <v>12199</v>
      </c>
      <c r="AG131" s="45">
        <v>12099</v>
      </c>
      <c r="AH131" s="45">
        <v>11399</v>
      </c>
      <c r="AI131" s="45">
        <v>11399</v>
      </c>
      <c r="AJ131" s="45">
        <v>11399</v>
      </c>
      <c r="AK131" s="45">
        <v>11399</v>
      </c>
      <c r="AL131" s="45">
        <v>10799</v>
      </c>
      <c r="AM131" s="45"/>
      <c r="AN131" s="45"/>
      <c r="AO131" s="45"/>
      <c r="AP131" s="45"/>
      <c r="AQ131" s="45"/>
      <c r="AR131" s="45"/>
      <c r="AS131" s="45"/>
      <c r="AT131" s="45"/>
      <c r="AU131" s="45"/>
      <c r="AV131" s="47"/>
      <c r="AW131" s="48" t="s">
        <v>67</v>
      </c>
      <c r="AX131" s="49" t="s">
        <v>68</v>
      </c>
      <c r="AY131" s="55">
        <f t="shared" si="3"/>
        <v>250.4598</v>
      </c>
      <c r="AZ131" s="55">
        <f t="shared" si="4"/>
        <v>225.6618</v>
      </c>
      <c r="BA131" s="56">
        <f t="shared" si="5"/>
        <v>127.7097</v>
      </c>
    </row>
    <row r="132" spans="1:53" ht="22.5" customHeight="1">
      <c r="A132" s="41" t="s">
        <v>63</v>
      </c>
      <c r="B132" s="42" t="s">
        <v>64</v>
      </c>
      <c r="C132" s="43">
        <v>4018289</v>
      </c>
      <c r="D132" s="44" t="s">
        <v>222</v>
      </c>
      <c r="E132" s="44" t="s">
        <v>223</v>
      </c>
      <c r="F132" s="45">
        <v>12999</v>
      </c>
      <c r="G132" s="45">
        <v>10899</v>
      </c>
      <c r="H132" s="46">
        <v>11999</v>
      </c>
      <c r="I132" s="46">
        <v>11999</v>
      </c>
      <c r="J132" s="45">
        <v>11899</v>
      </c>
      <c r="K132" s="45">
        <v>11899</v>
      </c>
      <c r="L132" s="45">
        <v>11899</v>
      </c>
      <c r="M132" s="45">
        <v>11899</v>
      </c>
      <c r="N132" s="45">
        <v>11899</v>
      </c>
      <c r="O132" s="45">
        <v>11799</v>
      </c>
      <c r="P132" s="46">
        <v>11699</v>
      </c>
      <c r="Q132" s="46">
        <v>10999</v>
      </c>
      <c r="R132" s="45">
        <v>11799</v>
      </c>
      <c r="S132" s="45">
        <v>11699</v>
      </c>
      <c r="T132" s="46">
        <v>10999</v>
      </c>
      <c r="U132" s="46">
        <v>10999</v>
      </c>
      <c r="V132" s="46">
        <v>10999</v>
      </c>
      <c r="W132" s="46">
        <v>10999</v>
      </c>
      <c r="X132" s="46">
        <v>10899</v>
      </c>
      <c r="Y132" s="46">
        <v>10499</v>
      </c>
      <c r="Z132" s="46">
        <v>10499</v>
      </c>
      <c r="AA132" s="46">
        <v>10299</v>
      </c>
      <c r="AB132" s="45">
        <v>11899</v>
      </c>
      <c r="AC132" s="45">
        <v>11899</v>
      </c>
      <c r="AD132" s="45">
        <v>11899</v>
      </c>
      <c r="AE132" s="45">
        <v>11899</v>
      </c>
      <c r="AF132" s="45">
        <v>11799</v>
      </c>
      <c r="AG132" s="45">
        <v>11699</v>
      </c>
      <c r="AH132" s="45">
        <v>10999</v>
      </c>
      <c r="AI132" s="45">
        <v>10999</v>
      </c>
      <c r="AJ132" s="45">
        <v>10999</v>
      </c>
      <c r="AK132" s="45">
        <v>10999</v>
      </c>
      <c r="AL132" s="45">
        <v>10499</v>
      </c>
      <c r="AM132" s="45"/>
      <c r="AN132" s="45"/>
      <c r="AO132" s="45"/>
      <c r="AP132" s="45"/>
      <c r="AQ132" s="45"/>
      <c r="AR132" s="45"/>
      <c r="AS132" s="45"/>
      <c r="AT132" s="45"/>
      <c r="AU132" s="45"/>
      <c r="AV132" s="47"/>
      <c r="AW132" s="48" t="s">
        <v>67</v>
      </c>
      <c r="AX132" s="49" t="s">
        <v>68</v>
      </c>
      <c r="AY132" s="55">
        <f t="shared" si="3"/>
        <v>242.37979999999999</v>
      </c>
      <c r="AZ132" s="55">
        <f t="shared" si="4"/>
        <v>218.3818</v>
      </c>
      <c r="BA132" s="56">
        <f t="shared" si="5"/>
        <v>123.58970000000001</v>
      </c>
    </row>
    <row r="133" spans="1:53" ht="22.5" customHeight="1">
      <c r="A133" s="41" t="s">
        <v>63</v>
      </c>
      <c r="B133" s="42" t="s">
        <v>64</v>
      </c>
      <c r="C133" s="43">
        <v>4018307</v>
      </c>
      <c r="D133" s="44" t="s">
        <v>222</v>
      </c>
      <c r="E133" s="44" t="s">
        <v>224</v>
      </c>
      <c r="F133" s="45">
        <v>12999</v>
      </c>
      <c r="G133" s="45">
        <v>10899</v>
      </c>
      <c r="H133" s="46">
        <v>11999</v>
      </c>
      <c r="I133" s="46">
        <v>11999</v>
      </c>
      <c r="J133" s="45">
        <v>11899</v>
      </c>
      <c r="K133" s="45">
        <v>11899</v>
      </c>
      <c r="L133" s="45">
        <v>11899</v>
      </c>
      <c r="M133" s="45">
        <v>11899</v>
      </c>
      <c r="N133" s="45">
        <v>11899</v>
      </c>
      <c r="O133" s="45">
        <v>11799</v>
      </c>
      <c r="P133" s="46">
        <v>11699</v>
      </c>
      <c r="Q133" s="46">
        <v>10999</v>
      </c>
      <c r="R133" s="45">
        <v>11799</v>
      </c>
      <c r="S133" s="45">
        <v>11699</v>
      </c>
      <c r="T133" s="46">
        <v>10999</v>
      </c>
      <c r="U133" s="46">
        <v>10999</v>
      </c>
      <c r="V133" s="46">
        <v>10999</v>
      </c>
      <c r="W133" s="46">
        <v>10999</v>
      </c>
      <c r="X133" s="46">
        <v>10899</v>
      </c>
      <c r="Y133" s="46">
        <v>10499</v>
      </c>
      <c r="Z133" s="46">
        <v>10499</v>
      </c>
      <c r="AA133" s="46">
        <v>10299</v>
      </c>
      <c r="AB133" s="45">
        <v>11899</v>
      </c>
      <c r="AC133" s="45">
        <v>11899</v>
      </c>
      <c r="AD133" s="45">
        <v>11899</v>
      </c>
      <c r="AE133" s="45">
        <v>11899</v>
      </c>
      <c r="AF133" s="45">
        <v>11799</v>
      </c>
      <c r="AG133" s="45">
        <v>11699</v>
      </c>
      <c r="AH133" s="45">
        <v>10999</v>
      </c>
      <c r="AI133" s="45">
        <v>10999</v>
      </c>
      <c r="AJ133" s="45">
        <v>10999</v>
      </c>
      <c r="AK133" s="45">
        <v>10999</v>
      </c>
      <c r="AL133" s="45">
        <v>10499</v>
      </c>
      <c r="AM133" s="45"/>
      <c r="AN133" s="45"/>
      <c r="AO133" s="45"/>
      <c r="AP133" s="45"/>
      <c r="AQ133" s="45"/>
      <c r="AR133" s="45"/>
      <c r="AS133" s="45"/>
      <c r="AT133" s="45"/>
      <c r="AU133" s="45"/>
      <c r="AV133" s="47"/>
      <c r="AW133" s="48" t="s">
        <v>67</v>
      </c>
      <c r="AX133" s="49" t="s">
        <v>68</v>
      </c>
      <c r="AY133" s="55">
        <f t="shared" si="3"/>
        <v>242.37979999999999</v>
      </c>
      <c r="AZ133" s="55">
        <f t="shared" si="4"/>
        <v>218.3818</v>
      </c>
      <c r="BA133" s="56">
        <f t="shared" si="5"/>
        <v>123.58970000000001</v>
      </c>
    </row>
    <row r="134" spans="1:53" ht="22.5" customHeight="1">
      <c r="A134" s="41" t="s">
        <v>63</v>
      </c>
      <c r="B134" s="42" t="s">
        <v>64</v>
      </c>
      <c r="C134" s="43">
        <v>4018288</v>
      </c>
      <c r="D134" s="44" t="s">
        <v>222</v>
      </c>
      <c r="E134" s="44" t="s">
        <v>225</v>
      </c>
      <c r="F134" s="45">
        <v>12999</v>
      </c>
      <c r="G134" s="45">
        <v>10899</v>
      </c>
      <c r="H134" s="46">
        <v>11999</v>
      </c>
      <c r="I134" s="46">
        <v>11999</v>
      </c>
      <c r="J134" s="45">
        <v>11899</v>
      </c>
      <c r="K134" s="45">
        <v>11899</v>
      </c>
      <c r="L134" s="45">
        <v>11899</v>
      </c>
      <c r="M134" s="45">
        <v>11899</v>
      </c>
      <c r="N134" s="45">
        <v>11899</v>
      </c>
      <c r="O134" s="45">
        <v>11799</v>
      </c>
      <c r="P134" s="46">
        <v>11699</v>
      </c>
      <c r="Q134" s="46">
        <v>10999</v>
      </c>
      <c r="R134" s="45">
        <v>11799</v>
      </c>
      <c r="S134" s="45">
        <v>11699</v>
      </c>
      <c r="T134" s="46">
        <v>10999</v>
      </c>
      <c r="U134" s="46">
        <v>10999</v>
      </c>
      <c r="V134" s="46">
        <v>10999</v>
      </c>
      <c r="W134" s="46">
        <v>10999</v>
      </c>
      <c r="X134" s="46">
        <v>10899</v>
      </c>
      <c r="Y134" s="46">
        <v>10499</v>
      </c>
      <c r="Z134" s="46">
        <v>10499</v>
      </c>
      <c r="AA134" s="46">
        <v>10299</v>
      </c>
      <c r="AB134" s="45">
        <v>11899</v>
      </c>
      <c r="AC134" s="45">
        <v>11899</v>
      </c>
      <c r="AD134" s="45">
        <v>11899</v>
      </c>
      <c r="AE134" s="45">
        <v>11899</v>
      </c>
      <c r="AF134" s="45">
        <v>11799</v>
      </c>
      <c r="AG134" s="45">
        <v>11699</v>
      </c>
      <c r="AH134" s="45">
        <v>10999</v>
      </c>
      <c r="AI134" s="45">
        <v>10999</v>
      </c>
      <c r="AJ134" s="45">
        <v>10999</v>
      </c>
      <c r="AK134" s="45">
        <v>10999</v>
      </c>
      <c r="AL134" s="45">
        <v>10499</v>
      </c>
      <c r="AM134" s="45"/>
      <c r="AN134" s="45"/>
      <c r="AO134" s="45"/>
      <c r="AP134" s="45"/>
      <c r="AQ134" s="45"/>
      <c r="AR134" s="45"/>
      <c r="AS134" s="45"/>
      <c r="AT134" s="45"/>
      <c r="AU134" s="45"/>
      <c r="AV134" s="47"/>
      <c r="AW134" s="48" t="s">
        <v>67</v>
      </c>
      <c r="AX134" s="49" t="s">
        <v>68</v>
      </c>
      <c r="AY134" s="55">
        <f t="shared" si="3"/>
        <v>242.37979999999999</v>
      </c>
      <c r="AZ134" s="55">
        <f t="shared" si="4"/>
        <v>218.3818</v>
      </c>
      <c r="BA134" s="56">
        <f t="shared" si="5"/>
        <v>123.58970000000001</v>
      </c>
    </row>
    <row r="135" spans="1:53" ht="22.5" customHeight="1">
      <c r="A135" s="41" t="s">
        <v>63</v>
      </c>
      <c r="B135" s="42" t="s">
        <v>64</v>
      </c>
      <c r="C135" s="43">
        <v>4018306</v>
      </c>
      <c r="D135" s="44" t="s">
        <v>222</v>
      </c>
      <c r="E135" s="44" t="s">
        <v>226</v>
      </c>
      <c r="F135" s="45">
        <v>12999</v>
      </c>
      <c r="G135" s="45">
        <v>10899</v>
      </c>
      <c r="H135" s="46">
        <v>11999</v>
      </c>
      <c r="I135" s="46">
        <v>11999</v>
      </c>
      <c r="J135" s="45">
        <v>11899</v>
      </c>
      <c r="K135" s="45">
        <v>11899</v>
      </c>
      <c r="L135" s="45">
        <v>11899</v>
      </c>
      <c r="M135" s="45">
        <v>11899</v>
      </c>
      <c r="N135" s="45">
        <v>11899</v>
      </c>
      <c r="O135" s="45">
        <v>11799</v>
      </c>
      <c r="P135" s="46">
        <v>11699</v>
      </c>
      <c r="Q135" s="46">
        <v>10999</v>
      </c>
      <c r="R135" s="45">
        <v>11799</v>
      </c>
      <c r="S135" s="45">
        <v>11699</v>
      </c>
      <c r="T135" s="46">
        <v>10999</v>
      </c>
      <c r="U135" s="46">
        <v>10999</v>
      </c>
      <c r="V135" s="46">
        <v>10999</v>
      </c>
      <c r="W135" s="46">
        <v>10999</v>
      </c>
      <c r="X135" s="46">
        <v>10899</v>
      </c>
      <c r="Y135" s="46">
        <v>10499</v>
      </c>
      <c r="Z135" s="46">
        <v>10499</v>
      </c>
      <c r="AA135" s="46">
        <v>10299</v>
      </c>
      <c r="AB135" s="45">
        <v>11899</v>
      </c>
      <c r="AC135" s="45">
        <v>11899</v>
      </c>
      <c r="AD135" s="45">
        <v>11899</v>
      </c>
      <c r="AE135" s="45">
        <v>11899</v>
      </c>
      <c r="AF135" s="45">
        <v>11799</v>
      </c>
      <c r="AG135" s="45">
        <v>11699</v>
      </c>
      <c r="AH135" s="45">
        <v>10999</v>
      </c>
      <c r="AI135" s="45">
        <v>10999</v>
      </c>
      <c r="AJ135" s="45">
        <v>10999</v>
      </c>
      <c r="AK135" s="45">
        <v>10999</v>
      </c>
      <c r="AL135" s="45">
        <v>10499</v>
      </c>
      <c r="AM135" s="45"/>
      <c r="AN135" s="45"/>
      <c r="AO135" s="45"/>
      <c r="AP135" s="45"/>
      <c r="AQ135" s="45"/>
      <c r="AR135" s="45"/>
      <c r="AS135" s="45"/>
      <c r="AT135" s="45"/>
      <c r="AU135" s="45"/>
      <c r="AV135" s="47"/>
      <c r="AW135" s="48" t="s">
        <v>67</v>
      </c>
      <c r="AX135" s="49" t="s">
        <v>68</v>
      </c>
      <c r="AY135" s="55">
        <f t="shared" si="3"/>
        <v>242.37979999999999</v>
      </c>
      <c r="AZ135" s="55">
        <f t="shared" si="4"/>
        <v>218.3818</v>
      </c>
      <c r="BA135" s="56">
        <f t="shared" si="5"/>
        <v>123.58970000000001</v>
      </c>
    </row>
    <row r="136" spans="1:53" ht="22.5" customHeight="1">
      <c r="A136" s="41" t="s">
        <v>63</v>
      </c>
      <c r="B136" s="42" t="s">
        <v>64</v>
      </c>
      <c r="C136" s="43">
        <v>4018290</v>
      </c>
      <c r="D136" s="44" t="s">
        <v>227</v>
      </c>
      <c r="E136" s="44" t="s">
        <v>228</v>
      </c>
      <c r="F136" s="45">
        <v>14499</v>
      </c>
      <c r="G136" s="45">
        <v>12299</v>
      </c>
      <c r="H136" s="46">
        <v>13399</v>
      </c>
      <c r="I136" s="46">
        <v>13399</v>
      </c>
      <c r="J136" s="45">
        <v>13299</v>
      </c>
      <c r="K136" s="45">
        <v>13299</v>
      </c>
      <c r="L136" s="45">
        <v>13299</v>
      </c>
      <c r="M136" s="45">
        <v>13299</v>
      </c>
      <c r="N136" s="45">
        <v>13299</v>
      </c>
      <c r="O136" s="45">
        <v>13199</v>
      </c>
      <c r="P136" s="46">
        <v>13099</v>
      </c>
      <c r="Q136" s="46">
        <v>12399</v>
      </c>
      <c r="R136" s="45">
        <v>13199</v>
      </c>
      <c r="S136" s="45">
        <v>13099</v>
      </c>
      <c r="T136" s="46">
        <v>12399</v>
      </c>
      <c r="U136" s="46">
        <v>12399</v>
      </c>
      <c r="V136" s="46">
        <v>12399</v>
      </c>
      <c r="W136" s="46">
        <v>12399</v>
      </c>
      <c r="X136" s="46">
        <v>12299</v>
      </c>
      <c r="Y136" s="46">
        <v>11699</v>
      </c>
      <c r="Z136" s="46">
        <v>11699</v>
      </c>
      <c r="AA136" s="46">
        <v>11499</v>
      </c>
      <c r="AB136" s="45">
        <v>13299</v>
      </c>
      <c r="AC136" s="45">
        <v>13299</v>
      </c>
      <c r="AD136" s="45">
        <v>13299</v>
      </c>
      <c r="AE136" s="45">
        <v>13299</v>
      </c>
      <c r="AF136" s="45">
        <v>13199</v>
      </c>
      <c r="AG136" s="45">
        <v>13099</v>
      </c>
      <c r="AH136" s="45">
        <v>12399</v>
      </c>
      <c r="AI136" s="45">
        <v>12399</v>
      </c>
      <c r="AJ136" s="45">
        <v>12399</v>
      </c>
      <c r="AK136" s="45">
        <v>12399</v>
      </c>
      <c r="AL136" s="45">
        <v>11699</v>
      </c>
      <c r="AM136" s="45"/>
      <c r="AN136" s="45"/>
      <c r="AO136" s="45"/>
      <c r="AP136" s="45"/>
      <c r="AQ136" s="45"/>
      <c r="AR136" s="45"/>
      <c r="AS136" s="45"/>
      <c r="AT136" s="45"/>
      <c r="AU136" s="45"/>
      <c r="AV136" s="47"/>
      <c r="AW136" s="48" t="s">
        <v>67</v>
      </c>
      <c r="AX136" s="49" t="s">
        <v>68</v>
      </c>
      <c r="AY136" s="55">
        <f t="shared" si="3"/>
        <v>270.65979999999996</v>
      </c>
      <c r="AZ136" s="55">
        <f t="shared" si="4"/>
        <v>243.86180000000002</v>
      </c>
      <c r="BA136" s="56">
        <f t="shared" si="5"/>
        <v>138.00970000000001</v>
      </c>
    </row>
    <row r="137" spans="1:53" ht="22.5" customHeight="1">
      <c r="A137" s="41" t="s">
        <v>63</v>
      </c>
      <c r="B137" s="42" t="s">
        <v>64</v>
      </c>
      <c r="C137" s="43">
        <v>4018308</v>
      </c>
      <c r="D137" s="44" t="s">
        <v>227</v>
      </c>
      <c r="E137" s="44" t="s">
        <v>229</v>
      </c>
      <c r="F137" s="45">
        <v>14499</v>
      </c>
      <c r="G137" s="45">
        <v>12299</v>
      </c>
      <c r="H137" s="46">
        <v>13399</v>
      </c>
      <c r="I137" s="46">
        <v>13399</v>
      </c>
      <c r="J137" s="45">
        <v>13299</v>
      </c>
      <c r="K137" s="45">
        <v>13299</v>
      </c>
      <c r="L137" s="45">
        <v>13299</v>
      </c>
      <c r="M137" s="45">
        <v>13299</v>
      </c>
      <c r="N137" s="45">
        <v>13299</v>
      </c>
      <c r="O137" s="45">
        <v>13199</v>
      </c>
      <c r="P137" s="46">
        <v>13099</v>
      </c>
      <c r="Q137" s="46">
        <v>12399</v>
      </c>
      <c r="R137" s="45">
        <v>13199</v>
      </c>
      <c r="S137" s="45">
        <v>13099</v>
      </c>
      <c r="T137" s="46">
        <v>12399</v>
      </c>
      <c r="U137" s="46">
        <v>12399</v>
      </c>
      <c r="V137" s="46">
        <v>12399</v>
      </c>
      <c r="W137" s="46">
        <v>12399</v>
      </c>
      <c r="X137" s="46">
        <v>12299</v>
      </c>
      <c r="Y137" s="46">
        <v>11699</v>
      </c>
      <c r="Z137" s="46">
        <v>11699</v>
      </c>
      <c r="AA137" s="46">
        <v>11499</v>
      </c>
      <c r="AB137" s="45">
        <v>13299</v>
      </c>
      <c r="AC137" s="45">
        <v>13299</v>
      </c>
      <c r="AD137" s="45">
        <v>13299</v>
      </c>
      <c r="AE137" s="45">
        <v>13299</v>
      </c>
      <c r="AF137" s="45">
        <v>13199</v>
      </c>
      <c r="AG137" s="45">
        <v>13099</v>
      </c>
      <c r="AH137" s="45">
        <v>12399</v>
      </c>
      <c r="AI137" s="45">
        <v>12399</v>
      </c>
      <c r="AJ137" s="45">
        <v>12399</v>
      </c>
      <c r="AK137" s="45">
        <v>12399</v>
      </c>
      <c r="AL137" s="45">
        <v>11699</v>
      </c>
      <c r="AM137" s="45"/>
      <c r="AN137" s="45"/>
      <c r="AO137" s="45"/>
      <c r="AP137" s="45"/>
      <c r="AQ137" s="45"/>
      <c r="AR137" s="45"/>
      <c r="AS137" s="45"/>
      <c r="AT137" s="45"/>
      <c r="AU137" s="45"/>
      <c r="AV137" s="47"/>
      <c r="AW137" s="48" t="s">
        <v>67</v>
      </c>
      <c r="AX137" s="49" t="s">
        <v>68</v>
      </c>
      <c r="AY137" s="55">
        <f t="shared" si="3"/>
        <v>270.65979999999996</v>
      </c>
      <c r="AZ137" s="55">
        <f t="shared" si="4"/>
        <v>243.86180000000002</v>
      </c>
      <c r="BA137" s="56">
        <f t="shared" si="5"/>
        <v>138.00970000000001</v>
      </c>
    </row>
    <row r="138" spans="1:53" ht="22.5" customHeight="1">
      <c r="A138" s="41" t="s">
        <v>63</v>
      </c>
      <c r="B138" s="42" t="s">
        <v>64</v>
      </c>
      <c r="C138" s="43">
        <v>4018291</v>
      </c>
      <c r="D138" s="44" t="s">
        <v>227</v>
      </c>
      <c r="E138" s="44" t="s">
        <v>230</v>
      </c>
      <c r="F138" s="45">
        <v>14499</v>
      </c>
      <c r="G138" s="45">
        <v>12299</v>
      </c>
      <c r="H138" s="46">
        <v>13399</v>
      </c>
      <c r="I138" s="46">
        <v>13399</v>
      </c>
      <c r="J138" s="45">
        <v>13299</v>
      </c>
      <c r="K138" s="45">
        <v>13299</v>
      </c>
      <c r="L138" s="45">
        <v>13299</v>
      </c>
      <c r="M138" s="45">
        <v>13299</v>
      </c>
      <c r="N138" s="45">
        <v>13299</v>
      </c>
      <c r="O138" s="45">
        <v>13199</v>
      </c>
      <c r="P138" s="46">
        <v>13099</v>
      </c>
      <c r="Q138" s="46">
        <v>12399</v>
      </c>
      <c r="R138" s="45">
        <v>13199</v>
      </c>
      <c r="S138" s="45">
        <v>13099</v>
      </c>
      <c r="T138" s="46">
        <v>12399</v>
      </c>
      <c r="U138" s="46">
        <v>12399</v>
      </c>
      <c r="V138" s="46">
        <v>12399</v>
      </c>
      <c r="W138" s="46">
        <v>12399</v>
      </c>
      <c r="X138" s="46">
        <v>12299</v>
      </c>
      <c r="Y138" s="46">
        <v>11699</v>
      </c>
      <c r="Z138" s="46">
        <v>11699</v>
      </c>
      <c r="AA138" s="46">
        <v>11499</v>
      </c>
      <c r="AB138" s="45">
        <v>13299</v>
      </c>
      <c r="AC138" s="45">
        <v>13299</v>
      </c>
      <c r="AD138" s="45">
        <v>13299</v>
      </c>
      <c r="AE138" s="45">
        <v>13299</v>
      </c>
      <c r="AF138" s="45">
        <v>13199</v>
      </c>
      <c r="AG138" s="45">
        <v>13099</v>
      </c>
      <c r="AH138" s="45">
        <v>12399</v>
      </c>
      <c r="AI138" s="45">
        <v>12399</v>
      </c>
      <c r="AJ138" s="45">
        <v>12399</v>
      </c>
      <c r="AK138" s="45">
        <v>12399</v>
      </c>
      <c r="AL138" s="45">
        <v>11699</v>
      </c>
      <c r="AM138" s="45"/>
      <c r="AN138" s="45"/>
      <c r="AO138" s="45"/>
      <c r="AP138" s="45"/>
      <c r="AQ138" s="45"/>
      <c r="AR138" s="45"/>
      <c r="AS138" s="45"/>
      <c r="AT138" s="45"/>
      <c r="AU138" s="45"/>
      <c r="AV138" s="47"/>
      <c r="AW138" s="48" t="s">
        <v>67</v>
      </c>
      <c r="AX138" s="49" t="s">
        <v>68</v>
      </c>
      <c r="AY138" s="55">
        <f t="shared" si="3"/>
        <v>270.65979999999996</v>
      </c>
      <c r="AZ138" s="55">
        <f t="shared" si="4"/>
        <v>243.86180000000002</v>
      </c>
      <c r="BA138" s="56">
        <f t="shared" si="5"/>
        <v>138.00970000000001</v>
      </c>
    </row>
    <row r="139" spans="1:53" ht="22.5" customHeight="1">
      <c r="A139" s="41" t="s">
        <v>63</v>
      </c>
      <c r="B139" s="42" t="s">
        <v>64</v>
      </c>
      <c r="C139" s="43">
        <v>4018309</v>
      </c>
      <c r="D139" s="44" t="s">
        <v>227</v>
      </c>
      <c r="E139" s="44" t="s">
        <v>231</v>
      </c>
      <c r="F139" s="45">
        <v>14499</v>
      </c>
      <c r="G139" s="45">
        <v>12299</v>
      </c>
      <c r="H139" s="46">
        <v>13399</v>
      </c>
      <c r="I139" s="46">
        <v>13399</v>
      </c>
      <c r="J139" s="45">
        <v>13299</v>
      </c>
      <c r="K139" s="45">
        <v>13299</v>
      </c>
      <c r="L139" s="45">
        <v>13299</v>
      </c>
      <c r="M139" s="45">
        <v>13299</v>
      </c>
      <c r="N139" s="45">
        <v>13299</v>
      </c>
      <c r="O139" s="45">
        <v>13199</v>
      </c>
      <c r="P139" s="46">
        <v>13099</v>
      </c>
      <c r="Q139" s="46">
        <v>12399</v>
      </c>
      <c r="R139" s="45">
        <v>13199</v>
      </c>
      <c r="S139" s="45">
        <v>13099</v>
      </c>
      <c r="T139" s="46">
        <v>12399</v>
      </c>
      <c r="U139" s="46">
        <v>12399</v>
      </c>
      <c r="V139" s="46">
        <v>12399</v>
      </c>
      <c r="W139" s="46">
        <v>12399</v>
      </c>
      <c r="X139" s="46">
        <v>12299</v>
      </c>
      <c r="Y139" s="46">
        <v>11699</v>
      </c>
      <c r="Z139" s="46">
        <v>11699</v>
      </c>
      <c r="AA139" s="46">
        <v>11499</v>
      </c>
      <c r="AB139" s="45">
        <v>13299</v>
      </c>
      <c r="AC139" s="45">
        <v>13299</v>
      </c>
      <c r="AD139" s="45">
        <v>13299</v>
      </c>
      <c r="AE139" s="45">
        <v>13299</v>
      </c>
      <c r="AF139" s="45">
        <v>13199</v>
      </c>
      <c r="AG139" s="45">
        <v>13099</v>
      </c>
      <c r="AH139" s="45">
        <v>12399</v>
      </c>
      <c r="AI139" s="45">
        <v>12399</v>
      </c>
      <c r="AJ139" s="45">
        <v>12399</v>
      </c>
      <c r="AK139" s="45">
        <v>12399</v>
      </c>
      <c r="AL139" s="45">
        <v>11699</v>
      </c>
      <c r="AM139" s="45"/>
      <c r="AN139" s="45"/>
      <c r="AO139" s="45"/>
      <c r="AP139" s="45"/>
      <c r="AQ139" s="45"/>
      <c r="AR139" s="45"/>
      <c r="AS139" s="45"/>
      <c r="AT139" s="45"/>
      <c r="AU139" s="45"/>
      <c r="AV139" s="47"/>
      <c r="AW139" s="48" t="s">
        <v>67</v>
      </c>
      <c r="AX139" s="49" t="s">
        <v>68</v>
      </c>
      <c r="AY139" s="55">
        <f t="shared" si="3"/>
        <v>270.65979999999996</v>
      </c>
      <c r="AZ139" s="55">
        <f t="shared" si="4"/>
        <v>243.86180000000002</v>
      </c>
      <c r="BA139" s="56">
        <f t="shared" si="5"/>
        <v>138.00970000000001</v>
      </c>
    </row>
    <row r="140" spans="1:53" ht="22.5" customHeight="1">
      <c r="A140" s="41" t="s">
        <v>63</v>
      </c>
      <c r="B140" s="42" t="s">
        <v>64</v>
      </c>
      <c r="C140" s="43">
        <v>4018345</v>
      </c>
      <c r="D140" s="44" t="s">
        <v>232</v>
      </c>
      <c r="E140" s="44" t="s">
        <v>233</v>
      </c>
      <c r="F140" s="45">
        <v>21999</v>
      </c>
      <c r="G140" s="45">
        <v>18499</v>
      </c>
      <c r="H140" s="46">
        <v>19599</v>
      </c>
      <c r="I140" s="46">
        <v>19599</v>
      </c>
      <c r="J140" s="45">
        <v>19499</v>
      </c>
      <c r="K140" s="45">
        <v>19499</v>
      </c>
      <c r="L140" s="45">
        <v>19499</v>
      </c>
      <c r="M140" s="45">
        <v>19499</v>
      </c>
      <c r="N140" s="45">
        <v>19499</v>
      </c>
      <c r="O140" s="45">
        <v>19399</v>
      </c>
      <c r="P140" s="46">
        <v>19299</v>
      </c>
      <c r="Q140" s="46">
        <v>18599</v>
      </c>
      <c r="R140" s="45">
        <v>19399</v>
      </c>
      <c r="S140" s="45">
        <v>19299</v>
      </c>
      <c r="T140" s="46">
        <v>18599</v>
      </c>
      <c r="U140" s="46">
        <v>18599</v>
      </c>
      <c r="V140" s="46">
        <v>18599</v>
      </c>
      <c r="W140" s="46">
        <v>18599</v>
      </c>
      <c r="X140" s="46">
        <v>18499</v>
      </c>
      <c r="Y140" s="46">
        <v>17999</v>
      </c>
      <c r="Z140" s="46">
        <v>17999</v>
      </c>
      <c r="AA140" s="46">
        <v>17999</v>
      </c>
      <c r="AB140" s="45">
        <v>19499</v>
      </c>
      <c r="AC140" s="45">
        <v>19499</v>
      </c>
      <c r="AD140" s="45">
        <v>19499</v>
      </c>
      <c r="AE140" s="45">
        <v>19499</v>
      </c>
      <c r="AF140" s="45">
        <v>19399</v>
      </c>
      <c r="AG140" s="45">
        <v>19299</v>
      </c>
      <c r="AH140" s="45">
        <v>18599</v>
      </c>
      <c r="AI140" s="45">
        <v>18599</v>
      </c>
      <c r="AJ140" s="45">
        <v>18599</v>
      </c>
      <c r="AK140" s="45">
        <v>18599</v>
      </c>
      <c r="AL140" s="45">
        <v>17999</v>
      </c>
      <c r="AM140" s="45"/>
      <c r="AN140" s="45"/>
      <c r="AO140" s="45"/>
      <c r="AP140" s="45"/>
      <c r="AQ140" s="45"/>
      <c r="AR140" s="45"/>
      <c r="AS140" s="45"/>
      <c r="AT140" s="45"/>
      <c r="AU140" s="45"/>
      <c r="AV140" s="47"/>
      <c r="AW140" s="48" t="s">
        <v>67</v>
      </c>
      <c r="AX140" s="49" t="s">
        <v>68</v>
      </c>
      <c r="AY140" s="55">
        <f t="shared" si="3"/>
        <v>395.89979999999997</v>
      </c>
      <c r="AZ140" s="55">
        <f t="shared" si="4"/>
        <v>356.70179999999999</v>
      </c>
      <c r="BA140" s="56">
        <f t="shared" si="5"/>
        <v>201.86969999999999</v>
      </c>
    </row>
    <row r="141" spans="1:53" ht="22.5" customHeight="1">
      <c r="A141" s="41" t="s">
        <v>63</v>
      </c>
      <c r="B141" s="42" t="s">
        <v>64</v>
      </c>
      <c r="C141" s="43">
        <v>4018348</v>
      </c>
      <c r="D141" s="44" t="s">
        <v>232</v>
      </c>
      <c r="E141" s="44" t="s">
        <v>234</v>
      </c>
      <c r="F141" s="45">
        <v>21999</v>
      </c>
      <c r="G141" s="45">
        <v>18499</v>
      </c>
      <c r="H141" s="46">
        <v>19599</v>
      </c>
      <c r="I141" s="46">
        <v>19599</v>
      </c>
      <c r="J141" s="45">
        <v>19499</v>
      </c>
      <c r="K141" s="45">
        <v>19499</v>
      </c>
      <c r="L141" s="45">
        <v>19499</v>
      </c>
      <c r="M141" s="45">
        <v>19499</v>
      </c>
      <c r="N141" s="45">
        <v>19499</v>
      </c>
      <c r="O141" s="45">
        <v>19399</v>
      </c>
      <c r="P141" s="46">
        <v>19299</v>
      </c>
      <c r="Q141" s="46">
        <v>18599</v>
      </c>
      <c r="R141" s="45">
        <v>19399</v>
      </c>
      <c r="S141" s="45">
        <v>19299</v>
      </c>
      <c r="T141" s="46">
        <v>18599</v>
      </c>
      <c r="U141" s="46">
        <v>18599</v>
      </c>
      <c r="V141" s="46">
        <v>18599</v>
      </c>
      <c r="W141" s="46">
        <v>18599</v>
      </c>
      <c r="X141" s="46">
        <v>18499</v>
      </c>
      <c r="Y141" s="46">
        <v>17999</v>
      </c>
      <c r="Z141" s="46">
        <v>17999</v>
      </c>
      <c r="AA141" s="46">
        <v>17999</v>
      </c>
      <c r="AB141" s="45">
        <v>19499</v>
      </c>
      <c r="AC141" s="45">
        <v>19499</v>
      </c>
      <c r="AD141" s="45">
        <v>19499</v>
      </c>
      <c r="AE141" s="45">
        <v>19499</v>
      </c>
      <c r="AF141" s="45">
        <v>19399</v>
      </c>
      <c r="AG141" s="45">
        <v>19299</v>
      </c>
      <c r="AH141" s="45">
        <v>18599</v>
      </c>
      <c r="AI141" s="45">
        <v>18599</v>
      </c>
      <c r="AJ141" s="45">
        <v>18599</v>
      </c>
      <c r="AK141" s="45">
        <v>18599</v>
      </c>
      <c r="AL141" s="45">
        <v>17999</v>
      </c>
      <c r="AM141" s="45"/>
      <c r="AN141" s="45"/>
      <c r="AO141" s="45"/>
      <c r="AP141" s="45"/>
      <c r="AQ141" s="45"/>
      <c r="AR141" s="45"/>
      <c r="AS141" s="45"/>
      <c r="AT141" s="45"/>
      <c r="AU141" s="45"/>
      <c r="AV141" s="47"/>
      <c r="AW141" s="48" t="s">
        <v>67</v>
      </c>
      <c r="AX141" s="49" t="s">
        <v>68</v>
      </c>
      <c r="AY141" s="55">
        <f t="shared" si="3"/>
        <v>395.89979999999997</v>
      </c>
      <c r="AZ141" s="55">
        <f t="shared" si="4"/>
        <v>356.70179999999999</v>
      </c>
      <c r="BA141" s="56">
        <f t="shared" si="5"/>
        <v>201.86969999999999</v>
      </c>
    </row>
    <row r="142" spans="1:53" ht="22.5" customHeight="1">
      <c r="A142" s="41" t="s">
        <v>63</v>
      </c>
      <c r="B142" s="42" t="s">
        <v>64</v>
      </c>
      <c r="C142" s="43">
        <v>4018361</v>
      </c>
      <c r="D142" s="44" t="s">
        <v>235</v>
      </c>
      <c r="E142" s="44" t="s">
        <v>236</v>
      </c>
      <c r="F142" s="45">
        <v>23499</v>
      </c>
      <c r="G142" s="45">
        <v>19699</v>
      </c>
      <c r="H142" s="46">
        <v>20899</v>
      </c>
      <c r="I142" s="46">
        <v>20899</v>
      </c>
      <c r="J142" s="45">
        <v>20799</v>
      </c>
      <c r="K142" s="45">
        <v>20799</v>
      </c>
      <c r="L142" s="45">
        <v>20799</v>
      </c>
      <c r="M142" s="45">
        <v>20799</v>
      </c>
      <c r="N142" s="45">
        <v>20799</v>
      </c>
      <c r="O142" s="45">
        <v>20699</v>
      </c>
      <c r="P142" s="46">
        <v>20599</v>
      </c>
      <c r="Q142" s="46">
        <v>19799</v>
      </c>
      <c r="R142" s="45">
        <v>20699</v>
      </c>
      <c r="S142" s="45">
        <v>20599</v>
      </c>
      <c r="T142" s="46">
        <v>19799</v>
      </c>
      <c r="U142" s="46">
        <v>19799</v>
      </c>
      <c r="V142" s="46">
        <v>19799</v>
      </c>
      <c r="W142" s="46">
        <v>19799</v>
      </c>
      <c r="X142" s="46">
        <v>19699</v>
      </c>
      <c r="Y142" s="46">
        <v>19699</v>
      </c>
      <c r="Z142" s="46">
        <v>19699</v>
      </c>
      <c r="AA142" s="46">
        <v>19499</v>
      </c>
      <c r="AB142" s="45">
        <v>20799</v>
      </c>
      <c r="AC142" s="45">
        <v>20799</v>
      </c>
      <c r="AD142" s="45">
        <v>20799</v>
      </c>
      <c r="AE142" s="45">
        <v>20799</v>
      </c>
      <c r="AF142" s="45">
        <v>20699</v>
      </c>
      <c r="AG142" s="45">
        <v>20599</v>
      </c>
      <c r="AH142" s="45">
        <v>19799</v>
      </c>
      <c r="AI142" s="45">
        <v>19799</v>
      </c>
      <c r="AJ142" s="45">
        <v>19799</v>
      </c>
      <c r="AK142" s="45">
        <v>19799</v>
      </c>
      <c r="AL142" s="45">
        <v>19699</v>
      </c>
      <c r="AM142" s="45"/>
      <c r="AN142" s="45"/>
      <c r="AO142" s="45"/>
      <c r="AP142" s="45"/>
      <c r="AQ142" s="45"/>
      <c r="AR142" s="45"/>
      <c r="AS142" s="45"/>
      <c r="AT142" s="45"/>
      <c r="AU142" s="45"/>
      <c r="AV142" s="47"/>
      <c r="AW142" s="48" t="s">
        <v>67</v>
      </c>
      <c r="AX142" s="49" t="s">
        <v>68</v>
      </c>
      <c r="AY142" s="55">
        <f t="shared" si="3"/>
        <v>422.15979999999996</v>
      </c>
      <c r="AZ142" s="55">
        <f t="shared" si="4"/>
        <v>380.36180000000002</v>
      </c>
      <c r="BA142" s="56">
        <f t="shared" si="5"/>
        <v>215.25970000000001</v>
      </c>
    </row>
    <row r="143" spans="1:53" ht="22.5" customHeight="1">
      <c r="A143" s="41" t="s">
        <v>63</v>
      </c>
      <c r="B143" s="42" t="s">
        <v>64</v>
      </c>
      <c r="C143" s="43">
        <v>4018364</v>
      </c>
      <c r="D143" s="44" t="s">
        <v>235</v>
      </c>
      <c r="E143" s="44" t="s">
        <v>237</v>
      </c>
      <c r="F143" s="45">
        <v>23499</v>
      </c>
      <c r="G143" s="45">
        <v>19699</v>
      </c>
      <c r="H143" s="46">
        <v>20899</v>
      </c>
      <c r="I143" s="46">
        <v>20899</v>
      </c>
      <c r="J143" s="45">
        <v>20799</v>
      </c>
      <c r="K143" s="45">
        <v>20799</v>
      </c>
      <c r="L143" s="45">
        <v>20799</v>
      </c>
      <c r="M143" s="45">
        <v>20799</v>
      </c>
      <c r="N143" s="45">
        <v>20799</v>
      </c>
      <c r="O143" s="45">
        <v>20699</v>
      </c>
      <c r="P143" s="46">
        <v>20599</v>
      </c>
      <c r="Q143" s="46">
        <v>19799</v>
      </c>
      <c r="R143" s="45">
        <v>20699</v>
      </c>
      <c r="S143" s="45">
        <v>20599</v>
      </c>
      <c r="T143" s="46">
        <v>19799</v>
      </c>
      <c r="U143" s="46">
        <v>19799</v>
      </c>
      <c r="V143" s="46">
        <v>19799</v>
      </c>
      <c r="W143" s="46">
        <v>19799</v>
      </c>
      <c r="X143" s="46">
        <v>19699</v>
      </c>
      <c r="Y143" s="46">
        <v>19699</v>
      </c>
      <c r="Z143" s="46">
        <v>19699</v>
      </c>
      <c r="AA143" s="46">
        <v>19499</v>
      </c>
      <c r="AB143" s="45">
        <v>20799</v>
      </c>
      <c r="AC143" s="45">
        <v>20799</v>
      </c>
      <c r="AD143" s="45">
        <v>20799</v>
      </c>
      <c r="AE143" s="45">
        <v>20799</v>
      </c>
      <c r="AF143" s="45">
        <v>20699</v>
      </c>
      <c r="AG143" s="45">
        <v>20599</v>
      </c>
      <c r="AH143" s="45">
        <v>19799</v>
      </c>
      <c r="AI143" s="45">
        <v>19799</v>
      </c>
      <c r="AJ143" s="45">
        <v>19799</v>
      </c>
      <c r="AK143" s="45">
        <v>19799</v>
      </c>
      <c r="AL143" s="45">
        <v>19699</v>
      </c>
      <c r="AM143" s="45"/>
      <c r="AN143" s="45"/>
      <c r="AO143" s="45"/>
      <c r="AP143" s="45"/>
      <c r="AQ143" s="45"/>
      <c r="AR143" s="45"/>
      <c r="AS143" s="45"/>
      <c r="AT143" s="45"/>
      <c r="AU143" s="45"/>
      <c r="AV143" s="47"/>
      <c r="AW143" s="48" t="s">
        <v>67</v>
      </c>
      <c r="AX143" s="49" t="s">
        <v>68</v>
      </c>
      <c r="AY143" s="55">
        <f t="shared" si="3"/>
        <v>422.15979999999996</v>
      </c>
      <c r="AZ143" s="55">
        <f t="shared" si="4"/>
        <v>380.36180000000002</v>
      </c>
      <c r="BA143" s="56">
        <f t="shared" si="5"/>
        <v>215.25970000000001</v>
      </c>
    </row>
    <row r="144" spans="1:53" ht="22.5" customHeight="1">
      <c r="A144" s="41" t="s">
        <v>63</v>
      </c>
      <c r="B144" s="42" t="s">
        <v>64</v>
      </c>
      <c r="C144" s="43">
        <v>4017020</v>
      </c>
      <c r="D144" s="44" t="s">
        <v>238</v>
      </c>
      <c r="E144" s="44" t="s">
        <v>239</v>
      </c>
      <c r="F144" s="45">
        <v>4999</v>
      </c>
      <c r="G144" s="45">
        <v>2399</v>
      </c>
      <c r="H144" s="46">
        <v>3399</v>
      </c>
      <c r="I144" s="46">
        <v>3399</v>
      </c>
      <c r="J144" s="46">
        <v>2499</v>
      </c>
      <c r="K144" s="46">
        <v>2299</v>
      </c>
      <c r="L144" s="46">
        <v>2299</v>
      </c>
      <c r="M144" s="46">
        <v>2499</v>
      </c>
      <c r="N144" s="46">
        <v>2299</v>
      </c>
      <c r="O144" s="46">
        <v>2199</v>
      </c>
      <c r="P144" s="46">
        <v>2099</v>
      </c>
      <c r="Q144" s="46">
        <v>1799</v>
      </c>
      <c r="R144" s="46">
        <v>2199</v>
      </c>
      <c r="S144" s="46">
        <v>2099</v>
      </c>
      <c r="T144" s="46">
        <v>1799</v>
      </c>
      <c r="U144" s="46">
        <v>1799</v>
      </c>
      <c r="V144" s="46">
        <v>1799</v>
      </c>
      <c r="W144" s="46">
        <v>1799</v>
      </c>
      <c r="X144" s="46">
        <v>1699</v>
      </c>
      <c r="Y144" s="46">
        <v>1299</v>
      </c>
      <c r="Z144" s="46">
        <v>1299</v>
      </c>
      <c r="AA144" s="46">
        <v>1299</v>
      </c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7"/>
      <c r="AW144" s="48" t="s">
        <v>67</v>
      </c>
      <c r="AX144" s="49" t="s">
        <v>68</v>
      </c>
      <c r="AY144" s="50">
        <f t="shared" si="3"/>
        <v>68.659800000000004</v>
      </c>
      <c r="AZ144" s="50">
        <f t="shared" si="4"/>
        <v>61.861800000000002</v>
      </c>
      <c r="BA144" s="51">
        <f t="shared" si="5"/>
        <v>35.009700000000002</v>
      </c>
    </row>
    <row r="145" spans="1:53" ht="22.5" customHeight="1">
      <c r="A145" s="41" t="s">
        <v>63</v>
      </c>
      <c r="B145" s="42" t="s">
        <v>64</v>
      </c>
      <c r="C145" s="43">
        <v>4017022</v>
      </c>
      <c r="D145" s="44" t="s">
        <v>238</v>
      </c>
      <c r="E145" s="44" t="s">
        <v>240</v>
      </c>
      <c r="F145" s="45">
        <v>4999</v>
      </c>
      <c r="G145" s="45">
        <v>2399</v>
      </c>
      <c r="H145" s="46">
        <v>3399</v>
      </c>
      <c r="I145" s="46">
        <v>3399</v>
      </c>
      <c r="J145" s="46">
        <v>2499</v>
      </c>
      <c r="K145" s="46">
        <v>2299</v>
      </c>
      <c r="L145" s="46">
        <v>2299</v>
      </c>
      <c r="M145" s="46">
        <v>2499</v>
      </c>
      <c r="N145" s="46">
        <v>2299</v>
      </c>
      <c r="O145" s="46">
        <v>2199</v>
      </c>
      <c r="P145" s="46">
        <v>2099</v>
      </c>
      <c r="Q145" s="46">
        <v>1799</v>
      </c>
      <c r="R145" s="46">
        <v>2199</v>
      </c>
      <c r="S145" s="46">
        <v>2099</v>
      </c>
      <c r="T145" s="46">
        <v>1799</v>
      </c>
      <c r="U145" s="46">
        <v>1799</v>
      </c>
      <c r="V145" s="46">
        <v>1799</v>
      </c>
      <c r="W145" s="46">
        <v>1799</v>
      </c>
      <c r="X145" s="46">
        <v>1699</v>
      </c>
      <c r="Y145" s="46">
        <v>1299</v>
      </c>
      <c r="Z145" s="46">
        <v>1299</v>
      </c>
      <c r="AA145" s="46">
        <v>1299</v>
      </c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7"/>
      <c r="AW145" s="48" t="s">
        <v>67</v>
      </c>
      <c r="AX145" s="49" t="s">
        <v>68</v>
      </c>
      <c r="AY145" s="50">
        <f t="shared" si="3"/>
        <v>68.659800000000004</v>
      </c>
      <c r="AZ145" s="50">
        <f t="shared" si="4"/>
        <v>61.861800000000002</v>
      </c>
      <c r="BA145" s="51">
        <f t="shared" si="5"/>
        <v>35.009700000000002</v>
      </c>
    </row>
    <row r="146" spans="1:53" ht="22.5" customHeight="1">
      <c r="A146" s="41" t="s">
        <v>63</v>
      </c>
      <c r="B146" s="42" t="s">
        <v>64</v>
      </c>
      <c r="C146" s="43">
        <v>4017045</v>
      </c>
      <c r="D146" s="44" t="s">
        <v>241</v>
      </c>
      <c r="E146" s="44" t="s">
        <v>242</v>
      </c>
      <c r="F146" s="45">
        <v>3199</v>
      </c>
      <c r="G146" s="46">
        <v>999</v>
      </c>
      <c r="H146" s="46">
        <v>1919</v>
      </c>
      <c r="I146" s="46">
        <v>1919</v>
      </c>
      <c r="J146" s="46">
        <v>1499</v>
      </c>
      <c r="K146" s="46">
        <v>1499</v>
      </c>
      <c r="L146" s="46">
        <v>1499</v>
      </c>
      <c r="M146" s="46">
        <v>1499</v>
      </c>
      <c r="N146" s="46">
        <v>1499</v>
      </c>
      <c r="O146" s="46">
        <v>1449</v>
      </c>
      <c r="P146" s="46">
        <v>1399</v>
      </c>
      <c r="Q146" s="46">
        <v>799</v>
      </c>
      <c r="R146" s="46">
        <v>1449</v>
      </c>
      <c r="S146" s="46">
        <v>1399</v>
      </c>
      <c r="T146" s="46">
        <v>799</v>
      </c>
      <c r="U146" s="46">
        <v>799</v>
      </c>
      <c r="V146" s="46">
        <v>799</v>
      </c>
      <c r="W146" s="46">
        <v>799</v>
      </c>
      <c r="X146" s="46">
        <v>799</v>
      </c>
      <c r="Y146" s="46">
        <v>699</v>
      </c>
      <c r="Z146" s="46">
        <v>699</v>
      </c>
      <c r="AA146" s="46">
        <v>699</v>
      </c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7"/>
      <c r="AW146" s="48" t="s">
        <v>67</v>
      </c>
      <c r="AX146" s="49" t="s">
        <v>68</v>
      </c>
      <c r="AY146" s="50">
        <f t="shared" si="3"/>
        <v>38.763799999999996</v>
      </c>
      <c r="AZ146" s="50">
        <f t="shared" si="4"/>
        <v>34.925800000000002</v>
      </c>
      <c r="BA146" s="51">
        <f t="shared" si="5"/>
        <v>19.765699999999999</v>
      </c>
    </row>
    <row r="147" spans="1:53" ht="22.5" customHeight="1">
      <c r="A147" s="41" t="s">
        <v>63</v>
      </c>
      <c r="B147" s="42" t="s">
        <v>64</v>
      </c>
      <c r="C147" s="43">
        <v>4017047</v>
      </c>
      <c r="D147" s="44" t="s">
        <v>241</v>
      </c>
      <c r="E147" s="44" t="s">
        <v>243</v>
      </c>
      <c r="F147" s="45">
        <v>3199</v>
      </c>
      <c r="G147" s="46">
        <v>999</v>
      </c>
      <c r="H147" s="46">
        <v>1919</v>
      </c>
      <c r="I147" s="46">
        <v>1919</v>
      </c>
      <c r="J147" s="46">
        <v>1499</v>
      </c>
      <c r="K147" s="46">
        <v>1499</v>
      </c>
      <c r="L147" s="46">
        <v>1499</v>
      </c>
      <c r="M147" s="46">
        <v>1499</v>
      </c>
      <c r="N147" s="46">
        <v>1499</v>
      </c>
      <c r="O147" s="46">
        <v>1449</v>
      </c>
      <c r="P147" s="46">
        <v>1399</v>
      </c>
      <c r="Q147" s="46">
        <v>799</v>
      </c>
      <c r="R147" s="46">
        <v>1449</v>
      </c>
      <c r="S147" s="46">
        <v>1399</v>
      </c>
      <c r="T147" s="46">
        <v>799</v>
      </c>
      <c r="U147" s="46">
        <v>799</v>
      </c>
      <c r="V147" s="46">
        <v>799</v>
      </c>
      <c r="W147" s="46">
        <v>799</v>
      </c>
      <c r="X147" s="46">
        <v>799</v>
      </c>
      <c r="Y147" s="46">
        <v>699</v>
      </c>
      <c r="Z147" s="46">
        <v>699</v>
      </c>
      <c r="AA147" s="46">
        <v>699</v>
      </c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7"/>
      <c r="AW147" s="48" t="s">
        <v>67</v>
      </c>
      <c r="AX147" s="49" t="s">
        <v>68</v>
      </c>
      <c r="AY147" s="50">
        <f t="shared" si="3"/>
        <v>38.763799999999996</v>
      </c>
      <c r="AZ147" s="50">
        <f t="shared" si="4"/>
        <v>34.925800000000002</v>
      </c>
      <c r="BA147" s="51">
        <f t="shared" si="5"/>
        <v>19.765699999999999</v>
      </c>
    </row>
    <row r="148" spans="1:53" ht="22.5" customHeight="1">
      <c r="A148" s="41" t="s">
        <v>63</v>
      </c>
      <c r="B148" s="42" t="s">
        <v>64</v>
      </c>
      <c r="C148" s="43">
        <v>4017758</v>
      </c>
      <c r="D148" s="52" t="s">
        <v>244</v>
      </c>
      <c r="E148" s="44" t="s">
        <v>245</v>
      </c>
      <c r="F148" s="45">
        <v>3999</v>
      </c>
      <c r="G148" s="45">
        <v>1999</v>
      </c>
      <c r="H148" s="54">
        <v>2499</v>
      </c>
      <c r="I148" s="54">
        <v>2499</v>
      </c>
      <c r="J148" s="54">
        <v>2399</v>
      </c>
      <c r="K148" s="54">
        <v>2399</v>
      </c>
      <c r="L148" s="54">
        <v>2399</v>
      </c>
      <c r="M148" s="54">
        <v>2399</v>
      </c>
      <c r="N148" s="54">
        <v>2399</v>
      </c>
      <c r="O148" s="54">
        <v>2299</v>
      </c>
      <c r="P148" s="54">
        <v>2199</v>
      </c>
      <c r="Q148" s="54">
        <v>1699</v>
      </c>
      <c r="R148" s="54">
        <v>2299</v>
      </c>
      <c r="S148" s="54">
        <v>2199</v>
      </c>
      <c r="T148" s="54">
        <v>1699</v>
      </c>
      <c r="U148" s="54">
        <v>1699</v>
      </c>
      <c r="V148" s="54">
        <v>1699</v>
      </c>
      <c r="W148" s="54">
        <v>1699</v>
      </c>
      <c r="X148" s="54">
        <v>1599</v>
      </c>
      <c r="Y148" s="54">
        <v>1299</v>
      </c>
      <c r="Z148" s="54">
        <v>1299</v>
      </c>
      <c r="AA148" s="54">
        <v>1199</v>
      </c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7"/>
      <c r="AW148" s="48" t="s">
        <v>67</v>
      </c>
      <c r="AX148" s="49" t="s">
        <v>68</v>
      </c>
      <c r="AY148" s="55">
        <f t="shared" si="3"/>
        <v>50.479799999999997</v>
      </c>
      <c r="AZ148" s="55">
        <f t="shared" si="4"/>
        <v>45.4818</v>
      </c>
      <c r="BA148" s="56">
        <f t="shared" si="5"/>
        <v>25.739699999999999</v>
      </c>
    </row>
    <row r="149" spans="1:53" ht="22.5" customHeight="1">
      <c r="A149" s="41" t="s">
        <v>63</v>
      </c>
      <c r="B149" s="42" t="s">
        <v>64</v>
      </c>
      <c r="C149" s="43">
        <v>4017773</v>
      </c>
      <c r="D149" s="52" t="s">
        <v>244</v>
      </c>
      <c r="E149" s="44" t="s">
        <v>246</v>
      </c>
      <c r="F149" s="45">
        <v>3999</v>
      </c>
      <c r="G149" s="45">
        <v>1999</v>
      </c>
      <c r="H149" s="54">
        <v>2499</v>
      </c>
      <c r="I149" s="54">
        <v>2499</v>
      </c>
      <c r="J149" s="54">
        <v>2399</v>
      </c>
      <c r="K149" s="54">
        <v>2399</v>
      </c>
      <c r="L149" s="54">
        <v>2399</v>
      </c>
      <c r="M149" s="54">
        <v>2399</v>
      </c>
      <c r="N149" s="54">
        <v>2399</v>
      </c>
      <c r="O149" s="54">
        <v>2299</v>
      </c>
      <c r="P149" s="54">
        <v>2199</v>
      </c>
      <c r="Q149" s="54">
        <v>1699</v>
      </c>
      <c r="R149" s="54">
        <v>2299</v>
      </c>
      <c r="S149" s="54">
        <v>2199</v>
      </c>
      <c r="T149" s="54">
        <v>1699</v>
      </c>
      <c r="U149" s="54">
        <v>1699</v>
      </c>
      <c r="V149" s="54">
        <v>1699</v>
      </c>
      <c r="W149" s="54">
        <v>1699</v>
      </c>
      <c r="X149" s="54">
        <v>1599</v>
      </c>
      <c r="Y149" s="54">
        <v>1299</v>
      </c>
      <c r="Z149" s="54">
        <v>1299</v>
      </c>
      <c r="AA149" s="54">
        <v>1199</v>
      </c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7"/>
      <c r="AW149" s="48" t="s">
        <v>67</v>
      </c>
      <c r="AX149" s="49" t="s">
        <v>68</v>
      </c>
      <c r="AY149" s="55">
        <f t="shared" si="3"/>
        <v>50.479799999999997</v>
      </c>
      <c r="AZ149" s="55">
        <f t="shared" si="4"/>
        <v>45.4818</v>
      </c>
      <c r="BA149" s="56">
        <f t="shared" si="5"/>
        <v>25.739699999999999</v>
      </c>
    </row>
    <row r="150" spans="1:53" ht="22.5" customHeight="1">
      <c r="A150" s="57" t="s">
        <v>247</v>
      </c>
      <c r="B150" s="42" t="s">
        <v>64</v>
      </c>
      <c r="C150" s="43">
        <v>4017737</v>
      </c>
      <c r="D150" s="52" t="s">
        <v>248</v>
      </c>
      <c r="E150" s="44" t="s">
        <v>249</v>
      </c>
      <c r="F150" s="45">
        <v>2299</v>
      </c>
      <c r="G150" s="54">
        <v>1499</v>
      </c>
      <c r="H150" s="54">
        <v>1499</v>
      </c>
      <c r="I150" s="54">
        <v>1499</v>
      </c>
      <c r="J150" s="45">
        <v>1399</v>
      </c>
      <c r="K150" s="54">
        <v>1299</v>
      </c>
      <c r="L150" s="54">
        <v>1299</v>
      </c>
      <c r="M150" s="45">
        <v>1399</v>
      </c>
      <c r="N150" s="54">
        <v>1299</v>
      </c>
      <c r="O150" s="54">
        <v>1249</v>
      </c>
      <c r="P150" s="54">
        <v>1199</v>
      </c>
      <c r="Q150" s="54">
        <v>999</v>
      </c>
      <c r="R150" s="54">
        <v>1249</v>
      </c>
      <c r="S150" s="54">
        <v>1199</v>
      </c>
      <c r="T150" s="54">
        <v>999</v>
      </c>
      <c r="U150" s="54">
        <v>999</v>
      </c>
      <c r="V150" s="54">
        <v>999</v>
      </c>
      <c r="W150" s="54">
        <v>999</v>
      </c>
      <c r="X150" s="54">
        <v>999</v>
      </c>
      <c r="Y150" s="54">
        <v>999</v>
      </c>
      <c r="Z150" s="54">
        <v>999</v>
      </c>
      <c r="AA150" s="54">
        <v>999</v>
      </c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7"/>
      <c r="AW150" s="48" t="s">
        <v>67</v>
      </c>
      <c r="AX150" s="49" t="s">
        <v>68</v>
      </c>
      <c r="AY150" s="50">
        <f t="shared" si="3"/>
        <v>30.279799999999998</v>
      </c>
      <c r="AZ150" s="50">
        <f t="shared" si="4"/>
        <v>27.2818</v>
      </c>
      <c r="BA150" s="51">
        <f t="shared" si="5"/>
        <v>15.4397</v>
      </c>
    </row>
    <row r="151" spans="1:53" ht="22.5" customHeight="1">
      <c r="A151" s="57" t="s">
        <v>247</v>
      </c>
      <c r="B151" s="42" t="s">
        <v>64</v>
      </c>
      <c r="C151" s="43">
        <v>4017770</v>
      </c>
      <c r="D151" s="52" t="s">
        <v>248</v>
      </c>
      <c r="E151" s="44" t="s">
        <v>250</v>
      </c>
      <c r="F151" s="45">
        <v>2299</v>
      </c>
      <c r="G151" s="54">
        <v>1499</v>
      </c>
      <c r="H151" s="54">
        <v>1499</v>
      </c>
      <c r="I151" s="54">
        <v>1499</v>
      </c>
      <c r="J151" s="45">
        <v>1399</v>
      </c>
      <c r="K151" s="54">
        <v>1299</v>
      </c>
      <c r="L151" s="54">
        <v>1299</v>
      </c>
      <c r="M151" s="45">
        <v>1399</v>
      </c>
      <c r="N151" s="54">
        <v>1299</v>
      </c>
      <c r="O151" s="54">
        <v>1249</v>
      </c>
      <c r="P151" s="54">
        <v>1199</v>
      </c>
      <c r="Q151" s="54">
        <v>999</v>
      </c>
      <c r="R151" s="54">
        <v>1249</v>
      </c>
      <c r="S151" s="54">
        <v>1199</v>
      </c>
      <c r="T151" s="54">
        <v>999</v>
      </c>
      <c r="U151" s="54">
        <v>999</v>
      </c>
      <c r="V151" s="54">
        <v>999</v>
      </c>
      <c r="W151" s="54">
        <v>999</v>
      </c>
      <c r="X151" s="54">
        <v>999</v>
      </c>
      <c r="Y151" s="54">
        <v>999</v>
      </c>
      <c r="Z151" s="54">
        <v>999</v>
      </c>
      <c r="AA151" s="54">
        <v>999</v>
      </c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7"/>
      <c r="AW151" s="48" t="s">
        <v>67</v>
      </c>
      <c r="AX151" s="49" t="s">
        <v>68</v>
      </c>
      <c r="AY151" s="50">
        <f t="shared" si="3"/>
        <v>30.279799999999998</v>
      </c>
      <c r="AZ151" s="50">
        <f t="shared" si="4"/>
        <v>27.2818</v>
      </c>
      <c r="BA151" s="51">
        <f t="shared" si="5"/>
        <v>15.4397</v>
      </c>
    </row>
    <row r="152" spans="1:53" ht="22.5" customHeight="1">
      <c r="A152" s="57" t="s">
        <v>247</v>
      </c>
      <c r="B152" s="42" t="s">
        <v>64</v>
      </c>
      <c r="C152" s="43">
        <v>4018220</v>
      </c>
      <c r="D152" s="52" t="s">
        <v>251</v>
      </c>
      <c r="E152" s="44" t="s">
        <v>252</v>
      </c>
      <c r="F152" s="45">
        <v>1699</v>
      </c>
      <c r="G152" s="54">
        <v>1199</v>
      </c>
      <c r="H152" s="54">
        <v>1199</v>
      </c>
      <c r="I152" s="54">
        <v>1199</v>
      </c>
      <c r="J152" s="54">
        <v>1099</v>
      </c>
      <c r="K152" s="45">
        <v>999</v>
      </c>
      <c r="L152" s="45">
        <v>999</v>
      </c>
      <c r="M152" s="54">
        <v>1099</v>
      </c>
      <c r="N152" s="45">
        <v>999</v>
      </c>
      <c r="O152" s="45">
        <v>899</v>
      </c>
      <c r="P152" s="54">
        <v>799</v>
      </c>
      <c r="Q152" s="54">
        <v>699</v>
      </c>
      <c r="R152" s="45">
        <v>899</v>
      </c>
      <c r="S152" s="54">
        <v>799</v>
      </c>
      <c r="T152" s="54">
        <v>699</v>
      </c>
      <c r="U152" s="54">
        <v>699</v>
      </c>
      <c r="V152" s="54">
        <v>699</v>
      </c>
      <c r="W152" s="54">
        <v>699</v>
      </c>
      <c r="X152" s="54">
        <v>649</v>
      </c>
      <c r="Y152" s="54">
        <v>599</v>
      </c>
      <c r="Z152" s="54">
        <v>599</v>
      </c>
      <c r="AA152" s="54">
        <v>599</v>
      </c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7"/>
      <c r="AW152" s="48" t="s">
        <v>67</v>
      </c>
      <c r="AX152" s="49" t="s">
        <v>253</v>
      </c>
      <c r="AY152" s="55">
        <f t="shared" si="3"/>
        <v>24.219799999999999</v>
      </c>
      <c r="AZ152" s="55">
        <f t="shared" si="4"/>
        <v>21.8218</v>
      </c>
      <c r="BA152" s="56">
        <f t="shared" si="5"/>
        <v>12.3497</v>
      </c>
    </row>
    <row r="153" spans="1:53" ht="22.5" customHeight="1">
      <c r="A153" s="57" t="s">
        <v>247</v>
      </c>
      <c r="B153" s="42" t="s">
        <v>64</v>
      </c>
      <c r="C153" s="43">
        <v>4018221</v>
      </c>
      <c r="D153" s="52" t="s">
        <v>251</v>
      </c>
      <c r="E153" s="44" t="s">
        <v>254</v>
      </c>
      <c r="F153" s="45">
        <v>1699</v>
      </c>
      <c r="G153" s="54">
        <v>1199</v>
      </c>
      <c r="H153" s="54">
        <v>1199</v>
      </c>
      <c r="I153" s="54">
        <v>1199</v>
      </c>
      <c r="J153" s="54">
        <v>1099</v>
      </c>
      <c r="K153" s="45">
        <v>999</v>
      </c>
      <c r="L153" s="45">
        <v>999</v>
      </c>
      <c r="M153" s="54">
        <v>1099</v>
      </c>
      <c r="N153" s="45">
        <v>999</v>
      </c>
      <c r="O153" s="45">
        <v>899</v>
      </c>
      <c r="P153" s="54">
        <v>799</v>
      </c>
      <c r="Q153" s="54">
        <v>699</v>
      </c>
      <c r="R153" s="45">
        <v>899</v>
      </c>
      <c r="S153" s="54">
        <v>799</v>
      </c>
      <c r="T153" s="54">
        <v>699</v>
      </c>
      <c r="U153" s="54">
        <v>699</v>
      </c>
      <c r="V153" s="54">
        <v>699</v>
      </c>
      <c r="W153" s="54">
        <v>699</v>
      </c>
      <c r="X153" s="54">
        <v>649</v>
      </c>
      <c r="Y153" s="54">
        <v>599</v>
      </c>
      <c r="Z153" s="54">
        <v>599</v>
      </c>
      <c r="AA153" s="54">
        <v>599</v>
      </c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7"/>
      <c r="AW153" s="48" t="s">
        <v>67</v>
      </c>
      <c r="AX153" s="49" t="s">
        <v>253</v>
      </c>
      <c r="AY153" s="55">
        <f t="shared" si="3"/>
        <v>24.219799999999999</v>
      </c>
      <c r="AZ153" s="55">
        <f t="shared" si="4"/>
        <v>21.8218</v>
      </c>
      <c r="BA153" s="56">
        <f t="shared" si="5"/>
        <v>12.3497</v>
      </c>
    </row>
    <row r="154" spans="1:53" ht="22.5" customHeight="1">
      <c r="A154" s="57" t="s">
        <v>247</v>
      </c>
      <c r="B154" s="42" t="s">
        <v>64</v>
      </c>
      <c r="C154" s="43">
        <v>4017200</v>
      </c>
      <c r="D154" s="44" t="s">
        <v>255</v>
      </c>
      <c r="E154" s="44" t="s">
        <v>256</v>
      </c>
      <c r="F154" s="45">
        <v>2099</v>
      </c>
      <c r="G154" s="45">
        <v>1419</v>
      </c>
      <c r="H154" s="45">
        <v>1419</v>
      </c>
      <c r="I154" s="45">
        <v>1419</v>
      </c>
      <c r="J154" s="45">
        <v>1299</v>
      </c>
      <c r="K154" s="45">
        <v>999</v>
      </c>
      <c r="L154" s="45">
        <v>999</v>
      </c>
      <c r="M154" s="45">
        <v>1299</v>
      </c>
      <c r="N154" s="45">
        <v>999</v>
      </c>
      <c r="O154" s="45">
        <v>999</v>
      </c>
      <c r="P154" s="45">
        <v>999</v>
      </c>
      <c r="Q154" s="45">
        <v>899</v>
      </c>
      <c r="R154" s="45">
        <v>999</v>
      </c>
      <c r="S154" s="45">
        <v>999</v>
      </c>
      <c r="T154" s="45">
        <v>899</v>
      </c>
      <c r="U154" s="45">
        <v>899</v>
      </c>
      <c r="V154" s="45">
        <v>899</v>
      </c>
      <c r="W154" s="45">
        <v>899</v>
      </c>
      <c r="X154" s="45">
        <v>899</v>
      </c>
      <c r="Y154" s="45">
        <v>899</v>
      </c>
      <c r="Z154" s="45">
        <v>899</v>
      </c>
      <c r="AA154" s="45">
        <v>899</v>
      </c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7"/>
      <c r="AW154" s="48" t="s">
        <v>67</v>
      </c>
      <c r="AX154" s="49" t="s">
        <v>68</v>
      </c>
      <c r="AY154" s="55">
        <f t="shared" si="3"/>
        <v>28.663799999999998</v>
      </c>
      <c r="AZ154" s="55">
        <f t="shared" si="4"/>
        <v>25.825800000000001</v>
      </c>
      <c r="BA154" s="56">
        <f t="shared" si="5"/>
        <v>14.6157</v>
      </c>
    </row>
    <row r="155" spans="1:53" ht="22.5" customHeight="1">
      <c r="A155" s="57" t="s">
        <v>247</v>
      </c>
      <c r="B155" s="42" t="s">
        <v>64</v>
      </c>
      <c r="C155" s="43">
        <v>4018137</v>
      </c>
      <c r="D155" s="52" t="s">
        <v>257</v>
      </c>
      <c r="E155" s="44" t="s">
        <v>258</v>
      </c>
      <c r="F155" s="45">
        <v>2799</v>
      </c>
      <c r="G155" s="54">
        <v>1899</v>
      </c>
      <c r="H155" s="54">
        <v>1899</v>
      </c>
      <c r="I155" s="54">
        <v>1899</v>
      </c>
      <c r="J155" s="54">
        <v>1799</v>
      </c>
      <c r="K155" s="54">
        <v>1799</v>
      </c>
      <c r="L155" s="54">
        <v>1799</v>
      </c>
      <c r="M155" s="54">
        <v>1799</v>
      </c>
      <c r="N155" s="54">
        <v>1799</v>
      </c>
      <c r="O155" s="54">
        <v>1699</v>
      </c>
      <c r="P155" s="54">
        <v>1599</v>
      </c>
      <c r="Q155" s="54">
        <v>1399</v>
      </c>
      <c r="R155" s="54">
        <v>1699</v>
      </c>
      <c r="S155" s="54">
        <v>1599</v>
      </c>
      <c r="T155" s="54">
        <v>1399</v>
      </c>
      <c r="U155" s="54">
        <v>1399</v>
      </c>
      <c r="V155" s="54">
        <v>1399</v>
      </c>
      <c r="W155" s="54">
        <v>1399</v>
      </c>
      <c r="X155" s="54">
        <v>1299</v>
      </c>
      <c r="Y155" s="54">
        <v>1199</v>
      </c>
      <c r="Z155" s="54">
        <v>1199</v>
      </c>
      <c r="AA155" s="54">
        <v>1199</v>
      </c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7"/>
      <c r="AW155" s="48" t="s">
        <v>67</v>
      </c>
      <c r="AX155" s="49" t="s">
        <v>253</v>
      </c>
      <c r="AY155" s="55">
        <f t="shared" si="3"/>
        <v>38.3598</v>
      </c>
      <c r="AZ155" s="55">
        <f t="shared" si="4"/>
        <v>34.561800000000005</v>
      </c>
      <c r="BA155" s="56">
        <f t="shared" si="5"/>
        <v>19.559699999999999</v>
      </c>
    </row>
    <row r="156" spans="1:53" ht="22.5" customHeight="1">
      <c r="A156" s="57" t="s">
        <v>247</v>
      </c>
      <c r="B156" s="42" t="s">
        <v>64</v>
      </c>
      <c r="C156" s="43">
        <v>4018139</v>
      </c>
      <c r="D156" s="52" t="s">
        <v>257</v>
      </c>
      <c r="E156" s="44" t="s">
        <v>259</v>
      </c>
      <c r="F156" s="45">
        <v>2799</v>
      </c>
      <c r="G156" s="54">
        <v>1899</v>
      </c>
      <c r="H156" s="54">
        <v>1899</v>
      </c>
      <c r="I156" s="54">
        <v>1899</v>
      </c>
      <c r="J156" s="54">
        <v>1799</v>
      </c>
      <c r="K156" s="54">
        <v>1799</v>
      </c>
      <c r="L156" s="54">
        <v>1799</v>
      </c>
      <c r="M156" s="54">
        <v>1799</v>
      </c>
      <c r="N156" s="54">
        <v>1799</v>
      </c>
      <c r="O156" s="54">
        <v>1699</v>
      </c>
      <c r="P156" s="54">
        <v>1599</v>
      </c>
      <c r="Q156" s="54">
        <v>1399</v>
      </c>
      <c r="R156" s="54">
        <v>1699</v>
      </c>
      <c r="S156" s="54">
        <v>1599</v>
      </c>
      <c r="T156" s="54">
        <v>1399</v>
      </c>
      <c r="U156" s="54">
        <v>1399</v>
      </c>
      <c r="V156" s="54">
        <v>1399</v>
      </c>
      <c r="W156" s="54">
        <v>1399</v>
      </c>
      <c r="X156" s="54">
        <v>1299</v>
      </c>
      <c r="Y156" s="54">
        <v>1199</v>
      </c>
      <c r="Z156" s="54">
        <v>1199</v>
      </c>
      <c r="AA156" s="54">
        <v>1199</v>
      </c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7"/>
      <c r="AW156" s="48" t="s">
        <v>67</v>
      </c>
      <c r="AX156" s="49" t="s">
        <v>253</v>
      </c>
      <c r="AY156" s="55">
        <f t="shared" si="3"/>
        <v>38.3598</v>
      </c>
      <c r="AZ156" s="55">
        <f t="shared" si="4"/>
        <v>34.561800000000005</v>
      </c>
      <c r="BA156" s="56">
        <f t="shared" si="5"/>
        <v>19.559699999999999</v>
      </c>
    </row>
    <row r="157" spans="1:53" ht="22.5" customHeight="1">
      <c r="A157" s="41" t="s">
        <v>63</v>
      </c>
      <c r="B157" s="42" t="s">
        <v>64</v>
      </c>
      <c r="C157" s="43">
        <v>4018015</v>
      </c>
      <c r="D157" s="52" t="s">
        <v>260</v>
      </c>
      <c r="E157" s="44" t="s">
        <v>261</v>
      </c>
      <c r="F157" s="45">
        <v>7999</v>
      </c>
      <c r="G157" s="45">
        <v>4899</v>
      </c>
      <c r="H157" s="54">
        <v>4999</v>
      </c>
      <c r="I157" s="54">
        <v>4999</v>
      </c>
      <c r="J157" s="54">
        <v>4899</v>
      </c>
      <c r="K157" s="54">
        <v>4899</v>
      </c>
      <c r="L157" s="54">
        <v>4899</v>
      </c>
      <c r="M157" s="54">
        <v>4899</v>
      </c>
      <c r="N157" s="54">
        <v>4899</v>
      </c>
      <c r="O157" s="54">
        <v>4799</v>
      </c>
      <c r="P157" s="54">
        <v>4699</v>
      </c>
      <c r="Q157" s="54">
        <v>4499</v>
      </c>
      <c r="R157" s="54">
        <v>4799</v>
      </c>
      <c r="S157" s="54">
        <v>4699</v>
      </c>
      <c r="T157" s="54">
        <v>4499</v>
      </c>
      <c r="U157" s="54">
        <v>4499</v>
      </c>
      <c r="V157" s="54">
        <v>4499</v>
      </c>
      <c r="W157" s="54">
        <v>4499</v>
      </c>
      <c r="X157" s="54">
        <v>4399</v>
      </c>
      <c r="Y157" s="54">
        <v>3999</v>
      </c>
      <c r="Z157" s="54">
        <v>3999</v>
      </c>
      <c r="AA157" s="54">
        <v>3799</v>
      </c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7"/>
      <c r="AW157" s="48" t="s">
        <v>67</v>
      </c>
      <c r="AX157" s="49" t="s">
        <v>68</v>
      </c>
      <c r="AY157" s="55">
        <f t="shared" si="3"/>
        <v>100.9798</v>
      </c>
      <c r="AZ157" s="55">
        <f t="shared" si="4"/>
        <v>90.981800000000007</v>
      </c>
      <c r="BA157" s="56">
        <f t="shared" si="5"/>
        <v>51.489699999999999</v>
      </c>
    </row>
    <row r="158" spans="1:53" ht="22.5" customHeight="1">
      <c r="A158" s="41" t="s">
        <v>63</v>
      </c>
      <c r="B158" s="42" t="s">
        <v>64</v>
      </c>
      <c r="C158" s="43">
        <v>4018017</v>
      </c>
      <c r="D158" s="52" t="s">
        <v>260</v>
      </c>
      <c r="E158" s="44" t="s">
        <v>262</v>
      </c>
      <c r="F158" s="45">
        <v>7999</v>
      </c>
      <c r="G158" s="45">
        <v>4899</v>
      </c>
      <c r="H158" s="54">
        <v>4999</v>
      </c>
      <c r="I158" s="54">
        <v>4999</v>
      </c>
      <c r="J158" s="54">
        <v>4899</v>
      </c>
      <c r="K158" s="54">
        <v>4899</v>
      </c>
      <c r="L158" s="54">
        <v>4899</v>
      </c>
      <c r="M158" s="54">
        <v>4899</v>
      </c>
      <c r="N158" s="54">
        <v>4899</v>
      </c>
      <c r="O158" s="54">
        <v>4799</v>
      </c>
      <c r="P158" s="54">
        <v>4699</v>
      </c>
      <c r="Q158" s="54">
        <v>4499</v>
      </c>
      <c r="R158" s="54">
        <v>4799</v>
      </c>
      <c r="S158" s="54">
        <v>4699</v>
      </c>
      <c r="T158" s="54">
        <v>4499</v>
      </c>
      <c r="U158" s="54">
        <v>4499</v>
      </c>
      <c r="V158" s="54">
        <v>4499</v>
      </c>
      <c r="W158" s="54">
        <v>4499</v>
      </c>
      <c r="X158" s="54">
        <v>4399</v>
      </c>
      <c r="Y158" s="54">
        <v>3999</v>
      </c>
      <c r="Z158" s="54">
        <v>3999</v>
      </c>
      <c r="AA158" s="54">
        <v>3799</v>
      </c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7"/>
      <c r="AW158" s="48" t="s">
        <v>67</v>
      </c>
      <c r="AX158" s="49" t="s">
        <v>68</v>
      </c>
      <c r="AY158" s="55">
        <f t="shared" si="3"/>
        <v>100.9798</v>
      </c>
      <c r="AZ158" s="55">
        <f t="shared" si="4"/>
        <v>90.981800000000007</v>
      </c>
      <c r="BA158" s="56">
        <f t="shared" si="5"/>
        <v>51.489699999999999</v>
      </c>
    </row>
    <row r="159" spans="1:53" ht="22.5" customHeight="1">
      <c r="A159" s="41" t="s">
        <v>63</v>
      </c>
      <c r="B159" s="42" t="s">
        <v>64</v>
      </c>
      <c r="C159" s="43">
        <v>4018013</v>
      </c>
      <c r="D159" s="44" t="s">
        <v>263</v>
      </c>
      <c r="E159" s="44" t="s">
        <v>264</v>
      </c>
      <c r="F159" s="45">
        <v>19999</v>
      </c>
      <c r="G159" s="45">
        <v>14199</v>
      </c>
      <c r="H159" s="45">
        <v>14899</v>
      </c>
      <c r="I159" s="45">
        <v>14899</v>
      </c>
      <c r="J159" s="45">
        <v>14799</v>
      </c>
      <c r="K159" s="45">
        <v>14799</v>
      </c>
      <c r="L159" s="45">
        <v>14799</v>
      </c>
      <c r="M159" s="45">
        <v>14799</v>
      </c>
      <c r="N159" s="45">
        <v>14799</v>
      </c>
      <c r="O159" s="45">
        <v>14599</v>
      </c>
      <c r="P159" s="45">
        <v>14499</v>
      </c>
      <c r="Q159" s="45">
        <v>14299</v>
      </c>
      <c r="R159" s="45">
        <v>14599</v>
      </c>
      <c r="S159" s="45">
        <v>14499</v>
      </c>
      <c r="T159" s="45">
        <v>14299</v>
      </c>
      <c r="U159" s="45">
        <v>14299</v>
      </c>
      <c r="V159" s="45">
        <v>14299</v>
      </c>
      <c r="W159" s="45">
        <v>14299</v>
      </c>
      <c r="X159" s="45">
        <v>14199</v>
      </c>
      <c r="Y159" s="45">
        <v>13699</v>
      </c>
      <c r="Z159" s="45">
        <v>13699</v>
      </c>
      <c r="AA159" s="45">
        <v>13499</v>
      </c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7"/>
      <c r="AW159" s="48" t="s">
        <v>67</v>
      </c>
      <c r="AX159" s="49" t="s">
        <v>68</v>
      </c>
      <c r="AY159" s="55">
        <f t="shared" si="3"/>
        <v>300.95979999999997</v>
      </c>
      <c r="AZ159" s="55">
        <f t="shared" si="4"/>
        <v>271.16180000000003</v>
      </c>
      <c r="BA159" s="56">
        <f t="shared" si="5"/>
        <v>153.4597</v>
      </c>
    </row>
    <row r="160" spans="1:53" ht="22.5" customHeight="1">
      <c r="A160" s="41" t="s">
        <v>63</v>
      </c>
      <c r="B160" s="42" t="s">
        <v>64</v>
      </c>
      <c r="C160" s="43">
        <v>4018016</v>
      </c>
      <c r="D160" s="44" t="s">
        <v>263</v>
      </c>
      <c r="E160" s="44" t="s">
        <v>265</v>
      </c>
      <c r="F160" s="45">
        <v>19999</v>
      </c>
      <c r="G160" s="45">
        <v>14199</v>
      </c>
      <c r="H160" s="45">
        <v>14899</v>
      </c>
      <c r="I160" s="45">
        <v>14899</v>
      </c>
      <c r="J160" s="45">
        <v>14799</v>
      </c>
      <c r="K160" s="45">
        <v>14799</v>
      </c>
      <c r="L160" s="45">
        <v>14799</v>
      </c>
      <c r="M160" s="45">
        <v>14799</v>
      </c>
      <c r="N160" s="45">
        <v>14799</v>
      </c>
      <c r="O160" s="45">
        <v>14599</v>
      </c>
      <c r="P160" s="45">
        <v>14499</v>
      </c>
      <c r="Q160" s="45">
        <v>14299</v>
      </c>
      <c r="R160" s="45">
        <v>14599</v>
      </c>
      <c r="S160" s="45">
        <v>14499</v>
      </c>
      <c r="T160" s="45">
        <v>14299</v>
      </c>
      <c r="U160" s="45">
        <v>14299</v>
      </c>
      <c r="V160" s="45">
        <v>14299</v>
      </c>
      <c r="W160" s="45">
        <v>14299</v>
      </c>
      <c r="X160" s="45">
        <v>14199</v>
      </c>
      <c r="Y160" s="45">
        <v>13699</v>
      </c>
      <c r="Z160" s="45">
        <v>13699</v>
      </c>
      <c r="AA160" s="45">
        <v>13499</v>
      </c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7"/>
      <c r="AW160" s="48" t="s">
        <v>67</v>
      </c>
      <c r="AX160" s="49" t="s">
        <v>68</v>
      </c>
      <c r="AY160" s="55">
        <f t="shared" si="3"/>
        <v>300.95979999999997</v>
      </c>
      <c r="AZ160" s="55">
        <f t="shared" si="4"/>
        <v>271.16180000000003</v>
      </c>
      <c r="BA160" s="56">
        <f t="shared" si="5"/>
        <v>153.4597</v>
      </c>
    </row>
    <row r="161" spans="1:53" ht="23" customHeight="1">
      <c r="A161" s="57" t="s">
        <v>247</v>
      </c>
      <c r="B161" s="42" t="s">
        <v>64</v>
      </c>
      <c r="C161" s="43">
        <v>4015390</v>
      </c>
      <c r="D161" s="58" t="s">
        <v>266</v>
      </c>
      <c r="E161" s="58" t="s">
        <v>267</v>
      </c>
      <c r="F161" s="45">
        <v>799</v>
      </c>
      <c r="G161" s="45">
        <v>549</v>
      </c>
      <c r="H161" s="45">
        <v>549</v>
      </c>
      <c r="I161" s="45">
        <v>549</v>
      </c>
      <c r="J161" s="45">
        <f t="shared" ref="J161:J185" si="6">M161</f>
        <v>449</v>
      </c>
      <c r="K161" s="45">
        <f t="shared" ref="K161:L185" si="7">M161</f>
        <v>449</v>
      </c>
      <c r="L161" s="45">
        <f t="shared" si="7"/>
        <v>449</v>
      </c>
      <c r="M161" s="45">
        <v>449</v>
      </c>
      <c r="N161" s="45">
        <v>449</v>
      </c>
      <c r="O161" s="45">
        <f t="shared" ref="O161:Q161" si="8">R161</f>
        <v>399</v>
      </c>
      <c r="P161" s="46">
        <f t="shared" si="8"/>
        <v>349</v>
      </c>
      <c r="Q161" s="46">
        <f t="shared" si="8"/>
        <v>299</v>
      </c>
      <c r="R161" s="45">
        <v>399</v>
      </c>
      <c r="S161" s="45">
        <v>349</v>
      </c>
      <c r="T161" s="45">
        <v>299</v>
      </c>
      <c r="U161" s="45">
        <v>299</v>
      </c>
      <c r="V161" s="45">
        <v>299</v>
      </c>
      <c r="W161" s="45">
        <v>299</v>
      </c>
      <c r="X161" s="45">
        <v>299</v>
      </c>
      <c r="Y161" s="45">
        <v>299</v>
      </c>
      <c r="Z161" s="45">
        <v>299</v>
      </c>
      <c r="AA161" s="45">
        <v>299</v>
      </c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7"/>
      <c r="AW161" s="48" t="s">
        <v>67</v>
      </c>
      <c r="AX161" s="49" t="s">
        <v>253</v>
      </c>
      <c r="AY161" s="55">
        <f t="shared" si="3"/>
        <v>11.0898</v>
      </c>
      <c r="AZ161" s="55">
        <f t="shared" si="4"/>
        <v>9.9918000000000013</v>
      </c>
      <c r="BA161" s="56">
        <f t="shared" si="5"/>
        <v>5.6547000000000001</v>
      </c>
    </row>
    <row r="162" spans="1:53" ht="22.5" customHeight="1">
      <c r="A162" s="41" t="s">
        <v>63</v>
      </c>
      <c r="B162" s="42" t="s">
        <v>64</v>
      </c>
      <c r="C162" s="43">
        <v>4015070</v>
      </c>
      <c r="D162" s="58" t="s">
        <v>268</v>
      </c>
      <c r="E162" s="58" t="s">
        <v>269</v>
      </c>
      <c r="F162" s="45">
        <v>3499</v>
      </c>
      <c r="G162" s="45">
        <v>799</v>
      </c>
      <c r="H162" s="45">
        <v>1099</v>
      </c>
      <c r="I162" s="45">
        <v>1099</v>
      </c>
      <c r="J162" s="45">
        <v>899</v>
      </c>
      <c r="K162" s="45">
        <v>799</v>
      </c>
      <c r="L162" s="45">
        <v>799</v>
      </c>
      <c r="M162" s="45">
        <v>899</v>
      </c>
      <c r="N162" s="45">
        <v>899</v>
      </c>
      <c r="O162" s="45">
        <v>749</v>
      </c>
      <c r="P162" s="46">
        <v>749</v>
      </c>
      <c r="Q162" s="46">
        <v>749</v>
      </c>
      <c r="R162" s="45">
        <v>749</v>
      </c>
      <c r="S162" s="45">
        <v>749</v>
      </c>
      <c r="T162" s="45">
        <v>749</v>
      </c>
      <c r="U162" s="45">
        <v>749</v>
      </c>
      <c r="V162" s="45">
        <v>749</v>
      </c>
      <c r="W162" s="45">
        <v>749</v>
      </c>
      <c r="X162" s="45">
        <v>749</v>
      </c>
      <c r="Y162" s="45">
        <v>749</v>
      </c>
      <c r="Z162" s="45">
        <v>749</v>
      </c>
      <c r="AA162" s="45">
        <v>749</v>
      </c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7"/>
      <c r="AW162" s="48" t="s">
        <v>67</v>
      </c>
      <c r="AX162" s="49" t="s">
        <v>68</v>
      </c>
      <c r="AY162" s="55">
        <f t="shared" si="3"/>
        <v>22.1998</v>
      </c>
      <c r="AZ162" s="55">
        <f t="shared" si="4"/>
        <v>20.001799999999999</v>
      </c>
      <c r="BA162" s="56">
        <f t="shared" si="5"/>
        <v>11.319700000000001</v>
      </c>
    </row>
    <row r="163" spans="1:53" ht="22.5" customHeight="1">
      <c r="A163" s="41" t="s">
        <v>63</v>
      </c>
      <c r="B163" s="42" t="s">
        <v>64</v>
      </c>
      <c r="C163" s="43">
        <v>4014800</v>
      </c>
      <c r="D163" s="58" t="s">
        <v>270</v>
      </c>
      <c r="E163" s="58" t="s">
        <v>271</v>
      </c>
      <c r="F163" s="45">
        <v>6499</v>
      </c>
      <c r="G163" s="45">
        <v>1399</v>
      </c>
      <c r="H163" s="45">
        <v>2499</v>
      </c>
      <c r="I163" s="45">
        <v>2499</v>
      </c>
      <c r="J163" s="45">
        <f t="shared" si="6"/>
        <v>2299</v>
      </c>
      <c r="K163" s="45">
        <f t="shared" si="7"/>
        <v>2299</v>
      </c>
      <c r="L163" s="45">
        <f t="shared" si="7"/>
        <v>2299</v>
      </c>
      <c r="M163" s="45">
        <v>2299</v>
      </c>
      <c r="N163" s="45">
        <v>2299</v>
      </c>
      <c r="O163" s="45">
        <f t="shared" ref="O163:Q163" si="9">R163</f>
        <v>1899</v>
      </c>
      <c r="P163" s="46">
        <f t="shared" si="9"/>
        <v>1799</v>
      </c>
      <c r="Q163" s="46">
        <f t="shared" si="9"/>
        <v>1499</v>
      </c>
      <c r="R163" s="45">
        <v>1899</v>
      </c>
      <c r="S163" s="45">
        <v>1799</v>
      </c>
      <c r="T163" s="45">
        <v>1499</v>
      </c>
      <c r="U163" s="45">
        <v>1499</v>
      </c>
      <c r="V163" s="45">
        <v>1499</v>
      </c>
      <c r="W163" s="45">
        <v>1499</v>
      </c>
      <c r="X163" s="45">
        <v>1399</v>
      </c>
      <c r="Y163" s="45">
        <v>999</v>
      </c>
      <c r="Z163" s="45">
        <v>999</v>
      </c>
      <c r="AA163" s="45">
        <v>949</v>
      </c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7"/>
      <c r="AW163" s="48" t="s">
        <v>67</v>
      </c>
      <c r="AX163" s="49" t="s">
        <v>68</v>
      </c>
      <c r="AY163" s="55">
        <f t="shared" si="3"/>
        <v>50.479799999999997</v>
      </c>
      <c r="AZ163" s="55">
        <f t="shared" si="4"/>
        <v>45.4818</v>
      </c>
      <c r="BA163" s="56">
        <f t="shared" si="5"/>
        <v>25.739699999999999</v>
      </c>
    </row>
    <row r="164" spans="1:53" ht="22.5" customHeight="1">
      <c r="A164" s="41" t="s">
        <v>63</v>
      </c>
      <c r="B164" s="42" t="s">
        <v>64</v>
      </c>
      <c r="C164" s="43">
        <v>4015553</v>
      </c>
      <c r="D164" s="58" t="s">
        <v>272</v>
      </c>
      <c r="E164" s="58" t="s">
        <v>273</v>
      </c>
      <c r="F164" s="45">
        <v>3699</v>
      </c>
      <c r="G164" s="45">
        <v>1279</v>
      </c>
      <c r="H164" s="45">
        <v>2299</v>
      </c>
      <c r="I164" s="45">
        <v>2299</v>
      </c>
      <c r="J164" s="45">
        <v>1599</v>
      </c>
      <c r="K164" s="45">
        <v>1499</v>
      </c>
      <c r="L164" s="45">
        <v>1499</v>
      </c>
      <c r="M164" s="45">
        <v>1599</v>
      </c>
      <c r="N164" s="45">
        <v>1599</v>
      </c>
      <c r="O164" s="45">
        <v>1399</v>
      </c>
      <c r="P164" s="46">
        <v>1299</v>
      </c>
      <c r="Q164" s="46">
        <v>1099</v>
      </c>
      <c r="R164" s="45">
        <v>1399</v>
      </c>
      <c r="S164" s="45">
        <v>1299</v>
      </c>
      <c r="T164" s="45">
        <v>1099</v>
      </c>
      <c r="U164" s="45">
        <v>1099</v>
      </c>
      <c r="V164" s="45">
        <v>1099</v>
      </c>
      <c r="W164" s="45">
        <v>1099</v>
      </c>
      <c r="X164" s="45">
        <v>999</v>
      </c>
      <c r="Y164" s="45">
        <v>899</v>
      </c>
      <c r="Z164" s="45">
        <v>899</v>
      </c>
      <c r="AA164" s="45">
        <v>899</v>
      </c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7"/>
      <c r="AW164" s="48" t="s">
        <v>67</v>
      </c>
      <c r="AX164" s="49" t="s">
        <v>68</v>
      </c>
      <c r="AY164" s="55">
        <f t="shared" si="3"/>
        <v>46.439799999999998</v>
      </c>
      <c r="AZ164" s="55">
        <f t="shared" si="4"/>
        <v>41.841799999999999</v>
      </c>
      <c r="BA164" s="56">
        <f t="shared" si="5"/>
        <v>23.6797</v>
      </c>
    </row>
    <row r="165" spans="1:53" ht="22.5" customHeight="1">
      <c r="A165" s="41" t="s">
        <v>63</v>
      </c>
      <c r="B165" s="42" t="s">
        <v>64</v>
      </c>
      <c r="C165" s="43">
        <v>4015555</v>
      </c>
      <c r="D165" s="58" t="s">
        <v>272</v>
      </c>
      <c r="E165" s="58" t="s">
        <v>274</v>
      </c>
      <c r="F165" s="45">
        <v>3699</v>
      </c>
      <c r="G165" s="45">
        <v>1279</v>
      </c>
      <c r="H165" s="45">
        <v>2299</v>
      </c>
      <c r="I165" s="45">
        <v>2299</v>
      </c>
      <c r="J165" s="45">
        <v>1599</v>
      </c>
      <c r="K165" s="45">
        <v>1499</v>
      </c>
      <c r="L165" s="45">
        <v>1499</v>
      </c>
      <c r="M165" s="45">
        <v>1599</v>
      </c>
      <c r="N165" s="45">
        <v>1599</v>
      </c>
      <c r="O165" s="45">
        <v>1399</v>
      </c>
      <c r="P165" s="46">
        <v>1299</v>
      </c>
      <c r="Q165" s="46">
        <v>1099</v>
      </c>
      <c r="R165" s="45">
        <v>1399</v>
      </c>
      <c r="S165" s="45">
        <v>1299</v>
      </c>
      <c r="T165" s="45">
        <v>1099</v>
      </c>
      <c r="U165" s="45">
        <v>1099</v>
      </c>
      <c r="V165" s="45">
        <v>1099</v>
      </c>
      <c r="W165" s="45">
        <v>1099</v>
      </c>
      <c r="X165" s="45">
        <v>999</v>
      </c>
      <c r="Y165" s="45">
        <v>899</v>
      </c>
      <c r="Z165" s="45">
        <v>899</v>
      </c>
      <c r="AA165" s="45">
        <v>899</v>
      </c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7"/>
      <c r="AW165" s="48" t="s">
        <v>67</v>
      </c>
      <c r="AX165" s="49" t="s">
        <v>68</v>
      </c>
      <c r="AY165" s="55">
        <f t="shared" si="3"/>
        <v>46.439799999999998</v>
      </c>
      <c r="AZ165" s="55">
        <f t="shared" si="4"/>
        <v>41.841799999999999</v>
      </c>
      <c r="BA165" s="56">
        <f t="shared" si="5"/>
        <v>23.6797</v>
      </c>
    </row>
    <row r="166" spans="1:53" ht="22.5" customHeight="1">
      <c r="A166" s="41" t="s">
        <v>63</v>
      </c>
      <c r="B166" s="42" t="s">
        <v>64</v>
      </c>
      <c r="C166" s="43">
        <v>4015692</v>
      </c>
      <c r="D166" s="58" t="s">
        <v>275</v>
      </c>
      <c r="E166" s="58" t="s">
        <v>276</v>
      </c>
      <c r="F166" s="45">
        <v>2999</v>
      </c>
      <c r="G166" s="45">
        <v>1099</v>
      </c>
      <c r="H166" s="45">
        <v>2099</v>
      </c>
      <c r="I166" s="45">
        <v>2099</v>
      </c>
      <c r="J166" s="45">
        <v>1499</v>
      </c>
      <c r="K166" s="45">
        <v>1399</v>
      </c>
      <c r="L166" s="45">
        <v>1399</v>
      </c>
      <c r="M166" s="45">
        <v>1499</v>
      </c>
      <c r="N166" s="45">
        <v>1499</v>
      </c>
      <c r="O166" s="45">
        <v>1299</v>
      </c>
      <c r="P166" s="46">
        <v>1199</v>
      </c>
      <c r="Q166" s="46">
        <v>1099</v>
      </c>
      <c r="R166" s="45">
        <v>1299</v>
      </c>
      <c r="S166" s="45">
        <v>1199</v>
      </c>
      <c r="T166" s="45">
        <v>1099</v>
      </c>
      <c r="U166" s="45">
        <v>1099</v>
      </c>
      <c r="V166" s="45">
        <v>1099</v>
      </c>
      <c r="W166" s="45">
        <v>1099</v>
      </c>
      <c r="X166" s="45">
        <v>999</v>
      </c>
      <c r="Y166" s="45">
        <v>899</v>
      </c>
      <c r="Z166" s="45">
        <v>899</v>
      </c>
      <c r="AA166" s="45">
        <v>899</v>
      </c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7"/>
      <c r="AW166" s="48" t="s">
        <v>67</v>
      </c>
      <c r="AX166" s="49" t="s">
        <v>68</v>
      </c>
      <c r="AY166" s="55">
        <f t="shared" si="3"/>
        <v>42.399799999999999</v>
      </c>
      <c r="AZ166" s="55">
        <f t="shared" si="4"/>
        <v>38.201799999999999</v>
      </c>
      <c r="BA166" s="56">
        <f t="shared" si="5"/>
        <v>21.619700000000002</v>
      </c>
    </row>
    <row r="167" spans="1:53" ht="22.5" customHeight="1">
      <c r="A167" s="41" t="s">
        <v>63</v>
      </c>
      <c r="B167" s="42" t="s">
        <v>64</v>
      </c>
      <c r="C167" s="43">
        <v>4016016</v>
      </c>
      <c r="D167" s="58" t="s">
        <v>275</v>
      </c>
      <c r="E167" s="58" t="s">
        <v>277</v>
      </c>
      <c r="F167" s="45">
        <v>2999</v>
      </c>
      <c r="G167" s="45">
        <v>1099</v>
      </c>
      <c r="H167" s="45">
        <v>2099</v>
      </c>
      <c r="I167" s="45">
        <v>2099</v>
      </c>
      <c r="J167" s="45">
        <v>1499</v>
      </c>
      <c r="K167" s="45">
        <v>1399</v>
      </c>
      <c r="L167" s="45">
        <v>1399</v>
      </c>
      <c r="M167" s="45">
        <v>1499</v>
      </c>
      <c r="N167" s="45">
        <v>1499</v>
      </c>
      <c r="O167" s="45">
        <v>1299</v>
      </c>
      <c r="P167" s="46">
        <v>1199</v>
      </c>
      <c r="Q167" s="46">
        <v>1099</v>
      </c>
      <c r="R167" s="45">
        <v>1299</v>
      </c>
      <c r="S167" s="45">
        <v>1199</v>
      </c>
      <c r="T167" s="45">
        <v>1099</v>
      </c>
      <c r="U167" s="45">
        <v>1099</v>
      </c>
      <c r="V167" s="45">
        <v>1099</v>
      </c>
      <c r="W167" s="45">
        <v>1099</v>
      </c>
      <c r="X167" s="45">
        <v>999</v>
      </c>
      <c r="Y167" s="45">
        <v>899</v>
      </c>
      <c r="Z167" s="45">
        <v>899</v>
      </c>
      <c r="AA167" s="45">
        <v>899</v>
      </c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7"/>
      <c r="AW167" s="48" t="s">
        <v>67</v>
      </c>
      <c r="AX167" s="49" t="s">
        <v>68</v>
      </c>
      <c r="AY167" s="55">
        <f t="shared" si="3"/>
        <v>42.399799999999999</v>
      </c>
      <c r="AZ167" s="55">
        <f t="shared" si="4"/>
        <v>38.201799999999999</v>
      </c>
      <c r="BA167" s="56">
        <f t="shared" si="5"/>
        <v>21.619700000000002</v>
      </c>
    </row>
    <row r="168" spans="1:53" ht="22.5" customHeight="1">
      <c r="A168" s="41" t="s">
        <v>63</v>
      </c>
      <c r="B168" s="42" t="s">
        <v>64</v>
      </c>
      <c r="C168" s="43">
        <v>4016501</v>
      </c>
      <c r="D168" s="58" t="s">
        <v>278</v>
      </c>
      <c r="E168" s="58" t="s">
        <v>279</v>
      </c>
      <c r="F168" s="45">
        <v>3299</v>
      </c>
      <c r="G168" s="45">
        <v>1399</v>
      </c>
      <c r="H168" s="45">
        <v>1999</v>
      </c>
      <c r="I168" s="45">
        <v>1999</v>
      </c>
      <c r="J168" s="45">
        <v>1799</v>
      </c>
      <c r="K168" s="45">
        <v>1799</v>
      </c>
      <c r="L168" s="45">
        <v>1799</v>
      </c>
      <c r="M168" s="45">
        <v>1799</v>
      </c>
      <c r="N168" s="45">
        <v>1799</v>
      </c>
      <c r="O168" s="45">
        <v>1699</v>
      </c>
      <c r="P168" s="46">
        <v>1599</v>
      </c>
      <c r="Q168" s="46">
        <v>599</v>
      </c>
      <c r="R168" s="45">
        <v>1699</v>
      </c>
      <c r="S168" s="45">
        <v>1599</v>
      </c>
      <c r="T168" s="45">
        <v>599</v>
      </c>
      <c r="U168" s="45">
        <v>599</v>
      </c>
      <c r="V168" s="45">
        <v>599</v>
      </c>
      <c r="W168" s="45">
        <v>599</v>
      </c>
      <c r="X168" s="45">
        <v>599</v>
      </c>
      <c r="Y168" s="45">
        <v>599</v>
      </c>
      <c r="Z168" s="45">
        <v>599</v>
      </c>
      <c r="AA168" s="45">
        <v>599</v>
      </c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7"/>
      <c r="AW168" s="48" t="s">
        <v>67</v>
      </c>
      <c r="AX168" s="49" t="s">
        <v>68</v>
      </c>
      <c r="AY168" s="55">
        <f t="shared" si="3"/>
        <v>40.379799999999996</v>
      </c>
      <c r="AZ168" s="55">
        <f t="shared" si="4"/>
        <v>36.381799999999998</v>
      </c>
      <c r="BA168" s="56">
        <f t="shared" si="5"/>
        <v>20.589700000000001</v>
      </c>
    </row>
    <row r="169" spans="1:53" ht="22.5" customHeight="1">
      <c r="A169" s="41" t="s">
        <v>63</v>
      </c>
      <c r="B169" s="42" t="s">
        <v>64</v>
      </c>
      <c r="C169" s="43">
        <v>4016503</v>
      </c>
      <c r="D169" s="58" t="s">
        <v>278</v>
      </c>
      <c r="E169" s="58" t="s">
        <v>280</v>
      </c>
      <c r="F169" s="45">
        <v>3299</v>
      </c>
      <c r="G169" s="45">
        <v>1399</v>
      </c>
      <c r="H169" s="45">
        <v>1999</v>
      </c>
      <c r="I169" s="45">
        <v>1999</v>
      </c>
      <c r="J169" s="45">
        <v>1799</v>
      </c>
      <c r="K169" s="45">
        <v>1799</v>
      </c>
      <c r="L169" s="45">
        <v>1799</v>
      </c>
      <c r="M169" s="45">
        <v>1799</v>
      </c>
      <c r="N169" s="45">
        <v>1799</v>
      </c>
      <c r="O169" s="45">
        <v>1699</v>
      </c>
      <c r="P169" s="46">
        <v>1599</v>
      </c>
      <c r="Q169" s="46">
        <v>599</v>
      </c>
      <c r="R169" s="45">
        <v>1699</v>
      </c>
      <c r="S169" s="45">
        <v>1599</v>
      </c>
      <c r="T169" s="45">
        <v>599</v>
      </c>
      <c r="U169" s="45">
        <v>599</v>
      </c>
      <c r="V169" s="45">
        <v>599</v>
      </c>
      <c r="W169" s="45">
        <v>599</v>
      </c>
      <c r="X169" s="45">
        <v>599</v>
      </c>
      <c r="Y169" s="45">
        <v>599</v>
      </c>
      <c r="Z169" s="45">
        <v>599</v>
      </c>
      <c r="AA169" s="45">
        <v>599</v>
      </c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7"/>
      <c r="AW169" s="48" t="s">
        <v>67</v>
      </c>
      <c r="AX169" s="49" t="s">
        <v>68</v>
      </c>
      <c r="AY169" s="55">
        <f t="shared" ref="AY169:AY236" si="10">$H169*AY$11</f>
        <v>40.379799999999996</v>
      </c>
      <c r="AZ169" s="55">
        <f t="shared" ref="AZ169:AZ236" si="11">($H169*AZ$11)</f>
        <v>36.381799999999998</v>
      </c>
      <c r="BA169" s="56">
        <f t="shared" ref="BA169:BA236" si="12">$H169*BA$11</f>
        <v>20.589700000000001</v>
      </c>
    </row>
    <row r="170" spans="1:53" ht="22.5" customHeight="1">
      <c r="A170" s="41" t="s">
        <v>63</v>
      </c>
      <c r="B170" s="42" t="s">
        <v>64</v>
      </c>
      <c r="C170" s="43">
        <v>4016505</v>
      </c>
      <c r="D170" s="58" t="s">
        <v>278</v>
      </c>
      <c r="E170" s="58" t="s">
        <v>281</v>
      </c>
      <c r="F170" s="45">
        <v>3299</v>
      </c>
      <c r="G170" s="45">
        <v>1399</v>
      </c>
      <c r="H170" s="45">
        <v>1999</v>
      </c>
      <c r="I170" s="45">
        <v>1999</v>
      </c>
      <c r="J170" s="45">
        <v>1799</v>
      </c>
      <c r="K170" s="45">
        <v>1799</v>
      </c>
      <c r="L170" s="45">
        <v>1799</v>
      </c>
      <c r="M170" s="45">
        <v>1799</v>
      </c>
      <c r="N170" s="45">
        <v>1799</v>
      </c>
      <c r="O170" s="45">
        <v>1699</v>
      </c>
      <c r="P170" s="46">
        <v>1599</v>
      </c>
      <c r="Q170" s="46">
        <v>599</v>
      </c>
      <c r="R170" s="45">
        <v>1699</v>
      </c>
      <c r="S170" s="45">
        <v>1599</v>
      </c>
      <c r="T170" s="45">
        <v>599</v>
      </c>
      <c r="U170" s="45">
        <v>599</v>
      </c>
      <c r="V170" s="45">
        <v>599</v>
      </c>
      <c r="W170" s="45">
        <v>599</v>
      </c>
      <c r="X170" s="45">
        <v>599</v>
      </c>
      <c r="Y170" s="45">
        <v>599</v>
      </c>
      <c r="Z170" s="45">
        <v>599</v>
      </c>
      <c r="AA170" s="45">
        <v>599</v>
      </c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7"/>
      <c r="AW170" s="48" t="s">
        <v>67</v>
      </c>
      <c r="AX170" s="49" t="s">
        <v>68</v>
      </c>
      <c r="AY170" s="55">
        <f t="shared" si="10"/>
        <v>40.379799999999996</v>
      </c>
      <c r="AZ170" s="55">
        <f t="shared" si="11"/>
        <v>36.381799999999998</v>
      </c>
      <c r="BA170" s="56">
        <f t="shared" si="12"/>
        <v>20.589700000000001</v>
      </c>
    </row>
    <row r="171" spans="1:53" ht="22" customHeight="1">
      <c r="A171" s="41" t="s">
        <v>63</v>
      </c>
      <c r="B171" s="42" t="s">
        <v>64</v>
      </c>
      <c r="C171" s="43">
        <v>4016284</v>
      </c>
      <c r="D171" s="58" t="s">
        <v>282</v>
      </c>
      <c r="E171" s="58" t="s">
        <v>283</v>
      </c>
      <c r="F171" s="45">
        <v>2999</v>
      </c>
      <c r="G171" s="45">
        <v>1199</v>
      </c>
      <c r="H171" s="45">
        <v>2299</v>
      </c>
      <c r="I171" s="45">
        <v>2299</v>
      </c>
      <c r="J171" s="45">
        <v>1799</v>
      </c>
      <c r="K171" s="45">
        <v>1799</v>
      </c>
      <c r="L171" s="45">
        <v>1799</v>
      </c>
      <c r="M171" s="45">
        <v>1799</v>
      </c>
      <c r="N171" s="45">
        <v>1799</v>
      </c>
      <c r="O171" s="45">
        <v>1699</v>
      </c>
      <c r="P171" s="46">
        <v>1649</v>
      </c>
      <c r="Q171" s="46">
        <v>1299</v>
      </c>
      <c r="R171" s="45">
        <v>1699</v>
      </c>
      <c r="S171" s="45">
        <v>1649</v>
      </c>
      <c r="T171" s="45">
        <v>1299</v>
      </c>
      <c r="U171" s="45">
        <v>1299</v>
      </c>
      <c r="V171" s="45">
        <v>1299</v>
      </c>
      <c r="W171" s="45">
        <v>1299</v>
      </c>
      <c r="X171" s="45">
        <v>1199</v>
      </c>
      <c r="Y171" s="45">
        <v>1199</v>
      </c>
      <c r="Z171" s="45">
        <v>1199</v>
      </c>
      <c r="AA171" s="45">
        <v>1199</v>
      </c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7"/>
      <c r="AW171" s="48" t="s">
        <v>67</v>
      </c>
      <c r="AX171" s="49" t="s">
        <v>68</v>
      </c>
      <c r="AY171" s="55">
        <f t="shared" si="10"/>
        <v>46.439799999999998</v>
      </c>
      <c r="AZ171" s="55">
        <f t="shared" si="11"/>
        <v>41.841799999999999</v>
      </c>
      <c r="BA171" s="56">
        <f t="shared" si="12"/>
        <v>23.6797</v>
      </c>
    </row>
    <row r="172" spans="1:53" ht="22" customHeight="1">
      <c r="A172" s="41" t="s">
        <v>63</v>
      </c>
      <c r="B172" s="42" t="s">
        <v>64</v>
      </c>
      <c r="C172" s="43">
        <v>4016285</v>
      </c>
      <c r="D172" s="58" t="s">
        <v>282</v>
      </c>
      <c r="E172" s="58" t="s">
        <v>284</v>
      </c>
      <c r="F172" s="45">
        <v>2999</v>
      </c>
      <c r="G172" s="45">
        <v>1199</v>
      </c>
      <c r="H172" s="45">
        <v>2299</v>
      </c>
      <c r="I172" s="45">
        <v>2299</v>
      </c>
      <c r="J172" s="45">
        <v>1799</v>
      </c>
      <c r="K172" s="45">
        <v>1799</v>
      </c>
      <c r="L172" s="45">
        <v>1799</v>
      </c>
      <c r="M172" s="45">
        <v>1799</v>
      </c>
      <c r="N172" s="45">
        <v>1799</v>
      </c>
      <c r="O172" s="45">
        <v>1699</v>
      </c>
      <c r="P172" s="46">
        <v>1649</v>
      </c>
      <c r="Q172" s="46">
        <v>1299</v>
      </c>
      <c r="R172" s="45">
        <v>1699</v>
      </c>
      <c r="S172" s="45">
        <v>1649</v>
      </c>
      <c r="T172" s="45">
        <v>1299</v>
      </c>
      <c r="U172" s="45">
        <v>1299</v>
      </c>
      <c r="V172" s="45">
        <v>1299</v>
      </c>
      <c r="W172" s="45">
        <v>1299</v>
      </c>
      <c r="X172" s="45">
        <v>1199</v>
      </c>
      <c r="Y172" s="45">
        <v>1199</v>
      </c>
      <c r="Z172" s="45">
        <v>1199</v>
      </c>
      <c r="AA172" s="45">
        <v>1199</v>
      </c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7"/>
      <c r="AW172" s="48" t="s">
        <v>67</v>
      </c>
      <c r="AX172" s="49" t="s">
        <v>68</v>
      </c>
      <c r="AY172" s="55">
        <f t="shared" si="10"/>
        <v>46.439799999999998</v>
      </c>
      <c r="AZ172" s="55">
        <f t="shared" si="11"/>
        <v>41.841799999999999</v>
      </c>
      <c r="BA172" s="56">
        <f t="shared" si="12"/>
        <v>23.6797</v>
      </c>
    </row>
    <row r="173" spans="1:53" ht="22" customHeight="1">
      <c r="A173" s="41" t="s">
        <v>63</v>
      </c>
      <c r="B173" s="42" t="s">
        <v>64</v>
      </c>
      <c r="C173" s="43">
        <v>4016922</v>
      </c>
      <c r="D173" s="58" t="s">
        <v>285</v>
      </c>
      <c r="E173" s="58" t="s">
        <v>286</v>
      </c>
      <c r="F173" s="45">
        <v>2999</v>
      </c>
      <c r="G173" s="46">
        <v>1499</v>
      </c>
      <c r="H173" s="46">
        <v>2199</v>
      </c>
      <c r="I173" s="46">
        <v>2199</v>
      </c>
      <c r="J173" s="46">
        <v>1999</v>
      </c>
      <c r="K173" s="46">
        <v>1999</v>
      </c>
      <c r="L173" s="46">
        <v>1999</v>
      </c>
      <c r="M173" s="46">
        <v>1999</v>
      </c>
      <c r="N173" s="46">
        <v>1999</v>
      </c>
      <c r="O173" s="46">
        <v>1899</v>
      </c>
      <c r="P173" s="46">
        <v>1799</v>
      </c>
      <c r="Q173" s="46">
        <v>799</v>
      </c>
      <c r="R173" s="46">
        <v>1899</v>
      </c>
      <c r="S173" s="46">
        <v>1799</v>
      </c>
      <c r="T173" s="46">
        <v>799</v>
      </c>
      <c r="U173" s="46">
        <v>799</v>
      </c>
      <c r="V173" s="46">
        <v>799</v>
      </c>
      <c r="W173" s="46">
        <v>799</v>
      </c>
      <c r="X173" s="46">
        <v>799</v>
      </c>
      <c r="Y173" s="46">
        <v>799</v>
      </c>
      <c r="Z173" s="46">
        <v>799</v>
      </c>
      <c r="AA173" s="46">
        <v>799</v>
      </c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7"/>
      <c r="AW173" s="48" t="s">
        <v>67</v>
      </c>
      <c r="AX173" s="49" t="s">
        <v>68</v>
      </c>
      <c r="AY173" s="55">
        <f t="shared" si="10"/>
        <v>44.419799999999995</v>
      </c>
      <c r="AZ173" s="55">
        <f t="shared" si="11"/>
        <v>40.021799999999999</v>
      </c>
      <c r="BA173" s="56">
        <f t="shared" si="12"/>
        <v>22.649699999999999</v>
      </c>
    </row>
    <row r="174" spans="1:53" ht="22" customHeight="1">
      <c r="A174" s="41" t="s">
        <v>63</v>
      </c>
      <c r="B174" s="42" t="s">
        <v>64</v>
      </c>
      <c r="C174" s="43">
        <v>4016923</v>
      </c>
      <c r="D174" s="58" t="s">
        <v>285</v>
      </c>
      <c r="E174" s="58" t="s">
        <v>287</v>
      </c>
      <c r="F174" s="45">
        <v>2999</v>
      </c>
      <c r="G174" s="46">
        <v>1499</v>
      </c>
      <c r="H174" s="46">
        <v>2199</v>
      </c>
      <c r="I174" s="46">
        <v>2199</v>
      </c>
      <c r="J174" s="46">
        <v>1999</v>
      </c>
      <c r="K174" s="46">
        <v>1999</v>
      </c>
      <c r="L174" s="46">
        <v>1999</v>
      </c>
      <c r="M174" s="46">
        <v>1999</v>
      </c>
      <c r="N174" s="46">
        <v>1999</v>
      </c>
      <c r="O174" s="46">
        <v>1899</v>
      </c>
      <c r="P174" s="46">
        <v>1799</v>
      </c>
      <c r="Q174" s="46">
        <v>799</v>
      </c>
      <c r="R174" s="46">
        <v>1899</v>
      </c>
      <c r="S174" s="46">
        <v>1799</v>
      </c>
      <c r="T174" s="46">
        <v>799</v>
      </c>
      <c r="U174" s="46">
        <v>799</v>
      </c>
      <c r="V174" s="46">
        <v>799</v>
      </c>
      <c r="W174" s="46">
        <v>799</v>
      </c>
      <c r="X174" s="46">
        <v>799</v>
      </c>
      <c r="Y174" s="46">
        <v>799</v>
      </c>
      <c r="Z174" s="46">
        <v>799</v>
      </c>
      <c r="AA174" s="46">
        <v>799</v>
      </c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7"/>
      <c r="AW174" s="48" t="s">
        <v>67</v>
      </c>
      <c r="AX174" s="49" t="s">
        <v>68</v>
      </c>
      <c r="AY174" s="55">
        <f t="shared" si="10"/>
        <v>44.419799999999995</v>
      </c>
      <c r="AZ174" s="55">
        <f t="shared" si="11"/>
        <v>40.021799999999999</v>
      </c>
      <c r="BA174" s="56">
        <f t="shared" si="12"/>
        <v>22.649699999999999</v>
      </c>
    </row>
    <row r="175" spans="1:53" ht="22" customHeight="1">
      <c r="A175" s="41" t="s">
        <v>63</v>
      </c>
      <c r="B175" s="42" t="s">
        <v>64</v>
      </c>
      <c r="C175" s="43">
        <v>4017420</v>
      </c>
      <c r="D175" s="58" t="s">
        <v>288</v>
      </c>
      <c r="E175" s="58" t="s">
        <v>289</v>
      </c>
      <c r="F175" s="45">
        <v>3999</v>
      </c>
      <c r="G175" s="45">
        <v>2399</v>
      </c>
      <c r="H175" s="45">
        <v>3499</v>
      </c>
      <c r="I175" s="45">
        <v>3499</v>
      </c>
      <c r="J175" s="45">
        <v>3399</v>
      </c>
      <c r="K175" s="45">
        <v>3399</v>
      </c>
      <c r="L175" s="45">
        <v>3399</v>
      </c>
      <c r="M175" s="45">
        <v>3399</v>
      </c>
      <c r="N175" s="45">
        <v>3399</v>
      </c>
      <c r="O175" s="45">
        <v>3299</v>
      </c>
      <c r="P175" s="46">
        <v>3199</v>
      </c>
      <c r="Q175" s="46">
        <v>2499</v>
      </c>
      <c r="R175" s="45">
        <v>3299</v>
      </c>
      <c r="S175" s="45">
        <v>3199</v>
      </c>
      <c r="T175" s="45">
        <v>2499</v>
      </c>
      <c r="U175" s="45">
        <v>2499</v>
      </c>
      <c r="V175" s="45">
        <v>2499</v>
      </c>
      <c r="W175" s="45">
        <v>2499</v>
      </c>
      <c r="X175" s="45">
        <v>2399</v>
      </c>
      <c r="Y175" s="45">
        <v>1799</v>
      </c>
      <c r="Z175" s="45">
        <v>1799</v>
      </c>
      <c r="AA175" s="45">
        <v>1499</v>
      </c>
      <c r="AB175" s="45">
        <v>3399</v>
      </c>
      <c r="AC175" s="45">
        <v>3399</v>
      </c>
      <c r="AD175" s="45">
        <v>3399</v>
      </c>
      <c r="AE175" s="45">
        <v>3399</v>
      </c>
      <c r="AF175" s="45">
        <v>3299</v>
      </c>
      <c r="AG175" s="45">
        <v>3199</v>
      </c>
      <c r="AH175" s="45">
        <v>2499</v>
      </c>
      <c r="AI175" s="45">
        <v>2499</v>
      </c>
      <c r="AJ175" s="45">
        <v>2499</v>
      </c>
      <c r="AK175" s="45">
        <v>2499</v>
      </c>
      <c r="AL175" s="45">
        <v>1799</v>
      </c>
      <c r="AM175" s="45"/>
      <c r="AN175" s="45"/>
      <c r="AO175" s="45"/>
      <c r="AP175" s="45"/>
      <c r="AQ175" s="45"/>
      <c r="AR175" s="45"/>
      <c r="AS175" s="45"/>
      <c r="AT175" s="45"/>
      <c r="AU175" s="45"/>
      <c r="AV175" s="47"/>
      <c r="AW175" s="48" t="s">
        <v>67</v>
      </c>
      <c r="AX175" s="49" t="s">
        <v>68</v>
      </c>
      <c r="AY175" s="55">
        <f t="shared" si="10"/>
        <v>70.6798</v>
      </c>
      <c r="AZ175" s="55">
        <f t="shared" si="11"/>
        <v>63.681800000000003</v>
      </c>
      <c r="BA175" s="56">
        <f t="shared" si="12"/>
        <v>36.039700000000003</v>
      </c>
    </row>
    <row r="176" spans="1:53" ht="22" customHeight="1">
      <c r="A176" s="41" t="s">
        <v>63</v>
      </c>
      <c r="B176" s="42" t="s">
        <v>64</v>
      </c>
      <c r="C176" s="43">
        <v>4017415</v>
      </c>
      <c r="D176" s="58" t="s">
        <v>288</v>
      </c>
      <c r="E176" s="58" t="s">
        <v>290</v>
      </c>
      <c r="F176" s="45">
        <v>3999</v>
      </c>
      <c r="G176" s="45">
        <v>2399</v>
      </c>
      <c r="H176" s="45">
        <v>3499</v>
      </c>
      <c r="I176" s="45">
        <v>3499</v>
      </c>
      <c r="J176" s="45">
        <v>3399</v>
      </c>
      <c r="K176" s="45">
        <v>3399</v>
      </c>
      <c r="L176" s="45">
        <v>3399</v>
      </c>
      <c r="M176" s="45">
        <v>3399</v>
      </c>
      <c r="N176" s="45">
        <v>3399</v>
      </c>
      <c r="O176" s="45">
        <v>3299</v>
      </c>
      <c r="P176" s="46">
        <v>3199</v>
      </c>
      <c r="Q176" s="46">
        <v>2499</v>
      </c>
      <c r="R176" s="45">
        <v>3299</v>
      </c>
      <c r="S176" s="45">
        <v>3199</v>
      </c>
      <c r="T176" s="45">
        <v>2499</v>
      </c>
      <c r="U176" s="45">
        <v>2499</v>
      </c>
      <c r="V176" s="45">
        <v>2499</v>
      </c>
      <c r="W176" s="45">
        <v>2499</v>
      </c>
      <c r="X176" s="45">
        <v>2399</v>
      </c>
      <c r="Y176" s="45">
        <v>1799</v>
      </c>
      <c r="Z176" s="45">
        <v>1799</v>
      </c>
      <c r="AA176" s="45">
        <v>1499</v>
      </c>
      <c r="AB176" s="45">
        <v>3399</v>
      </c>
      <c r="AC176" s="45">
        <v>3399</v>
      </c>
      <c r="AD176" s="45">
        <v>3399</v>
      </c>
      <c r="AE176" s="45">
        <v>3399</v>
      </c>
      <c r="AF176" s="45">
        <v>3299</v>
      </c>
      <c r="AG176" s="45">
        <v>3199</v>
      </c>
      <c r="AH176" s="45">
        <v>2499</v>
      </c>
      <c r="AI176" s="45">
        <v>2499</v>
      </c>
      <c r="AJ176" s="45">
        <v>2499</v>
      </c>
      <c r="AK176" s="45">
        <v>2499</v>
      </c>
      <c r="AL176" s="45">
        <v>1799</v>
      </c>
      <c r="AM176" s="45"/>
      <c r="AN176" s="45"/>
      <c r="AO176" s="45"/>
      <c r="AP176" s="45"/>
      <c r="AQ176" s="45"/>
      <c r="AR176" s="45"/>
      <c r="AS176" s="45"/>
      <c r="AT176" s="45"/>
      <c r="AU176" s="45"/>
      <c r="AV176" s="47"/>
      <c r="AW176" s="48" t="s">
        <v>67</v>
      </c>
      <c r="AX176" s="49" t="s">
        <v>68</v>
      </c>
      <c r="AY176" s="55">
        <f t="shared" si="10"/>
        <v>70.6798</v>
      </c>
      <c r="AZ176" s="55">
        <f t="shared" si="11"/>
        <v>63.681800000000003</v>
      </c>
      <c r="BA176" s="56">
        <f t="shared" si="12"/>
        <v>36.039700000000003</v>
      </c>
    </row>
    <row r="177" spans="1:53" ht="22" customHeight="1">
      <c r="A177" s="41" t="s">
        <v>63</v>
      </c>
      <c r="B177" s="42" t="s">
        <v>64</v>
      </c>
      <c r="C177" s="43">
        <v>4017041</v>
      </c>
      <c r="D177" s="58" t="s">
        <v>291</v>
      </c>
      <c r="E177" s="58" t="s">
        <v>292</v>
      </c>
      <c r="F177" s="45">
        <v>4999</v>
      </c>
      <c r="G177" s="45">
        <v>2599</v>
      </c>
      <c r="H177" s="45">
        <v>3759</v>
      </c>
      <c r="I177" s="45">
        <v>3759</v>
      </c>
      <c r="J177" s="45">
        <v>2999</v>
      </c>
      <c r="K177" s="45">
        <v>2999</v>
      </c>
      <c r="L177" s="45">
        <v>2999</v>
      </c>
      <c r="M177" s="45">
        <v>2999</v>
      </c>
      <c r="N177" s="45">
        <v>2999</v>
      </c>
      <c r="O177" s="45">
        <v>2899</v>
      </c>
      <c r="P177" s="46">
        <v>2799</v>
      </c>
      <c r="Q177" s="46">
        <v>1499</v>
      </c>
      <c r="R177" s="45">
        <v>2899</v>
      </c>
      <c r="S177" s="45">
        <v>2799</v>
      </c>
      <c r="T177" s="45">
        <v>1499</v>
      </c>
      <c r="U177" s="45">
        <v>1499</v>
      </c>
      <c r="V177" s="45">
        <v>1499</v>
      </c>
      <c r="W177" s="45">
        <v>1499</v>
      </c>
      <c r="X177" s="45">
        <v>1499</v>
      </c>
      <c r="Y177" s="45">
        <v>1499</v>
      </c>
      <c r="Z177" s="45">
        <v>1499</v>
      </c>
      <c r="AA177" s="45">
        <v>1499</v>
      </c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7"/>
      <c r="AW177" s="48" t="s">
        <v>67</v>
      </c>
      <c r="AX177" s="49" t="s">
        <v>68</v>
      </c>
      <c r="AY177" s="50">
        <f t="shared" si="10"/>
        <v>75.931799999999996</v>
      </c>
      <c r="AZ177" s="50">
        <f t="shared" si="11"/>
        <v>68.413800000000009</v>
      </c>
      <c r="BA177" s="51">
        <f t="shared" si="12"/>
        <v>38.717700000000001</v>
      </c>
    </row>
    <row r="178" spans="1:53" ht="22" customHeight="1">
      <c r="A178" s="41" t="s">
        <v>63</v>
      </c>
      <c r="B178" s="42" t="s">
        <v>64</v>
      </c>
      <c r="C178" s="43">
        <v>4017646</v>
      </c>
      <c r="D178" s="59" t="s">
        <v>293</v>
      </c>
      <c r="E178" s="58" t="s">
        <v>294</v>
      </c>
      <c r="F178" s="45">
        <v>4999</v>
      </c>
      <c r="G178" s="45">
        <v>3399</v>
      </c>
      <c r="H178" s="45">
        <v>4999</v>
      </c>
      <c r="I178" s="45">
        <v>4999</v>
      </c>
      <c r="J178" s="45">
        <v>4899</v>
      </c>
      <c r="K178" s="45">
        <v>4899</v>
      </c>
      <c r="L178" s="45">
        <v>4899</v>
      </c>
      <c r="M178" s="45">
        <v>4899</v>
      </c>
      <c r="N178" s="45">
        <v>4899</v>
      </c>
      <c r="O178" s="45">
        <v>4799</v>
      </c>
      <c r="P178" s="46">
        <v>4699</v>
      </c>
      <c r="Q178" s="46">
        <v>3499</v>
      </c>
      <c r="R178" s="45">
        <v>4799</v>
      </c>
      <c r="S178" s="45">
        <v>4699</v>
      </c>
      <c r="T178" s="45">
        <v>3499</v>
      </c>
      <c r="U178" s="45">
        <v>3499</v>
      </c>
      <c r="V178" s="45">
        <v>3499</v>
      </c>
      <c r="W178" s="45">
        <v>3499</v>
      </c>
      <c r="X178" s="45">
        <v>3399</v>
      </c>
      <c r="Y178" s="54">
        <v>1799</v>
      </c>
      <c r="Z178" s="54">
        <v>1799</v>
      </c>
      <c r="AA178" s="54">
        <v>1699</v>
      </c>
      <c r="AB178" s="45">
        <v>4899</v>
      </c>
      <c r="AC178" s="45">
        <v>4899</v>
      </c>
      <c r="AD178" s="45">
        <v>4899</v>
      </c>
      <c r="AE178" s="45">
        <v>4899</v>
      </c>
      <c r="AF178" s="45">
        <v>4799</v>
      </c>
      <c r="AG178" s="45">
        <v>4699</v>
      </c>
      <c r="AH178" s="45">
        <v>3499</v>
      </c>
      <c r="AI178" s="45">
        <v>3499</v>
      </c>
      <c r="AJ178" s="45">
        <v>3499</v>
      </c>
      <c r="AK178" s="45">
        <v>3499</v>
      </c>
      <c r="AL178" s="54">
        <v>1799</v>
      </c>
      <c r="AM178" s="45"/>
      <c r="AN178" s="45"/>
      <c r="AO178" s="45"/>
      <c r="AP178" s="45"/>
      <c r="AQ178" s="45"/>
      <c r="AR178" s="45"/>
      <c r="AS178" s="45"/>
      <c r="AT178" s="45"/>
      <c r="AU178" s="45"/>
      <c r="AV178" s="47"/>
      <c r="AW178" s="48" t="s">
        <v>67</v>
      </c>
      <c r="AX178" s="49" t="s">
        <v>68</v>
      </c>
      <c r="AY178" s="55">
        <f t="shared" si="10"/>
        <v>100.9798</v>
      </c>
      <c r="AZ178" s="55">
        <f t="shared" si="11"/>
        <v>90.981800000000007</v>
      </c>
      <c r="BA178" s="56">
        <f t="shared" si="12"/>
        <v>51.489699999999999</v>
      </c>
    </row>
    <row r="179" spans="1:53" ht="22" customHeight="1">
      <c r="A179" s="41" t="s">
        <v>63</v>
      </c>
      <c r="B179" s="42" t="s">
        <v>64</v>
      </c>
      <c r="C179" s="43">
        <v>4017644</v>
      </c>
      <c r="D179" s="59" t="s">
        <v>293</v>
      </c>
      <c r="E179" s="58" t="s">
        <v>295</v>
      </c>
      <c r="F179" s="45">
        <v>4999</v>
      </c>
      <c r="G179" s="45">
        <v>3399</v>
      </c>
      <c r="H179" s="45">
        <v>4999</v>
      </c>
      <c r="I179" s="45">
        <v>4999</v>
      </c>
      <c r="J179" s="45">
        <v>4899</v>
      </c>
      <c r="K179" s="45">
        <v>4899</v>
      </c>
      <c r="L179" s="45">
        <v>4899</v>
      </c>
      <c r="M179" s="45">
        <v>4899</v>
      </c>
      <c r="N179" s="45">
        <v>4899</v>
      </c>
      <c r="O179" s="45">
        <v>4799</v>
      </c>
      <c r="P179" s="46">
        <v>4699</v>
      </c>
      <c r="Q179" s="46">
        <v>3499</v>
      </c>
      <c r="R179" s="45">
        <v>4799</v>
      </c>
      <c r="S179" s="45">
        <v>4699</v>
      </c>
      <c r="T179" s="45">
        <v>3499</v>
      </c>
      <c r="U179" s="45">
        <v>3499</v>
      </c>
      <c r="V179" s="45">
        <v>3499</v>
      </c>
      <c r="W179" s="45">
        <v>3499</v>
      </c>
      <c r="X179" s="45">
        <v>3399</v>
      </c>
      <c r="Y179" s="54">
        <v>1799</v>
      </c>
      <c r="Z179" s="54">
        <v>1799</v>
      </c>
      <c r="AA179" s="54">
        <v>1699</v>
      </c>
      <c r="AB179" s="45">
        <v>4899</v>
      </c>
      <c r="AC179" s="45">
        <v>4899</v>
      </c>
      <c r="AD179" s="45">
        <v>4899</v>
      </c>
      <c r="AE179" s="45">
        <v>4899</v>
      </c>
      <c r="AF179" s="45">
        <v>4799</v>
      </c>
      <c r="AG179" s="45">
        <v>4699</v>
      </c>
      <c r="AH179" s="45">
        <v>3499</v>
      </c>
      <c r="AI179" s="45">
        <v>3499</v>
      </c>
      <c r="AJ179" s="45">
        <v>3499</v>
      </c>
      <c r="AK179" s="45">
        <v>3499</v>
      </c>
      <c r="AL179" s="54">
        <v>1799</v>
      </c>
      <c r="AM179" s="45"/>
      <c r="AN179" s="45"/>
      <c r="AO179" s="45"/>
      <c r="AP179" s="45"/>
      <c r="AQ179" s="45"/>
      <c r="AR179" s="45"/>
      <c r="AS179" s="45"/>
      <c r="AT179" s="45"/>
      <c r="AU179" s="45"/>
      <c r="AV179" s="47"/>
      <c r="AW179" s="48" t="s">
        <v>67</v>
      </c>
      <c r="AX179" s="49" t="s">
        <v>68</v>
      </c>
      <c r="AY179" s="55">
        <f t="shared" si="10"/>
        <v>100.9798</v>
      </c>
      <c r="AZ179" s="55">
        <f t="shared" si="11"/>
        <v>90.981800000000007</v>
      </c>
      <c r="BA179" s="56">
        <f t="shared" si="12"/>
        <v>51.489699999999999</v>
      </c>
    </row>
    <row r="180" spans="1:53" ht="22" customHeight="1">
      <c r="A180" s="41" t="s">
        <v>63</v>
      </c>
      <c r="B180" s="42" t="s">
        <v>64</v>
      </c>
      <c r="C180" s="43">
        <v>4018070</v>
      </c>
      <c r="D180" s="59" t="s">
        <v>296</v>
      </c>
      <c r="E180" s="58" t="s">
        <v>297</v>
      </c>
      <c r="F180" s="45">
        <v>3799</v>
      </c>
      <c r="G180" s="45">
        <v>2199</v>
      </c>
      <c r="H180" s="45">
        <v>2799</v>
      </c>
      <c r="I180" s="45">
        <v>2799</v>
      </c>
      <c r="J180" s="45">
        <v>2699</v>
      </c>
      <c r="K180" s="45">
        <v>2699</v>
      </c>
      <c r="L180" s="45">
        <v>2699</v>
      </c>
      <c r="M180" s="45">
        <v>2699</v>
      </c>
      <c r="N180" s="45">
        <v>2699</v>
      </c>
      <c r="O180" s="45">
        <v>2599</v>
      </c>
      <c r="P180" s="46">
        <v>2499</v>
      </c>
      <c r="Q180" s="53">
        <v>1999</v>
      </c>
      <c r="R180" s="45">
        <v>2599</v>
      </c>
      <c r="S180" s="45">
        <v>2499</v>
      </c>
      <c r="T180" s="54">
        <v>1999</v>
      </c>
      <c r="U180" s="54">
        <v>1999</v>
      </c>
      <c r="V180" s="54">
        <v>1999</v>
      </c>
      <c r="W180" s="54">
        <v>1999</v>
      </c>
      <c r="X180" s="54">
        <v>1899</v>
      </c>
      <c r="Y180" s="45">
        <v>1699</v>
      </c>
      <c r="Z180" s="45">
        <v>1699</v>
      </c>
      <c r="AA180" s="45">
        <v>1499</v>
      </c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7"/>
      <c r="AW180" s="48" t="s">
        <v>67</v>
      </c>
      <c r="AX180" s="49" t="s">
        <v>68</v>
      </c>
      <c r="AY180" s="55">
        <f t="shared" si="10"/>
        <v>56.5398</v>
      </c>
      <c r="AZ180" s="55">
        <f t="shared" si="11"/>
        <v>50.941800000000001</v>
      </c>
      <c r="BA180" s="56">
        <f t="shared" si="12"/>
        <v>28.829699999999999</v>
      </c>
    </row>
    <row r="181" spans="1:53" ht="22" customHeight="1">
      <c r="A181" s="41" t="s">
        <v>63</v>
      </c>
      <c r="B181" s="42" t="s">
        <v>64</v>
      </c>
      <c r="C181" s="43">
        <v>4017666</v>
      </c>
      <c r="D181" s="59" t="s">
        <v>298</v>
      </c>
      <c r="E181" s="58" t="s">
        <v>299</v>
      </c>
      <c r="F181" s="45">
        <v>5999</v>
      </c>
      <c r="G181" s="45">
        <v>3399</v>
      </c>
      <c r="H181" s="45">
        <v>4999</v>
      </c>
      <c r="I181" s="45">
        <v>4999</v>
      </c>
      <c r="J181" s="45">
        <v>4899</v>
      </c>
      <c r="K181" s="45">
        <v>4899</v>
      </c>
      <c r="L181" s="45">
        <v>4899</v>
      </c>
      <c r="M181" s="45">
        <v>4899</v>
      </c>
      <c r="N181" s="45">
        <v>4899</v>
      </c>
      <c r="O181" s="45">
        <v>4799</v>
      </c>
      <c r="P181" s="46">
        <v>4699</v>
      </c>
      <c r="Q181" s="46">
        <v>3499</v>
      </c>
      <c r="R181" s="45">
        <v>4799</v>
      </c>
      <c r="S181" s="45">
        <v>4699</v>
      </c>
      <c r="T181" s="45">
        <v>3499</v>
      </c>
      <c r="U181" s="45">
        <v>3499</v>
      </c>
      <c r="V181" s="45">
        <v>3499</v>
      </c>
      <c r="W181" s="45">
        <v>3499</v>
      </c>
      <c r="X181" s="45">
        <v>3399</v>
      </c>
      <c r="Y181" s="54">
        <v>1799</v>
      </c>
      <c r="Z181" s="54">
        <v>1799</v>
      </c>
      <c r="AA181" s="54">
        <v>1699</v>
      </c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7"/>
      <c r="AW181" s="48" t="s">
        <v>67</v>
      </c>
      <c r="AX181" s="49" t="s">
        <v>68</v>
      </c>
      <c r="AY181" s="55">
        <f t="shared" si="10"/>
        <v>100.9798</v>
      </c>
      <c r="AZ181" s="55">
        <f t="shared" si="11"/>
        <v>90.981800000000007</v>
      </c>
      <c r="BA181" s="56">
        <f t="shared" si="12"/>
        <v>51.489699999999999</v>
      </c>
    </row>
    <row r="182" spans="1:53" ht="22.5" customHeight="1">
      <c r="A182" s="57" t="s">
        <v>247</v>
      </c>
      <c r="B182" s="42" t="s">
        <v>64</v>
      </c>
      <c r="C182" s="43">
        <v>4014667</v>
      </c>
      <c r="D182" s="58" t="s">
        <v>300</v>
      </c>
      <c r="E182" s="58" t="s">
        <v>301</v>
      </c>
      <c r="F182" s="45">
        <v>899</v>
      </c>
      <c r="G182" s="45">
        <v>499</v>
      </c>
      <c r="H182" s="45">
        <v>499</v>
      </c>
      <c r="I182" s="45">
        <v>499</v>
      </c>
      <c r="J182" s="45">
        <f t="shared" si="6"/>
        <v>399</v>
      </c>
      <c r="K182" s="45">
        <f t="shared" si="7"/>
        <v>399</v>
      </c>
      <c r="L182" s="45">
        <f t="shared" si="7"/>
        <v>399</v>
      </c>
      <c r="M182" s="45">
        <v>399</v>
      </c>
      <c r="N182" s="45">
        <v>399</v>
      </c>
      <c r="O182" s="45">
        <f t="shared" ref="O182:Q185" si="13">R182</f>
        <v>349</v>
      </c>
      <c r="P182" s="46">
        <f t="shared" si="13"/>
        <v>299</v>
      </c>
      <c r="Q182" s="46">
        <f t="shared" si="13"/>
        <v>299</v>
      </c>
      <c r="R182" s="45">
        <v>349</v>
      </c>
      <c r="S182" s="45">
        <v>299</v>
      </c>
      <c r="T182" s="45">
        <v>299</v>
      </c>
      <c r="U182" s="45">
        <v>299</v>
      </c>
      <c r="V182" s="45">
        <v>299</v>
      </c>
      <c r="W182" s="45">
        <v>299</v>
      </c>
      <c r="X182" s="45">
        <v>299</v>
      </c>
      <c r="Y182" s="45">
        <v>299</v>
      </c>
      <c r="Z182" s="45">
        <v>299</v>
      </c>
      <c r="AA182" s="45">
        <v>299</v>
      </c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7"/>
      <c r="AW182" s="48" t="s">
        <v>67</v>
      </c>
      <c r="AX182" s="49" t="s">
        <v>253</v>
      </c>
      <c r="AY182" s="50">
        <f t="shared" si="10"/>
        <v>10.079799999999999</v>
      </c>
      <c r="AZ182" s="50">
        <f t="shared" si="11"/>
        <v>9.0818000000000012</v>
      </c>
      <c r="BA182" s="51">
        <f t="shared" si="12"/>
        <v>5.1397000000000004</v>
      </c>
    </row>
    <row r="183" spans="1:53" ht="22.5" customHeight="1">
      <c r="A183" s="57" t="s">
        <v>247</v>
      </c>
      <c r="B183" s="42" t="s">
        <v>64</v>
      </c>
      <c r="C183" s="43">
        <v>4014668</v>
      </c>
      <c r="D183" s="58" t="s">
        <v>300</v>
      </c>
      <c r="E183" s="58" t="s">
        <v>302</v>
      </c>
      <c r="F183" s="45">
        <v>899</v>
      </c>
      <c r="G183" s="45">
        <v>499</v>
      </c>
      <c r="H183" s="45">
        <v>499</v>
      </c>
      <c r="I183" s="45">
        <v>499</v>
      </c>
      <c r="J183" s="45">
        <f t="shared" si="6"/>
        <v>399</v>
      </c>
      <c r="K183" s="45">
        <f t="shared" si="7"/>
        <v>399</v>
      </c>
      <c r="L183" s="45">
        <f t="shared" si="7"/>
        <v>399</v>
      </c>
      <c r="M183" s="45">
        <v>399</v>
      </c>
      <c r="N183" s="45">
        <v>399</v>
      </c>
      <c r="O183" s="45">
        <f t="shared" si="13"/>
        <v>349</v>
      </c>
      <c r="P183" s="46">
        <f t="shared" si="13"/>
        <v>299</v>
      </c>
      <c r="Q183" s="46">
        <f t="shared" si="13"/>
        <v>299</v>
      </c>
      <c r="R183" s="45">
        <v>349</v>
      </c>
      <c r="S183" s="45">
        <v>299</v>
      </c>
      <c r="T183" s="45">
        <v>299</v>
      </c>
      <c r="U183" s="45">
        <v>299</v>
      </c>
      <c r="V183" s="45">
        <v>299</v>
      </c>
      <c r="W183" s="45">
        <v>299</v>
      </c>
      <c r="X183" s="45">
        <v>299</v>
      </c>
      <c r="Y183" s="45">
        <v>299</v>
      </c>
      <c r="Z183" s="45">
        <v>299</v>
      </c>
      <c r="AA183" s="45">
        <v>299</v>
      </c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7"/>
      <c r="AW183" s="48" t="s">
        <v>67</v>
      </c>
      <c r="AX183" s="49" t="s">
        <v>253</v>
      </c>
      <c r="AY183" s="50">
        <f t="shared" si="10"/>
        <v>10.079799999999999</v>
      </c>
      <c r="AZ183" s="50">
        <f t="shared" si="11"/>
        <v>9.0818000000000012</v>
      </c>
      <c r="BA183" s="51">
        <f t="shared" si="12"/>
        <v>5.1397000000000004</v>
      </c>
    </row>
    <row r="184" spans="1:53" ht="22.5" customHeight="1">
      <c r="A184" s="57" t="s">
        <v>247</v>
      </c>
      <c r="B184" s="42" t="s">
        <v>64</v>
      </c>
      <c r="C184" s="43">
        <v>4016017</v>
      </c>
      <c r="D184" s="44" t="s">
        <v>303</v>
      </c>
      <c r="E184" s="44" t="s">
        <v>304</v>
      </c>
      <c r="F184" s="45">
        <v>899</v>
      </c>
      <c r="G184" s="45">
        <v>799</v>
      </c>
      <c r="H184" s="45">
        <v>799</v>
      </c>
      <c r="I184" s="45">
        <v>799</v>
      </c>
      <c r="J184" s="45">
        <f t="shared" si="6"/>
        <v>699</v>
      </c>
      <c r="K184" s="45">
        <f t="shared" si="7"/>
        <v>699</v>
      </c>
      <c r="L184" s="45">
        <f t="shared" si="7"/>
        <v>699</v>
      </c>
      <c r="M184" s="45">
        <v>699</v>
      </c>
      <c r="N184" s="45">
        <v>699</v>
      </c>
      <c r="O184" s="45">
        <f t="shared" si="13"/>
        <v>649</v>
      </c>
      <c r="P184" s="46">
        <f t="shared" si="13"/>
        <v>599</v>
      </c>
      <c r="Q184" s="46">
        <v>599</v>
      </c>
      <c r="R184" s="45">
        <v>649</v>
      </c>
      <c r="S184" s="45">
        <v>599</v>
      </c>
      <c r="T184" s="45">
        <v>599</v>
      </c>
      <c r="U184" s="45">
        <v>599</v>
      </c>
      <c r="V184" s="45">
        <v>599</v>
      </c>
      <c r="W184" s="45">
        <v>599</v>
      </c>
      <c r="X184" s="45">
        <v>599</v>
      </c>
      <c r="Y184" s="45">
        <v>599</v>
      </c>
      <c r="Z184" s="45">
        <v>599</v>
      </c>
      <c r="AA184" s="45">
        <v>599</v>
      </c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7"/>
      <c r="AW184" s="48" t="s">
        <v>67</v>
      </c>
      <c r="AX184" s="49" t="s">
        <v>253</v>
      </c>
      <c r="AY184" s="50">
        <f t="shared" si="10"/>
        <v>16.139800000000001</v>
      </c>
      <c r="AZ184" s="50">
        <f t="shared" si="11"/>
        <v>14.5418</v>
      </c>
      <c r="BA184" s="51">
        <f t="shared" si="12"/>
        <v>8.2296999999999993</v>
      </c>
    </row>
    <row r="185" spans="1:53" ht="22.5" customHeight="1">
      <c r="A185" s="57" t="s">
        <v>247</v>
      </c>
      <c r="B185" s="42" t="s">
        <v>64</v>
      </c>
      <c r="C185" s="43">
        <v>4016281</v>
      </c>
      <c r="D185" s="44" t="s">
        <v>305</v>
      </c>
      <c r="E185" s="44" t="s">
        <v>306</v>
      </c>
      <c r="F185" s="45">
        <v>899</v>
      </c>
      <c r="G185" s="45">
        <v>799</v>
      </c>
      <c r="H185" s="45">
        <v>799</v>
      </c>
      <c r="I185" s="45">
        <v>799</v>
      </c>
      <c r="J185" s="45">
        <f t="shared" si="6"/>
        <v>699</v>
      </c>
      <c r="K185" s="45">
        <f t="shared" si="7"/>
        <v>699</v>
      </c>
      <c r="L185" s="45">
        <f t="shared" si="7"/>
        <v>699</v>
      </c>
      <c r="M185" s="45">
        <v>699</v>
      </c>
      <c r="N185" s="45">
        <v>699</v>
      </c>
      <c r="O185" s="45">
        <f t="shared" si="13"/>
        <v>649</v>
      </c>
      <c r="P185" s="46">
        <v>649</v>
      </c>
      <c r="Q185" s="46">
        <v>649</v>
      </c>
      <c r="R185" s="45">
        <v>649</v>
      </c>
      <c r="S185" s="45">
        <v>649</v>
      </c>
      <c r="T185" s="45">
        <v>649</v>
      </c>
      <c r="U185" s="45">
        <v>649</v>
      </c>
      <c r="V185" s="45">
        <v>649</v>
      </c>
      <c r="W185" s="45">
        <v>649</v>
      </c>
      <c r="X185" s="45">
        <v>649</v>
      </c>
      <c r="Y185" s="45">
        <v>649</v>
      </c>
      <c r="Z185" s="45">
        <v>649</v>
      </c>
      <c r="AA185" s="45">
        <v>649</v>
      </c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7"/>
      <c r="AW185" s="48" t="s">
        <v>67</v>
      </c>
      <c r="AX185" s="49" t="s">
        <v>253</v>
      </c>
      <c r="AY185" s="50">
        <f t="shared" si="10"/>
        <v>16.139800000000001</v>
      </c>
      <c r="AZ185" s="50">
        <f t="shared" si="11"/>
        <v>14.5418</v>
      </c>
      <c r="BA185" s="51">
        <f t="shared" si="12"/>
        <v>8.2296999999999993</v>
      </c>
    </row>
    <row r="186" spans="1:53" ht="22.5" customHeight="1">
      <c r="A186" s="57" t="s">
        <v>247</v>
      </c>
      <c r="B186" s="42" t="s">
        <v>64</v>
      </c>
      <c r="C186" s="43">
        <v>4016801</v>
      </c>
      <c r="D186" s="60" t="s">
        <v>307</v>
      </c>
      <c r="E186" s="60" t="s">
        <v>308</v>
      </c>
      <c r="F186" s="45">
        <v>1099</v>
      </c>
      <c r="G186" s="45">
        <v>699</v>
      </c>
      <c r="H186" s="45">
        <v>699</v>
      </c>
      <c r="I186" s="45">
        <v>699</v>
      </c>
      <c r="J186" s="45">
        <v>599</v>
      </c>
      <c r="K186" s="45">
        <v>499</v>
      </c>
      <c r="L186" s="45">
        <v>499</v>
      </c>
      <c r="M186" s="45">
        <v>599</v>
      </c>
      <c r="N186" s="45">
        <v>499</v>
      </c>
      <c r="O186" s="45">
        <v>499</v>
      </c>
      <c r="P186" s="46">
        <v>499</v>
      </c>
      <c r="Q186" s="46">
        <v>499</v>
      </c>
      <c r="R186" s="45">
        <v>499</v>
      </c>
      <c r="S186" s="45">
        <v>499</v>
      </c>
      <c r="T186" s="45">
        <v>499</v>
      </c>
      <c r="U186" s="45">
        <v>499</v>
      </c>
      <c r="V186" s="45">
        <v>499</v>
      </c>
      <c r="W186" s="45">
        <v>499</v>
      </c>
      <c r="X186" s="45">
        <v>499</v>
      </c>
      <c r="Y186" s="45">
        <v>499</v>
      </c>
      <c r="Z186" s="45">
        <v>499</v>
      </c>
      <c r="AA186" s="45">
        <v>499</v>
      </c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7"/>
      <c r="AW186" s="48" t="s">
        <v>67</v>
      </c>
      <c r="AX186" s="49" t="s">
        <v>253</v>
      </c>
      <c r="AY186" s="50">
        <f t="shared" si="10"/>
        <v>14.1198</v>
      </c>
      <c r="AZ186" s="50">
        <f t="shared" si="11"/>
        <v>12.7218</v>
      </c>
      <c r="BA186" s="51">
        <f t="shared" si="12"/>
        <v>7.1997</v>
      </c>
    </row>
    <row r="187" spans="1:53" ht="22.5" customHeight="1">
      <c r="A187" s="57" t="s">
        <v>247</v>
      </c>
      <c r="B187" s="42" t="s">
        <v>64</v>
      </c>
      <c r="C187" s="43">
        <v>4017405</v>
      </c>
      <c r="D187" s="61" t="s">
        <v>309</v>
      </c>
      <c r="E187" s="60" t="s">
        <v>310</v>
      </c>
      <c r="F187" s="46">
        <v>1399</v>
      </c>
      <c r="G187" s="46">
        <v>1099</v>
      </c>
      <c r="H187" s="46">
        <v>1099</v>
      </c>
      <c r="I187" s="46">
        <v>1099</v>
      </c>
      <c r="J187" s="46">
        <v>999</v>
      </c>
      <c r="K187" s="53">
        <v>799</v>
      </c>
      <c r="L187" s="53">
        <v>799</v>
      </c>
      <c r="M187" s="46">
        <v>999</v>
      </c>
      <c r="N187" s="53">
        <v>799</v>
      </c>
      <c r="O187" s="53">
        <v>749</v>
      </c>
      <c r="P187" s="53">
        <v>749</v>
      </c>
      <c r="Q187" s="53">
        <v>699</v>
      </c>
      <c r="R187" s="53">
        <v>749</v>
      </c>
      <c r="S187" s="53">
        <v>749</v>
      </c>
      <c r="T187" s="53">
        <v>699</v>
      </c>
      <c r="U187" s="53">
        <v>699</v>
      </c>
      <c r="V187" s="53">
        <v>699</v>
      </c>
      <c r="W187" s="53">
        <v>699</v>
      </c>
      <c r="X187" s="53">
        <v>649</v>
      </c>
      <c r="Y187" s="46">
        <v>599</v>
      </c>
      <c r="Z187" s="46">
        <v>599</v>
      </c>
      <c r="AA187" s="46">
        <v>599</v>
      </c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7"/>
      <c r="AW187" s="48" t="s">
        <v>67</v>
      </c>
      <c r="AX187" s="49" t="s">
        <v>253</v>
      </c>
      <c r="AY187" s="55">
        <f t="shared" si="10"/>
        <v>22.1998</v>
      </c>
      <c r="AZ187" s="55">
        <f t="shared" si="11"/>
        <v>20.001799999999999</v>
      </c>
      <c r="BA187" s="56">
        <f t="shared" si="12"/>
        <v>11.319700000000001</v>
      </c>
    </row>
    <row r="188" spans="1:53" ht="21.75" customHeight="1">
      <c r="A188" s="57" t="s">
        <v>247</v>
      </c>
      <c r="B188" s="42" t="s">
        <v>64</v>
      </c>
      <c r="C188" s="43">
        <v>4015983</v>
      </c>
      <c r="D188" s="58" t="s">
        <v>311</v>
      </c>
      <c r="E188" s="58" t="s">
        <v>312</v>
      </c>
      <c r="F188" s="45">
        <v>1299</v>
      </c>
      <c r="G188" s="45">
        <v>899</v>
      </c>
      <c r="H188" s="45">
        <v>899</v>
      </c>
      <c r="I188" s="45">
        <v>899</v>
      </c>
      <c r="J188" s="45">
        <v>799</v>
      </c>
      <c r="K188" s="45">
        <v>799</v>
      </c>
      <c r="L188" s="45">
        <v>799</v>
      </c>
      <c r="M188" s="45">
        <v>799</v>
      </c>
      <c r="N188" s="45">
        <v>799</v>
      </c>
      <c r="O188" s="45">
        <v>749</v>
      </c>
      <c r="P188" s="46">
        <v>749</v>
      </c>
      <c r="Q188" s="46">
        <v>749</v>
      </c>
      <c r="R188" s="45">
        <v>749</v>
      </c>
      <c r="S188" s="45">
        <v>749</v>
      </c>
      <c r="T188" s="45">
        <v>749</v>
      </c>
      <c r="U188" s="45">
        <v>749</v>
      </c>
      <c r="V188" s="45">
        <v>749</v>
      </c>
      <c r="W188" s="45">
        <v>749</v>
      </c>
      <c r="X188" s="45">
        <v>749</v>
      </c>
      <c r="Y188" s="45">
        <v>749</v>
      </c>
      <c r="Z188" s="45">
        <v>749</v>
      </c>
      <c r="AA188" s="45">
        <v>749</v>
      </c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7"/>
      <c r="AW188" s="48" t="s">
        <v>67</v>
      </c>
      <c r="AX188" s="49" t="s">
        <v>68</v>
      </c>
      <c r="AY188" s="50">
        <f t="shared" si="10"/>
        <v>18.159800000000001</v>
      </c>
      <c r="AZ188" s="50">
        <f t="shared" si="11"/>
        <v>16.361800000000002</v>
      </c>
      <c r="BA188" s="51">
        <f t="shared" si="12"/>
        <v>9.2597000000000005</v>
      </c>
    </row>
    <row r="189" spans="1:53" ht="21.75" customHeight="1">
      <c r="A189" s="57" t="s">
        <v>247</v>
      </c>
      <c r="B189" s="42" t="s">
        <v>64</v>
      </c>
      <c r="C189" s="43">
        <v>4015985</v>
      </c>
      <c r="D189" s="58" t="s">
        <v>311</v>
      </c>
      <c r="E189" s="58" t="s">
        <v>313</v>
      </c>
      <c r="F189" s="45">
        <v>1299</v>
      </c>
      <c r="G189" s="45">
        <v>899</v>
      </c>
      <c r="H189" s="45">
        <v>899</v>
      </c>
      <c r="I189" s="45">
        <v>899</v>
      </c>
      <c r="J189" s="45">
        <v>799</v>
      </c>
      <c r="K189" s="45">
        <v>799</v>
      </c>
      <c r="L189" s="45">
        <v>799</v>
      </c>
      <c r="M189" s="45">
        <v>799</v>
      </c>
      <c r="N189" s="45">
        <v>799</v>
      </c>
      <c r="O189" s="45">
        <v>749</v>
      </c>
      <c r="P189" s="46">
        <v>749</v>
      </c>
      <c r="Q189" s="46">
        <v>749</v>
      </c>
      <c r="R189" s="45">
        <v>749</v>
      </c>
      <c r="S189" s="45">
        <v>749</v>
      </c>
      <c r="T189" s="45">
        <v>749</v>
      </c>
      <c r="U189" s="45">
        <v>749</v>
      </c>
      <c r="V189" s="45">
        <v>749</v>
      </c>
      <c r="W189" s="45">
        <v>749</v>
      </c>
      <c r="X189" s="45">
        <v>749</v>
      </c>
      <c r="Y189" s="45">
        <v>749</v>
      </c>
      <c r="Z189" s="45">
        <v>749</v>
      </c>
      <c r="AA189" s="45">
        <v>749</v>
      </c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7"/>
      <c r="AW189" s="48" t="s">
        <v>67</v>
      </c>
      <c r="AX189" s="49" t="s">
        <v>68</v>
      </c>
      <c r="AY189" s="50">
        <f t="shared" si="10"/>
        <v>18.159800000000001</v>
      </c>
      <c r="AZ189" s="50">
        <f t="shared" si="11"/>
        <v>16.361800000000002</v>
      </c>
      <c r="BA189" s="51">
        <f t="shared" si="12"/>
        <v>9.2597000000000005</v>
      </c>
    </row>
    <row r="190" spans="1:53" ht="21.75" customHeight="1">
      <c r="A190" s="57" t="s">
        <v>247</v>
      </c>
      <c r="B190" s="42" t="s">
        <v>64</v>
      </c>
      <c r="C190" s="43">
        <v>4016578</v>
      </c>
      <c r="D190" s="58" t="s">
        <v>314</v>
      </c>
      <c r="E190" s="58" t="s">
        <v>315</v>
      </c>
      <c r="F190" s="45">
        <v>1499</v>
      </c>
      <c r="G190" s="45">
        <v>1099</v>
      </c>
      <c r="H190" s="45">
        <v>1099</v>
      </c>
      <c r="I190" s="45">
        <v>1099</v>
      </c>
      <c r="J190" s="45">
        <v>999</v>
      </c>
      <c r="K190" s="45">
        <v>899</v>
      </c>
      <c r="L190" s="45">
        <v>899</v>
      </c>
      <c r="M190" s="45">
        <v>999</v>
      </c>
      <c r="N190" s="45">
        <v>899</v>
      </c>
      <c r="O190" s="45">
        <v>849</v>
      </c>
      <c r="P190" s="46">
        <v>849</v>
      </c>
      <c r="Q190" s="46">
        <v>849</v>
      </c>
      <c r="R190" s="45">
        <v>849</v>
      </c>
      <c r="S190" s="45">
        <v>849</v>
      </c>
      <c r="T190" s="45">
        <v>849</v>
      </c>
      <c r="U190" s="45">
        <v>849</v>
      </c>
      <c r="V190" s="45">
        <v>849</v>
      </c>
      <c r="W190" s="45">
        <v>849</v>
      </c>
      <c r="X190" s="45">
        <v>849</v>
      </c>
      <c r="Y190" s="45">
        <v>849</v>
      </c>
      <c r="Z190" s="45">
        <v>849</v>
      </c>
      <c r="AA190" s="45">
        <v>849</v>
      </c>
      <c r="AB190" s="45">
        <v>899</v>
      </c>
      <c r="AC190" s="45">
        <v>899</v>
      </c>
      <c r="AD190" s="45">
        <v>899</v>
      </c>
      <c r="AE190" s="45">
        <v>849</v>
      </c>
      <c r="AF190" s="45">
        <v>849</v>
      </c>
      <c r="AG190" s="45">
        <v>849</v>
      </c>
      <c r="AH190" s="45">
        <v>849</v>
      </c>
      <c r="AI190" s="45">
        <v>849</v>
      </c>
      <c r="AJ190" s="45">
        <v>849</v>
      </c>
      <c r="AK190" s="45">
        <v>849</v>
      </c>
      <c r="AL190" s="45">
        <v>849</v>
      </c>
      <c r="AM190" s="45"/>
      <c r="AN190" s="45"/>
      <c r="AO190" s="45"/>
      <c r="AP190" s="45"/>
      <c r="AQ190" s="45"/>
      <c r="AR190" s="45"/>
      <c r="AS190" s="45"/>
      <c r="AT190" s="45"/>
      <c r="AU190" s="45"/>
      <c r="AV190" s="47"/>
      <c r="AW190" s="48" t="s">
        <v>67</v>
      </c>
      <c r="AX190" s="49" t="s">
        <v>68</v>
      </c>
      <c r="AY190" s="50">
        <f t="shared" si="10"/>
        <v>22.1998</v>
      </c>
      <c r="AZ190" s="50">
        <f t="shared" si="11"/>
        <v>20.001799999999999</v>
      </c>
      <c r="BA190" s="51">
        <f t="shared" si="12"/>
        <v>11.319700000000001</v>
      </c>
    </row>
    <row r="191" spans="1:53" ht="21.75" customHeight="1">
      <c r="A191" s="57" t="s">
        <v>247</v>
      </c>
      <c r="B191" s="42" t="s">
        <v>64</v>
      </c>
      <c r="C191" s="43">
        <v>4016661</v>
      </c>
      <c r="D191" s="58" t="s">
        <v>314</v>
      </c>
      <c r="E191" s="58" t="s">
        <v>316</v>
      </c>
      <c r="F191" s="45">
        <v>1499</v>
      </c>
      <c r="G191" s="45">
        <v>1099</v>
      </c>
      <c r="H191" s="45">
        <v>1099</v>
      </c>
      <c r="I191" s="45">
        <v>1099</v>
      </c>
      <c r="J191" s="45">
        <v>999</v>
      </c>
      <c r="K191" s="45">
        <v>899</v>
      </c>
      <c r="L191" s="45">
        <v>899</v>
      </c>
      <c r="M191" s="45">
        <v>999</v>
      </c>
      <c r="N191" s="45">
        <v>899</v>
      </c>
      <c r="O191" s="45">
        <v>849</v>
      </c>
      <c r="P191" s="46">
        <v>849</v>
      </c>
      <c r="Q191" s="46">
        <v>849</v>
      </c>
      <c r="R191" s="45">
        <v>849</v>
      </c>
      <c r="S191" s="45">
        <v>849</v>
      </c>
      <c r="T191" s="45">
        <v>849</v>
      </c>
      <c r="U191" s="45">
        <v>849</v>
      </c>
      <c r="V191" s="45">
        <v>849</v>
      </c>
      <c r="W191" s="45">
        <v>849</v>
      </c>
      <c r="X191" s="45">
        <v>849</v>
      </c>
      <c r="Y191" s="45">
        <v>849</v>
      </c>
      <c r="Z191" s="45">
        <v>849</v>
      </c>
      <c r="AA191" s="45">
        <v>849</v>
      </c>
      <c r="AB191" s="45">
        <v>899</v>
      </c>
      <c r="AC191" s="45">
        <v>899</v>
      </c>
      <c r="AD191" s="45">
        <v>899</v>
      </c>
      <c r="AE191" s="45">
        <v>849</v>
      </c>
      <c r="AF191" s="45">
        <v>849</v>
      </c>
      <c r="AG191" s="45">
        <v>849</v>
      </c>
      <c r="AH191" s="45">
        <v>849</v>
      </c>
      <c r="AI191" s="45">
        <v>849</v>
      </c>
      <c r="AJ191" s="45">
        <v>849</v>
      </c>
      <c r="AK191" s="45">
        <v>849</v>
      </c>
      <c r="AL191" s="45">
        <v>849</v>
      </c>
      <c r="AM191" s="45"/>
      <c r="AN191" s="45"/>
      <c r="AO191" s="45"/>
      <c r="AP191" s="45"/>
      <c r="AQ191" s="45"/>
      <c r="AR191" s="45"/>
      <c r="AS191" s="45"/>
      <c r="AT191" s="45"/>
      <c r="AU191" s="45"/>
      <c r="AV191" s="47"/>
      <c r="AW191" s="48" t="s">
        <v>67</v>
      </c>
      <c r="AX191" s="49" t="s">
        <v>68</v>
      </c>
      <c r="AY191" s="50">
        <f t="shared" si="10"/>
        <v>22.1998</v>
      </c>
      <c r="AZ191" s="50">
        <f t="shared" si="11"/>
        <v>20.001799999999999</v>
      </c>
      <c r="BA191" s="51">
        <f t="shared" si="12"/>
        <v>11.319700000000001</v>
      </c>
    </row>
    <row r="192" spans="1:53" ht="21.75" customHeight="1">
      <c r="A192" s="57" t="s">
        <v>247</v>
      </c>
      <c r="B192" s="42" t="s">
        <v>64</v>
      </c>
      <c r="C192" s="43">
        <v>4016660</v>
      </c>
      <c r="D192" s="58" t="s">
        <v>317</v>
      </c>
      <c r="E192" s="58" t="s">
        <v>318</v>
      </c>
      <c r="F192" s="45">
        <v>1699</v>
      </c>
      <c r="G192" s="45">
        <v>1399</v>
      </c>
      <c r="H192" s="45">
        <v>1399</v>
      </c>
      <c r="I192" s="45">
        <v>1399</v>
      </c>
      <c r="J192" s="45">
        <v>1299</v>
      </c>
      <c r="K192" s="45">
        <v>1299</v>
      </c>
      <c r="L192" s="45">
        <v>1299</v>
      </c>
      <c r="M192" s="45">
        <v>1299</v>
      </c>
      <c r="N192" s="45">
        <v>1299</v>
      </c>
      <c r="O192" s="45">
        <v>1249</v>
      </c>
      <c r="P192" s="46">
        <v>1199</v>
      </c>
      <c r="Q192" s="46">
        <v>999</v>
      </c>
      <c r="R192" s="45">
        <v>1249</v>
      </c>
      <c r="S192" s="45">
        <v>1199</v>
      </c>
      <c r="T192" s="45">
        <v>999</v>
      </c>
      <c r="U192" s="45">
        <v>999</v>
      </c>
      <c r="V192" s="45">
        <v>999</v>
      </c>
      <c r="W192" s="45">
        <v>999</v>
      </c>
      <c r="X192" s="45">
        <v>999</v>
      </c>
      <c r="Y192" s="45">
        <v>999</v>
      </c>
      <c r="Z192" s="45">
        <v>999</v>
      </c>
      <c r="AA192" s="45">
        <v>999</v>
      </c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7"/>
      <c r="AW192" s="48" t="s">
        <v>67</v>
      </c>
      <c r="AX192" s="49" t="s">
        <v>68</v>
      </c>
      <c r="AY192" s="50">
        <f t="shared" si="10"/>
        <v>28.259799999999998</v>
      </c>
      <c r="AZ192" s="50">
        <f t="shared" si="11"/>
        <v>25.4618</v>
      </c>
      <c r="BA192" s="51">
        <f t="shared" si="12"/>
        <v>14.409700000000001</v>
      </c>
    </row>
    <row r="193" spans="1:53" ht="21.75" customHeight="1">
      <c r="A193" s="57" t="s">
        <v>247</v>
      </c>
      <c r="B193" s="42" t="s">
        <v>64</v>
      </c>
      <c r="C193" s="43">
        <v>4016663</v>
      </c>
      <c r="D193" s="58" t="s">
        <v>317</v>
      </c>
      <c r="E193" s="58" t="s">
        <v>319</v>
      </c>
      <c r="F193" s="45">
        <v>1699</v>
      </c>
      <c r="G193" s="45">
        <v>1399</v>
      </c>
      <c r="H193" s="45">
        <v>1399</v>
      </c>
      <c r="I193" s="45">
        <v>1399</v>
      </c>
      <c r="J193" s="45">
        <v>1299</v>
      </c>
      <c r="K193" s="45">
        <v>1299</v>
      </c>
      <c r="L193" s="45">
        <v>1299</v>
      </c>
      <c r="M193" s="45">
        <v>1299</v>
      </c>
      <c r="N193" s="45">
        <v>1299</v>
      </c>
      <c r="O193" s="45">
        <v>1249</v>
      </c>
      <c r="P193" s="46">
        <v>1199</v>
      </c>
      <c r="Q193" s="46">
        <v>999</v>
      </c>
      <c r="R193" s="45">
        <v>1249</v>
      </c>
      <c r="S193" s="45">
        <v>1199</v>
      </c>
      <c r="T193" s="45">
        <v>999</v>
      </c>
      <c r="U193" s="45">
        <v>999</v>
      </c>
      <c r="V193" s="45">
        <v>999</v>
      </c>
      <c r="W193" s="45">
        <v>999</v>
      </c>
      <c r="X193" s="45">
        <v>999</v>
      </c>
      <c r="Y193" s="45">
        <v>999</v>
      </c>
      <c r="Z193" s="45">
        <v>999</v>
      </c>
      <c r="AA193" s="45">
        <v>999</v>
      </c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7"/>
      <c r="AW193" s="48" t="s">
        <v>67</v>
      </c>
      <c r="AX193" s="49" t="s">
        <v>68</v>
      </c>
      <c r="AY193" s="50">
        <f t="shared" si="10"/>
        <v>28.259799999999998</v>
      </c>
      <c r="AZ193" s="50">
        <f t="shared" si="11"/>
        <v>25.4618</v>
      </c>
      <c r="BA193" s="51">
        <f t="shared" si="12"/>
        <v>14.409700000000001</v>
      </c>
    </row>
    <row r="194" spans="1:53" ht="21.75" customHeight="1">
      <c r="A194" s="57" t="s">
        <v>247</v>
      </c>
      <c r="B194" s="42" t="s">
        <v>64</v>
      </c>
      <c r="C194" s="43">
        <v>4018194</v>
      </c>
      <c r="D194" s="59" t="s">
        <v>320</v>
      </c>
      <c r="E194" s="58" t="s">
        <v>321</v>
      </c>
      <c r="F194" s="45">
        <v>1799</v>
      </c>
      <c r="G194" s="45">
        <v>1399</v>
      </c>
      <c r="H194" s="45">
        <v>1399</v>
      </c>
      <c r="I194" s="45">
        <v>1399</v>
      </c>
      <c r="J194" s="54">
        <v>1249</v>
      </c>
      <c r="K194" s="54">
        <v>999</v>
      </c>
      <c r="L194" s="54">
        <v>999</v>
      </c>
      <c r="M194" s="54">
        <v>1249</v>
      </c>
      <c r="N194" s="54">
        <v>999</v>
      </c>
      <c r="O194" s="54">
        <v>999</v>
      </c>
      <c r="P194" s="54">
        <v>999</v>
      </c>
      <c r="Q194" s="54">
        <v>899</v>
      </c>
      <c r="R194" s="54">
        <v>999</v>
      </c>
      <c r="S194" s="54">
        <v>999</v>
      </c>
      <c r="T194" s="54">
        <v>899</v>
      </c>
      <c r="U194" s="54">
        <v>899</v>
      </c>
      <c r="V194" s="54">
        <v>899</v>
      </c>
      <c r="W194" s="54">
        <v>899</v>
      </c>
      <c r="X194" s="54">
        <v>899</v>
      </c>
      <c r="Y194" s="45">
        <v>899</v>
      </c>
      <c r="Z194" s="45">
        <v>899</v>
      </c>
      <c r="AA194" s="45">
        <v>899</v>
      </c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7"/>
      <c r="AW194" s="48" t="s">
        <v>67</v>
      </c>
      <c r="AX194" s="49" t="s">
        <v>68</v>
      </c>
      <c r="AY194" s="55">
        <f t="shared" si="10"/>
        <v>28.259799999999998</v>
      </c>
      <c r="AZ194" s="55">
        <f t="shared" si="11"/>
        <v>25.4618</v>
      </c>
      <c r="BA194" s="56">
        <f t="shared" si="12"/>
        <v>14.409700000000001</v>
      </c>
    </row>
    <row r="195" spans="1:53" ht="21.75" customHeight="1">
      <c r="A195" s="57" t="s">
        <v>247</v>
      </c>
      <c r="B195" s="42" t="s">
        <v>64</v>
      </c>
      <c r="C195" s="43">
        <v>4018196</v>
      </c>
      <c r="D195" s="59" t="s">
        <v>320</v>
      </c>
      <c r="E195" s="58" t="s">
        <v>322</v>
      </c>
      <c r="F195" s="45">
        <v>1799</v>
      </c>
      <c r="G195" s="45">
        <v>1399</v>
      </c>
      <c r="H195" s="45">
        <v>1399</v>
      </c>
      <c r="I195" s="45">
        <v>1399</v>
      </c>
      <c r="J195" s="54">
        <v>1249</v>
      </c>
      <c r="K195" s="54">
        <v>999</v>
      </c>
      <c r="L195" s="54">
        <v>999</v>
      </c>
      <c r="M195" s="54">
        <v>1249</v>
      </c>
      <c r="N195" s="54">
        <v>999</v>
      </c>
      <c r="O195" s="54">
        <v>999</v>
      </c>
      <c r="P195" s="54">
        <v>999</v>
      </c>
      <c r="Q195" s="54">
        <v>899</v>
      </c>
      <c r="R195" s="54">
        <v>999</v>
      </c>
      <c r="S195" s="54">
        <v>999</v>
      </c>
      <c r="T195" s="54">
        <v>899</v>
      </c>
      <c r="U195" s="54">
        <v>899</v>
      </c>
      <c r="V195" s="54">
        <v>899</v>
      </c>
      <c r="W195" s="54">
        <v>899</v>
      </c>
      <c r="X195" s="54">
        <v>899</v>
      </c>
      <c r="Y195" s="45">
        <v>899</v>
      </c>
      <c r="Z195" s="45">
        <v>899</v>
      </c>
      <c r="AA195" s="45">
        <v>899</v>
      </c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7"/>
      <c r="AW195" s="48" t="s">
        <v>67</v>
      </c>
      <c r="AX195" s="49" t="s">
        <v>68</v>
      </c>
      <c r="AY195" s="55">
        <f t="shared" si="10"/>
        <v>28.259799999999998</v>
      </c>
      <c r="AZ195" s="55">
        <f t="shared" si="11"/>
        <v>25.4618</v>
      </c>
      <c r="BA195" s="56">
        <f t="shared" si="12"/>
        <v>14.409700000000001</v>
      </c>
    </row>
    <row r="196" spans="1:53" ht="21.75" customHeight="1">
      <c r="A196" s="57" t="s">
        <v>247</v>
      </c>
      <c r="B196" s="42" t="s">
        <v>64</v>
      </c>
      <c r="C196" s="43">
        <v>4017967</v>
      </c>
      <c r="D196" s="59" t="s">
        <v>323</v>
      </c>
      <c r="E196" s="58" t="s">
        <v>324</v>
      </c>
      <c r="F196" s="45">
        <v>1999</v>
      </c>
      <c r="G196" s="45">
        <v>1499</v>
      </c>
      <c r="H196" s="45">
        <v>1499</v>
      </c>
      <c r="I196" s="45">
        <v>1499</v>
      </c>
      <c r="J196" s="54">
        <v>1349</v>
      </c>
      <c r="K196" s="54">
        <v>1199</v>
      </c>
      <c r="L196" s="54">
        <v>1199</v>
      </c>
      <c r="M196" s="54">
        <v>1349</v>
      </c>
      <c r="N196" s="54">
        <v>1199</v>
      </c>
      <c r="O196" s="54">
        <v>1149</v>
      </c>
      <c r="P196" s="54">
        <v>1099</v>
      </c>
      <c r="Q196" s="54">
        <v>999</v>
      </c>
      <c r="R196" s="54">
        <v>1149</v>
      </c>
      <c r="S196" s="54">
        <v>1099</v>
      </c>
      <c r="T196" s="54">
        <v>999</v>
      </c>
      <c r="U196" s="54">
        <v>999</v>
      </c>
      <c r="V196" s="54">
        <v>999</v>
      </c>
      <c r="W196" s="54">
        <v>999</v>
      </c>
      <c r="X196" s="54">
        <v>949</v>
      </c>
      <c r="Y196" s="54">
        <v>899</v>
      </c>
      <c r="Z196" s="54">
        <v>899</v>
      </c>
      <c r="AA196" s="54">
        <v>899</v>
      </c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7"/>
      <c r="AW196" s="48" t="s">
        <v>67</v>
      </c>
      <c r="AX196" s="49" t="s">
        <v>68</v>
      </c>
      <c r="AY196" s="55">
        <f t="shared" si="10"/>
        <v>30.279799999999998</v>
      </c>
      <c r="AZ196" s="55">
        <f t="shared" si="11"/>
        <v>27.2818</v>
      </c>
      <c r="BA196" s="56">
        <f t="shared" si="12"/>
        <v>15.4397</v>
      </c>
    </row>
    <row r="197" spans="1:53" ht="21.75" customHeight="1">
      <c r="A197" s="57" t="s">
        <v>247</v>
      </c>
      <c r="B197" s="42" t="s">
        <v>64</v>
      </c>
      <c r="C197" s="43">
        <v>4017963</v>
      </c>
      <c r="D197" s="59" t="s">
        <v>323</v>
      </c>
      <c r="E197" s="58" t="s">
        <v>325</v>
      </c>
      <c r="F197" s="45">
        <v>1999</v>
      </c>
      <c r="G197" s="45">
        <v>1499</v>
      </c>
      <c r="H197" s="45">
        <v>1499</v>
      </c>
      <c r="I197" s="45">
        <v>1499</v>
      </c>
      <c r="J197" s="54">
        <v>1349</v>
      </c>
      <c r="K197" s="54">
        <v>1199</v>
      </c>
      <c r="L197" s="54">
        <v>1199</v>
      </c>
      <c r="M197" s="54">
        <v>1349</v>
      </c>
      <c r="N197" s="54">
        <v>1199</v>
      </c>
      <c r="O197" s="54">
        <v>1149</v>
      </c>
      <c r="P197" s="54">
        <v>1099</v>
      </c>
      <c r="Q197" s="54">
        <v>999</v>
      </c>
      <c r="R197" s="54">
        <v>1149</v>
      </c>
      <c r="S197" s="54">
        <v>1099</v>
      </c>
      <c r="T197" s="54">
        <v>999</v>
      </c>
      <c r="U197" s="54">
        <v>999</v>
      </c>
      <c r="V197" s="54">
        <v>999</v>
      </c>
      <c r="W197" s="54">
        <v>999</v>
      </c>
      <c r="X197" s="54">
        <v>949</v>
      </c>
      <c r="Y197" s="54">
        <v>899</v>
      </c>
      <c r="Z197" s="54">
        <v>899</v>
      </c>
      <c r="AA197" s="54">
        <v>899</v>
      </c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7"/>
      <c r="AW197" s="48" t="s">
        <v>67</v>
      </c>
      <c r="AX197" s="49" t="s">
        <v>68</v>
      </c>
      <c r="AY197" s="55">
        <f t="shared" si="10"/>
        <v>30.279799999999998</v>
      </c>
      <c r="AZ197" s="55">
        <f t="shared" si="11"/>
        <v>27.2818</v>
      </c>
      <c r="BA197" s="56">
        <f t="shared" si="12"/>
        <v>15.4397</v>
      </c>
    </row>
    <row r="198" spans="1:53" ht="21.75" customHeight="1">
      <c r="A198" s="57" t="s">
        <v>247</v>
      </c>
      <c r="B198" s="42" t="s">
        <v>64</v>
      </c>
      <c r="C198" s="43">
        <v>4015328</v>
      </c>
      <c r="D198" s="58" t="s">
        <v>326</v>
      </c>
      <c r="E198" s="58" t="s">
        <v>327</v>
      </c>
      <c r="F198" s="45">
        <v>956</v>
      </c>
      <c r="G198" s="45">
        <v>756</v>
      </c>
      <c r="H198" s="45">
        <v>956</v>
      </c>
      <c r="I198" s="45">
        <v>956</v>
      </c>
      <c r="J198" s="45">
        <v>529</v>
      </c>
      <c r="K198" s="45">
        <v>529</v>
      </c>
      <c r="L198" s="45">
        <v>529</v>
      </c>
      <c r="M198" s="45">
        <v>529</v>
      </c>
      <c r="N198" s="45">
        <v>529</v>
      </c>
      <c r="O198" s="45">
        <v>529</v>
      </c>
      <c r="P198" s="45">
        <v>529</v>
      </c>
      <c r="Q198" s="45">
        <v>529</v>
      </c>
      <c r="R198" s="45">
        <v>529</v>
      </c>
      <c r="S198" s="45">
        <v>529</v>
      </c>
      <c r="T198" s="45">
        <v>529</v>
      </c>
      <c r="U198" s="45">
        <v>529</v>
      </c>
      <c r="V198" s="45">
        <v>529</v>
      </c>
      <c r="W198" s="45">
        <v>529</v>
      </c>
      <c r="X198" s="45">
        <v>529</v>
      </c>
      <c r="Y198" s="45">
        <v>529</v>
      </c>
      <c r="Z198" s="45">
        <v>529</v>
      </c>
      <c r="AA198" s="45">
        <v>529</v>
      </c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7"/>
      <c r="AW198" s="48" t="s">
        <v>67</v>
      </c>
      <c r="AX198" s="49" t="s">
        <v>68</v>
      </c>
      <c r="AY198" s="50">
        <f t="shared" si="10"/>
        <v>19.311199999999999</v>
      </c>
      <c r="AZ198" s="50">
        <f t="shared" si="11"/>
        <v>17.3992</v>
      </c>
      <c r="BA198" s="51">
        <f t="shared" si="12"/>
        <v>9.8468</v>
      </c>
    </row>
    <row r="199" spans="1:53" ht="21.75" customHeight="1">
      <c r="A199" s="57" t="s">
        <v>247</v>
      </c>
      <c r="B199" s="42" t="s">
        <v>64</v>
      </c>
      <c r="C199" s="43">
        <v>4015336</v>
      </c>
      <c r="D199" s="58" t="s">
        <v>326</v>
      </c>
      <c r="E199" s="58" t="s">
        <v>328</v>
      </c>
      <c r="F199" s="45">
        <v>956</v>
      </c>
      <c r="G199" s="45">
        <v>756</v>
      </c>
      <c r="H199" s="45">
        <v>956</v>
      </c>
      <c r="I199" s="45">
        <v>956</v>
      </c>
      <c r="J199" s="45">
        <v>529</v>
      </c>
      <c r="K199" s="45">
        <v>529</v>
      </c>
      <c r="L199" s="45">
        <v>529</v>
      </c>
      <c r="M199" s="45">
        <v>529</v>
      </c>
      <c r="N199" s="45">
        <v>529</v>
      </c>
      <c r="O199" s="45">
        <v>529</v>
      </c>
      <c r="P199" s="45">
        <v>529</v>
      </c>
      <c r="Q199" s="45">
        <v>529</v>
      </c>
      <c r="R199" s="45">
        <v>529</v>
      </c>
      <c r="S199" s="45">
        <v>529</v>
      </c>
      <c r="T199" s="45">
        <v>529</v>
      </c>
      <c r="U199" s="45">
        <v>529</v>
      </c>
      <c r="V199" s="45">
        <v>529</v>
      </c>
      <c r="W199" s="45">
        <v>529</v>
      </c>
      <c r="X199" s="45">
        <v>529</v>
      </c>
      <c r="Y199" s="45">
        <v>529</v>
      </c>
      <c r="Z199" s="45">
        <v>529</v>
      </c>
      <c r="AA199" s="45">
        <v>529</v>
      </c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7"/>
      <c r="AW199" s="48" t="s">
        <v>67</v>
      </c>
      <c r="AX199" s="49" t="s">
        <v>68</v>
      </c>
      <c r="AY199" s="50">
        <f t="shared" si="10"/>
        <v>19.311199999999999</v>
      </c>
      <c r="AZ199" s="50">
        <f t="shared" si="11"/>
        <v>17.3992</v>
      </c>
      <c r="BA199" s="51">
        <f t="shared" si="12"/>
        <v>9.8468</v>
      </c>
    </row>
    <row r="200" spans="1:53" ht="21.75" customHeight="1">
      <c r="A200" s="57" t="s">
        <v>247</v>
      </c>
      <c r="B200" s="42" t="s">
        <v>64</v>
      </c>
      <c r="C200" s="43">
        <v>4015989</v>
      </c>
      <c r="D200" s="58" t="s">
        <v>329</v>
      </c>
      <c r="E200" s="58" t="s">
        <v>330</v>
      </c>
      <c r="F200" s="45">
        <v>1699</v>
      </c>
      <c r="G200" s="45">
        <v>1399</v>
      </c>
      <c r="H200" s="45">
        <v>1399</v>
      </c>
      <c r="I200" s="45">
        <v>1399</v>
      </c>
      <c r="J200" s="45">
        <v>1199</v>
      </c>
      <c r="K200" s="45">
        <v>1199</v>
      </c>
      <c r="L200" s="45">
        <v>1199</v>
      </c>
      <c r="M200" s="45">
        <v>1199</v>
      </c>
      <c r="N200" s="45">
        <v>1199</v>
      </c>
      <c r="O200" s="45">
        <v>1099</v>
      </c>
      <c r="P200" s="46">
        <v>1049</v>
      </c>
      <c r="Q200" s="46">
        <v>899</v>
      </c>
      <c r="R200" s="45">
        <v>1099</v>
      </c>
      <c r="S200" s="45">
        <v>1049</v>
      </c>
      <c r="T200" s="45">
        <v>899</v>
      </c>
      <c r="U200" s="45">
        <v>899</v>
      </c>
      <c r="V200" s="45">
        <v>899</v>
      </c>
      <c r="W200" s="45">
        <v>899</v>
      </c>
      <c r="X200" s="45">
        <v>849</v>
      </c>
      <c r="Y200" s="45">
        <v>829</v>
      </c>
      <c r="Z200" s="45">
        <v>829</v>
      </c>
      <c r="AA200" s="45">
        <v>819</v>
      </c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7"/>
      <c r="AW200" s="48" t="s">
        <v>67</v>
      </c>
      <c r="AX200" s="49" t="s">
        <v>68</v>
      </c>
      <c r="AY200" s="50">
        <f t="shared" si="10"/>
        <v>28.259799999999998</v>
      </c>
      <c r="AZ200" s="50">
        <f t="shared" si="11"/>
        <v>25.4618</v>
      </c>
      <c r="BA200" s="51">
        <f t="shared" si="12"/>
        <v>14.409700000000001</v>
      </c>
    </row>
    <row r="201" spans="1:53" ht="21.75" customHeight="1">
      <c r="A201" s="57" t="s">
        <v>247</v>
      </c>
      <c r="B201" s="42" t="s">
        <v>64</v>
      </c>
      <c r="C201" s="43">
        <v>4017123</v>
      </c>
      <c r="D201" s="58" t="s">
        <v>331</v>
      </c>
      <c r="E201" s="58" t="s">
        <v>332</v>
      </c>
      <c r="F201" s="45">
        <v>1999</v>
      </c>
      <c r="G201" s="45">
        <v>1999</v>
      </c>
      <c r="H201" s="45">
        <v>1999</v>
      </c>
      <c r="I201" s="45">
        <v>1999</v>
      </c>
      <c r="J201" s="45">
        <v>1899</v>
      </c>
      <c r="K201" s="45">
        <v>1899</v>
      </c>
      <c r="L201" s="45">
        <v>1899</v>
      </c>
      <c r="M201" s="45">
        <v>1899</v>
      </c>
      <c r="N201" s="45">
        <v>1899</v>
      </c>
      <c r="O201" s="45">
        <v>1799</v>
      </c>
      <c r="P201" s="46">
        <v>1699</v>
      </c>
      <c r="Q201" s="46">
        <v>1499</v>
      </c>
      <c r="R201" s="45">
        <v>1799</v>
      </c>
      <c r="S201" s="45">
        <v>1699</v>
      </c>
      <c r="T201" s="45">
        <v>1499</v>
      </c>
      <c r="U201" s="45">
        <v>1499</v>
      </c>
      <c r="V201" s="45">
        <v>1499</v>
      </c>
      <c r="W201" s="45">
        <v>1499</v>
      </c>
      <c r="X201" s="45">
        <v>1399</v>
      </c>
      <c r="Y201" s="45">
        <v>999</v>
      </c>
      <c r="Z201" s="45">
        <v>999</v>
      </c>
      <c r="AA201" s="45">
        <v>999</v>
      </c>
      <c r="AB201" s="45">
        <v>1899</v>
      </c>
      <c r="AC201" s="45">
        <v>1899</v>
      </c>
      <c r="AD201" s="45">
        <v>1899</v>
      </c>
      <c r="AE201" s="45">
        <v>1799</v>
      </c>
      <c r="AF201" s="45">
        <v>1699</v>
      </c>
      <c r="AG201" s="45">
        <v>1699</v>
      </c>
      <c r="AH201" s="45">
        <v>1499</v>
      </c>
      <c r="AI201" s="45">
        <v>1499</v>
      </c>
      <c r="AJ201" s="45">
        <v>1499</v>
      </c>
      <c r="AK201" s="45">
        <v>1499</v>
      </c>
      <c r="AL201" s="45">
        <v>999</v>
      </c>
      <c r="AM201" s="45"/>
      <c r="AN201" s="45"/>
      <c r="AO201" s="45"/>
      <c r="AP201" s="45"/>
      <c r="AQ201" s="45"/>
      <c r="AR201" s="45"/>
      <c r="AS201" s="45"/>
      <c r="AT201" s="45"/>
      <c r="AU201" s="45"/>
      <c r="AV201" s="47"/>
      <c r="AW201" s="48" t="s">
        <v>67</v>
      </c>
      <c r="AX201" s="49" t="s">
        <v>68</v>
      </c>
      <c r="AY201" s="50">
        <f t="shared" si="10"/>
        <v>40.379799999999996</v>
      </c>
      <c r="AZ201" s="50">
        <f t="shared" si="11"/>
        <v>36.381799999999998</v>
      </c>
      <c r="BA201" s="51">
        <f t="shared" si="12"/>
        <v>20.589700000000001</v>
      </c>
    </row>
    <row r="202" spans="1:53" ht="21.75" customHeight="1">
      <c r="A202" s="57" t="s">
        <v>247</v>
      </c>
      <c r="B202" s="42" t="s">
        <v>64</v>
      </c>
      <c r="C202" s="43">
        <v>4017120</v>
      </c>
      <c r="D202" s="58" t="s">
        <v>331</v>
      </c>
      <c r="E202" s="58" t="s">
        <v>333</v>
      </c>
      <c r="F202" s="45">
        <v>1999</v>
      </c>
      <c r="G202" s="45">
        <v>1999</v>
      </c>
      <c r="H202" s="45">
        <v>1999</v>
      </c>
      <c r="I202" s="45">
        <v>1999</v>
      </c>
      <c r="J202" s="45">
        <v>1899</v>
      </c>
      <c r="K202" s="45">
        <v>1899</v>
      </c>
      <c r="L202" s="45">
        <v>1899</v>
      </c>
      <c r="M202" s="45">
        <v>1899</v>
      </c>
      <c r="N202" s="45">
        <v>1899</v>
      </c>
      <c r="O202" s="45">
        <v>1799</v>
      </c>
      <c r="P202" s="46">
        <v>1699</v>
      </c>
      <c r="Q202" s="46">
        <v>1499</v>
      </c>
      <c r="R202" s="45">
        <v>1799</v>
      </c>
      <c r="S202" s="45">
        <v>1699</v>
      </c>
      <c r="T202" s="45">
        <v>1499</v>
      </c>
      <c r="U202" s="45">
        <v>1499</v>
      </c>
      <c r="V202" s="45">
        <v>1499</v>
      </c>
      <c r="W202" s="45">
        <v>1499</v>
      </c>
      <c r="X202" s="45">
        <v>1399</v>
      </c>
      <c r="Y202" s="45">
        <v>999</v>
      </c>
      <c r="Z202" s="45">
        <v>999</v>
      </c>
      <c r="AA202" s="45">
        <v>999</v>
      </c>
      <c r="AB202" s="45">
        <v>1899</v>
      </c>
      <c r="AC202" s="45">
        <v>1899</v>
      </c>
      <c r="AD202" s="45">
        <v>1899</v>
      </c>
      <c r="AE202" s="45">
        <v>1799</v>
      </c>
      <c r="AF202" s="45">
        <v>1699</v>
      </c>
      <c r="AG202" s="45">
        <v>1699</v>
      </c>
      <c r="AH202" s="45">
        <v>1499</v>
      </c>
      <c r="AI202" s="45">
        <v>1499</v>
      </c>
      <c r="AJ202" s="45">
        <v>1499</v>
      </c>
      <c r="AK202" s="45">
        <v>1499</v>
      </c>
      <c r="AL202" s="45">
        <v>999</v>
      </c>
      <c r="AM202" s="45"/>
      <c r="AN202" s="45"/>
      <c r="AO202" s="45"/>
      <c r="AP202" s="45"/>
      <c r="AQ202" s="45"/>
      <c r="AR202" s="45"/>
      <c r="AS202" s="45"/>
      <c r="AT202" s="45"/>
      <c r="AU202" s="45"/>
      <c r="AV202" s="47"/>
      <c r="AW202" s="48" t="s">
        <v>67</v>
      </c>
      <c r="AX202" s="49" t="s">
        <v>68</v>
      </c>
      <c r="AY202" s="50">
        <f t="shared" si="10"/>
        <v>40.379799999999996</v>
      </c>
      <c r="AZ202" s="50">
        <f t="shared" si="11"/>
        <v>36.381799999999998</v>
      </c>
      <c r="BA202" s="51">
        <f t="shared" si="12"/>
        <v>20.589700000000001</v>
      </c>
    </row>
    <row r="203" spans="1:53" ht="21.75" customHeight="1">
      <c r="A203" s="57" t="s">
        <v>247</v>
      </c>
      <c r="B203" s="42" t="s">
        <v>64</v>
      </c>
      <c r="C203" s="43">
        <v>4017684</v>
      </c>
      <c r="D203" s="59" t="s">
        <v>334</v>
      </c>
      <c r="E203" s="58" t="s">
        <v>335</v>
      </c>
      <c r="F203" s="45">
        <v>2199</v>
      </c>
      <c r="G203" s="45">
        <v>2199</v>
      </c>
      <c r="H203" s="45">
        <v>2199</v>
      </c>
      <c r="I203" s="45">
        <v>2199</v>
      </c>
      <c r="J203" s="45">
        <v>2099</v>
      </c>
      <c r="K203" s="45">
        <v>1599</v>
      </c>
      <c r="L203" s="45">
        <v>1599</v>
      </c>
      <c r="M203" s="45">
        <v>2099</v>
      </c>
      <c r="N203" s="45">
        <v>1599</v>
      </c>
      <c r="O203" s="45">
        <v>1499</v>
      </c>
      <c r="P203" s="46">
        <v>1449</v>
      </c>
      <c r="Q203" s="53">
        <v>1299</v>
      </c>
      <c r="R203" s="45">
        <v>1499</v>
      </c>
      <c r="S203" s="45">
        <v>1449</v>
      </c>
      <c r="T203" s="54">
        <v>1299</v>
      </c>
      <c r="U203" s="54">
        <v>1299</v>
      </c>
      <c r="V203" s="54">
        <v>1299</v>
      </c>
      <c r="W203" s="54">
        <v>1299</v>
      </c>
      <c r="X203" s="54">
        <v>1249</v>
      </c>
      <c r="Y203" s="45">
        <v>1199</v>
      </c>
      <c r="Z203" s="45">
        <v>1199</v>
      </c>
      <c r="AA203" s="45">
        <v>1199</v>
      </c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7"/>
      <c r="AW203" s="48" t="s">
        <v>67</v>
      </c>
      <c r="AX203" s="49" t="s">
        <v>68</v>
      </c>
      <c r="AY203" s="50">
        <f t="shared" si="10"/>
        <v>44.419799999999995</v>
      </c>
      <c r="AZ203" s="50">
        <f t="shared" si="11"/>
        <v>40.021799999999999</v>
      </c>
      <c r="BA203" s="51">
        <f t="shared" si="12"/>
        <v>22.649699999999999</v>
      </c>
    </row>
    <row r="204" spans="1:53" ht="21.75" customHeight="1">
      <c r="A204" s="57" t="s">
        <v>247</v>
      </c>
      <c r="B204" s="42" t="s">
        <v>64</v>
      </c>
      <c r="C204" s="43">
        <v>4017687</v>
      </c>
      <c r="D204" s="59" t="s">
        <v>334</v>
      </c>
      <c r="E204" s="58" t="s">
        <v>336</v>
      </c>
      <c r="F204" s="45">
        <v>2199</v>
      </c>
      <c r="G204" s="45">
        <v>2199</v>
      </c>
      <c r="H204" s="45">
        <v>2199</v>
      </c>
      <c r="I204" s="45">
        <v>2199</v>
      </c>
      <c r="J204" s="45">
        <v>2099</v>
      </c>
      <c r="K204" s="45">
        <v>1599</v>
      </c>
      <c r="L204" s="45">
        <v>1599</v>
      </c>
      <c r="M204" s="45">
        <v>2099</v>
      </c>
      <c r="N204" s="45">
        <v>1599</v>
      </c>
      <c r="O204" s="45">
        <v>1499</v>
      </c>
      <c r="P204" s="46">
        <v>1449</v>
      </c>
      <c r="Q204" s="53">
        <v>1299</v>
      </c>
      <c r="R204" s="45">
        <v>1499</v>
      </c>
      <c r="S204" s="45">
        <v>1449</v>
      </c>
      <c r="T204" s="54">
        <v>1299</v>
      </c>
      <c r="U204" s="54">
        <v>1299</v>
      </c>
      <c r="V204" s="54">
        <v>1299</v>
      </c>
      <c r="W204" s="54">
        <v>1299</v>
      </c>
      <c r="X204" s="54">
        <v>1249</v>
      </c>
      <c r="Y204" s="45">
        <v>1199</v>
      </c>
      <c r="Z204" s="45">
        <v>1199</v>
      </c>
      <c r="AA204" s="45">
        <v>1199</v>
      </c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7"/>
      <c r="AW204" s="48" t="s">
        <v>67</v>
      </c>
      <c r="AX204" s="49" t="s">
        <v>68</v>
      </c>
      <c r="AY204" s="50">
        <f t="shared" si="10"/>
        <v>44.419799999999995</v>
      </c>
      <c r="AZ204" s="50">
        <f t="shared" si="11"/>
        <v>40.021799999999999</v>
      </c>
      <c r="BA204" s="51">
        <f t="shared" si="12"/>
        <v>22.649699999999999</v>
      </c>
    </row>
    <row r="205" spans="1:53" ht="22" customHeight="1">
      <c r="A205" s="57" t="s">
        <v>247</v>
      </c>
      <c r="B205" s="42" t="s">
        <v>64</v>
      </c>
      <c r="C205" s="43">
        <v>4016652</v>
      </c>
      <c r="D205" s="58" t="s">
        <v>337</v>
      </c>
      <c r="E205" s="58" t="s">
        <v>338</v>
      </c>
      <c r="F205" s="45">
        <v>2299</v>
      </c>
      <c r="G205" s="45">
        <v>1799</v>
      </c>
      <c r="H205" s="45">
        <v>1799</v>
      </c>
      <c r="I205" s="45">
        <v>1799</v>
      </c>
      <c r="J205" s="45">
        <v>1699</v>
      </c>
      <c r="K205" s="45">
        <v>1699</v>
      </c>
      <c r="L205" s="45">
        <v>1699</v>
      </c>
      <c r="M205" s="45">
        <v>1699</v>
      </c>
      <c r="N205" s="45">
        <v>1699</v>
      </c>
      <c r="O205" s="45">
        <v>1599</v>
      </c>
      <c r="P205" s="46">
        <v>1499</v>
      </c>
      <c r="Q205" s="46">
        <v>999</v>
      </c>
      <c r="R205" s="45">
        <v>1599</v>
      </c>
      <c r="S205" s="45">
        <v>1499</v>
      </c>
      <c r="T205" s="45">
        <v>999</v>
      </c>
      <c r="U205" s="45">
        <v>999</v>
      </c>
      <c r="V205" s="45">
        <v>999</v>
      </c>
      <c r="W205" s="45">
        <v>999</v>
      </c>
      <c r="X205" s="45">
        <v>999</v>
      </c>
      <c r="Y205" s="45">
        <v>899</v>
      </c>
      <c r="Z205" s="45">
        <v>899</v>
      </c>
      <c r="AA205" s="45">
        <v>899</v>
      </c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7"/>
      <c r="AW205" s="48" t="s">
        <v>67</v>
      </c>
      <c r="AX205" s="49" t="s">
        <v>68</v>
      </c>
      <c r="AY205" s="50">
        <f t="shared" si="10"/>
        <v>36.339799999999997</v>
      </c>
      <c r="AZ205" s="50">
        <f t="shared" si="11"/>
        <v>32.741800000000005</v>
      </c>
      <c r="BA205" s="51">
        <f t="shared" si="12"/>
        <v>18.529700000000002</v>
      </c>
    </row>
    <row r="206" spans="1:53" ht="22" customHeight="1">
      <c r="A206" s="57" t="s">
        <v>247</v>
      </c>
      <c r="B206" s="42" t="s">
        <v>64</v>
      </c>
      <c r="C206" s="43">
        <v>4016654</v>
      </c>
      <c r="D206" s="58" t="s">
        <v>337</v>
      </c>
      <c r="E206" s="58" t="s">
        <v>339</v>
      </c>
      <c r="F206" s="45">
        <v>2299</v>
      </c>
      <c r="G206" s="45">
        <v>1799</v>
      </c>
      <c r="H206" s="45">
        <v>1799</v>
      </c>
      <c r="I206" s="45">
        <v>1799</v>
      </c>
      <c r="J206" s="45">
        <v>1699</v>
      </c>
      <c r="K206" s="45">
        <v>1699</v>
      </c>
      <c r="L206" s="45">
        <v>1699</v>
      </c>
      <c r="M206" s="45">
        <v>1699</v>
      </c>
      <c r="N206" s="45">
        <v>1699</v>
      </c>
      <c r="O206" s="45">
        <v>1599</v>
      </c>
      <c r="P206" s="46">
        <v>1499</v>
      </c>
      <c r="Q206" s="46">
        <v>999</v>
      </c>
      <c r="R206" s="45">
        <v>1599</v>
      </c>
      <c r="S206" s="45">
        <v>1499</v>
      </c>
      <c r="T206" s="45">
        <v>999</v>
      </c>
      <c r="U206" s="45">
        <v>999</v>
      </c>
      <c r="V206" s="45">
        <v>999</v>
      </c>
      <c r="W206" s="45">
        <v>999</v>
      </c>
      <c r="X206" s="45">
        <v>999</v>
      </c>
      <c r="Y206" s="45">
        <v>899</v>
      </c>
      <c r="Z206" s="45">
        <v>899</v>
      </c>
      <c r="AA206" s="45">
        <v>899</v>
      </c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7"/>
      <c r="AW206" s="48" t="s">
        <v>67</v>
      </c>
      <c r="AX206" s="49" t="s">
        <v>68</v>
      </c>
      <c r="AY206" s="50">
        <f t="shared" si="10"/>
        <v>36.339799999999997</v>
      </c>
      <c r="AZ206" s="50">
        <f t="shared" si="11"/>
        <v>32.741800000000005</v>
      </c>
      <c r="BA206" s="51">
        <f t="shared" si="12"/>
        <v>18.529700000000002</v>
      </c>
    </row>
    <row r="207" spans="1:53" ht="22" customHeight="1">
      <c r="A207" s="57" t="s">
        <v>247</v>
      </c>
      <c r="B207" s="42" t="s">
        <v>64</v>
      </c>
      <c r="C207" s="62">
        <v>4016655</v>
      </c>
      <c r="D207" s="58" t="s">
        <v>337</v>
      </c>
      <c r="E207" s="58" t="s">
        <v>340</v>
      </c>
      <c r="F207" s="45">
        <v>2299</v>
      </c>
      <c r="G207" s="45">
        <v>1799</v>
      </c>
      <c r="H207" s="45">
        <v>1799</v>
      </c>
      <c r="I207" s="45">
        <v>1799</v>
      </c>
      <c r="J207" s="45">
        <v>1699</v>
      </c>
      <c r="K207" s="45">
        <v>1699</v>
      </c>
      <c r="L207" s="45">
        <v>1699</v>
      </c>
      <c r="M207" s="45">
        <v>1699</v>
      </c>
      <c r="N207" s="45">
        <v>1699</v>
      </c>
      <c r="O207" s="45">
        <v>1599</v>
      </c>
      <c r="P207" s="46">
        <v>1499</v>
      </c>
      <c r="Q207" s="46">
        <v>999</v>
      </c>
      <c r="R207" s="45">
        <v>1599</v>
      </c>
      <c r="S207" s="45">
        <v>1499</v>
      </c>
      <c r="T207" s="45">
        <v>999</v>
      </c>
      <c r="U207" s="45">
        <v>999</v>
      </c>
      <c r="V207" s="45">
        <v>999</v>
      </c>
      <c r="W207" s="45">
        <v>999</v>
      </c>
      <c r="X207" s="45">
        <v>999</v>
      </c>
      <c r="Y207" s="45">
        <v>899</v>
      </c>
      <c r="Z207" s="45">
        <v>899</v>
      </c>
      <c r="AA207" s="45">
        <v>899</v>
      </c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7"/>
      <c r="AW207" s="48" t="s">
        <v>67</v>
      </c>
      <c r="AX207" s="49" t="s">
        <v>68</v>
      </c>
      <c r="AY207" s="50">
        <f t="shared" si="10"/>
        <v>36.339799999999997</v>
      </c>
      <c r="AZ207" s="50">
        <f t="shared" si="11"/>
        <v>32.741800000000005</v>
      </c>
      <c r="BA207" s="51">
        <f t="shared" si="12"/>
        <v>18.529700000000002</v>
      </c>
    </row>
    <row r="208" spans="1:53" ht="22" customHeight="1">
      <c r="A208" s="57" t="s">
        <v>247</v>
      </c>
      <c r="B208" s="42" t="s">
        <v>64</v>
      </c>
      <c r="C208" s="43">
        <v>4014955</v>
      </c>
      <c r="D208" s="58" t="s">
        <v>341</v>
      </c>
      <c r="E208" s="58" t="s">
        <v>342</v>
      </c>
      <c r="F208" s="45">
        <v>999</v>
      </c>
      <c r="G208" s="45">
        <v>799</v>
      </c>
      <c r="H208" s="45">
        <v>799</v>
      </c>
      <c r="I208" s="45">
        <v>799</v>
      </c>
      <c r="J208" s="45">
        <f t="shared" ref="J208:J227" si="14">M208</f>
        <v>699</v>
      </c>
      <c r="K208" s="45">
        <f t="shared" ref="K208:L227" si="15">M208</f>
        <v>699</v>
      </c>
      <c r="L208" s="45">
        <f t="shared" si="15"/>
        <v>699</v>
      </c>
      <c r="M208" s="45">
        <v>699</v>
      </c>
      <c r="N208" s="45">
        <v>699</v>
      </c>
      <c r="O208" s="45">
        <f t="shared" ref="O208:Q225" si="16">R208</f>
        <v>649</v>
      </c>
      <c r="P208" s="46">
        <f t="shared" si="16"/>
        <v>599</v>
      </c>
      <c r="Q208" s="46">
        <f t="shared" si="16"/>
        <v>549</v>
      </c>
      <c r="R208" s="45">
        <v>649</v>
      </c>
      <c r="S208" s="45">
        <v>599</v>
      </c>
      <c r="T208" s="45">
        <v>549</v>
      </c>
      <c r="U208" s="45">
        <v>549</v>
      </c>
      <c r="V208" s="45">
        <v>549</v>
      </c>
      <c r="W208" s="45">
        <v>549</v>
      </c>
      <c r="X208" s="45">
        <v>549</v>
      </c>
      <c r="Y208" s="45">
        <v>549</v>
      </c>
      <c r="Z208" s="45">
        <v>549</v>
      </c>
      <c r="AA208" s="45">
        <v>549</v>
      </c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7"/>
      <c r="AW208" s="48" t="s">
        <v>67</v>
      </c>
      <c r="AX208" s="49" t="s">
        <v>68</v>
      </c>
      <c r="AY208" s="50">
        <f t="shared" si="10"/>
        <v>16.139800000000001</v>
      </c>
      <c r="AZ208" s="50">
        <f t="shared" si="11"/>
        <v>14.5418</v>
      </c>
      <c r="BA208" s="51">
        <f t="shared" si="12"/>
        <v>8.2296999999999993</v>
      </c>
    </row>
    <row r="209" spans="1:53" ht="22" customHeight="1">
      <c r="A209" s="57" t="s">
        <v>247</v>
      </c>
      <c r="B209" s="42" t="s">
        <v>64</v>
      </c>
      <c r="C209" s="43">
        <v>4017126</v>
      </c>
      <c r="D209" s="58" t="s">
        <v>343</v>
      </c>
      <c r="E209" s="58" t="s">
        <v>344</v>
      </c>
      <c r="F209" s="45">
        <v>2799</v>
      </c>
      <c r="G209" s="45">
        <v>2399</v>
      </c>
      <c r="H209" s="45">
        <v>2549</v>
      </c>
      <c r="I209" s="45">
        <v>2549</v>
      </c>
      <c r="J209" s="45">
        <v>2499</v>
      </c>
      <c r="K209" s="45">
        <v>2499</v>
      </c>
      <c r="L209" s="45">
        <v>2499</v>
      </c>
      <c r="M209" s="45">
        <v>2499</v>
      </c>
      <c r="N209" s="45">
        <v>2499</v>
      </c>
      <c r="O209" s="45">
        <v>2399</v>
      </c>
      <c r="P209" s="46">
        <v>2299</v>
      </c>
      <c r="Q209" s="46">
        <v>1799</v>
      </c>
      <c r="R209" s="45">
        <v>2399</v>
      </c>
      <c r="S209" s="45">
        <v>2299</v>
      </c>
      <c r="T209" s="45">
        <v>1799</v>
      </c>
      <c r="U209" s="45">
        <v>1799</v>
      </c>
      <c r="V209" s="45">
        <v>1799</v>
      </c>
      <c r="W209" s="45">
        <v>1799</v>
      </c>
      <c r="X209" s="45">
        <v>1349</v>
      </c>
      <c r="Y209" s="45">
        <v>1099</v>
      </c>
      <c r="Z209" s="45">
        <v>1099</v>
      </c>
      <c r="AA209" s="45">
        <v>1099</v>
      </c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7"/>
      <c r="AW209" s="48" t="s">
        <v>67</v>
      </c>
      <c r="AX209" s="49" t="s">
        <v>68</v>
      </c>
      <c r="AY209" s="50">
        <f t="shared" si="10"/>
        <v>51.489799999999995</v>
      </c>
      <c r="AZ209" s="50">
        <f t="shared" si="11"/>
        <v>46.391800000000003</v>
      </c>
      <c r="BA209" s="51">
        <f t="shared" si="12"/>
        <v>26.2547</v>
      </c>
    </row>
    <row r="210" spans="1:53" ht="22" customHeight="1">
      <c r="A210" s="57" t="s">
        <v>247</v>
      </c>
      <c r="B210" s="42" t="s">
        <v>64</v>
      </c>
      <c r="C210" s="43">
        <v>4017127</v>
      </c>
      <c r="D210" s="58" t="s">
        <v>343</v>
      </c>
      <c r="E210" s="58" t="s">
        <v>345</v>
      </c>
      <c r="F210" s="45">
        <v>2799</v>
      </c>
      <c r="G210" s="45">
        <v>2399</v>
      </c>
      <c r="H210" s="45">
        <v>2549</v>
      </c>
      <c r="I210" s="45">
        <v>2549</v>
      </c>
      <c r="J210" s="45">
        <v>2499</v>
      </c>
      <c r="K210" s="45">
        <v>2499</v>
      </c>
      <c r="L210" s="45">
        <v>2499</v>
      </c>
      <c r="M210" s="45">
        <v>2499</v>
      </c>
      <c r="N210" s="45">
        <v>2499</v>
      </c>
      <c r="O210" s="45">
        <v>2399</v>
      </c>
      <c r="P210" s="46">
        <v>2299</v>
      </c>
      <c r="Q210" s="46">
        <v>1799</v>
      </c>
      <c r="R210" s="45">
        <v>2399</v>
      </c>
      <c r="S210" s="45">
        <v>2299</v>
      </c>
      <c r="T210" s="45">
        <v>1799</v>
      </c>
      <c r="U210" s="45">
        <v>1799</v>
      </c>
      <c r="V210" s="45">
        <v>1799</v>
      </c>
      <c r="W210" s="45">
        <v>1799</v>
      </c>
      <c r="X210" s="45">
        <v>1349</v>
      </c>
      <c r="Y210" s="45">
        <v>1099</v>
      </c>
      <c r="Z210" s="45">
        <v>1099</v>
      </c>
      <c r="AA210" s="45">
        <v>1099</v>
      </c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7"/>
      <c r="AW210" s="48" t="s">
        <v>67</v>
      </c>
      <c r="AX210" s="49" t="s">
        <v>68</v>
      </c>
      <c r="AY210" s="50">
        <f t="shared" si="10"/>
        <v>51.489799999999995</v>
      </c>
      <c r="AZ210" s="50">
        <f t="shared" si="11"/>
        <v>46.391800000000003</v>
      </c>
      <c r="BA210" s="51">
        <f t="shared" si="12"/>
        <v>26.2547</v>
      </c>
    </row>
    <row r="211" spans="1:53" ht="22" customHeight="1">
      <c r="A211" s="57" t="s">
        <v>247</v>
      </c>
      <c r="B211" s="42" t="s">
        <v>64</v>
      </c>
      <c r="C211" s="43">
        <v>4017672</v>
      </c>
      <c r="D211" s="58" t="s">
        <v>343</v>
      </c>
      <c r="E211" s="58" t="s">
        <v>346</v>
      </c>
      <c r="F211" s="45">
        <v>2799</v>
      </c>
      <c r="G211" s="45">
        <v>2399</v>
      </c>
      <c r="H211" s="45">
        <v>2549</v>
      </c>
      <c r="I211" s="45">
        <v>2549</v>
      </c>
      <c r="J211" s="45">
        <v>2499</v>
      </c>
      <c r="K211" s="45">
        <v>2499</v>
      </c>
      <c r="L211" s="45">
        <v>2499</v>
      </c>
      <c r="M211" s="45">
        <v>2499</v>
      </c>
      <c r="N211" s="45">
        <v>2499</v>
      </c>
      <c r="O211" s="45">
        <v>2399</v>
      </c>
      <c r="P211" s="46">
        <v>2299</v>
      </c>
      <c r="Q211" s="46">
        <v>1799</v>
      </c>
      <c r="R211" s="45">
        <v>2399</v>
      </c>
      <c r="S211" s="45">
        <v>2299</v>
      </c>
      <c r="T211" s="45">
        <v>1799</v>
      </c>
      <c r="U211" s="45">
        <v>1799</v>
      </c>
      <c r="V211" s="45">
        <v>1799</v>
      </c>
      <c r="W211" s="45">
        <v>1799</v>
      </c>
      <c r="X211" s="45">
        <v>1349</v>
      </c>
      <c r="Y211" s="45">
        <v>1099</v>
      </c>
      <c r="Z211" s="45">
        <v>1099</v>
      </c>
      <c r="AA211" s="45">
        <v>1099</v>
      </c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7"/>
      <c r="AW211" s="48" t="s">
        <v>67</v>
      </c>
      <c r="AX211" s="49" t="s">
        <v>68</v>
      </c>
      <c r="AY211" s="50">
        <f t="shared" si="10"/>
        <v>51.489799999999995</v>
      </c>
      <c r="AZ211" s="50">
        <f t="shared" si="11"/>
        <v>46.391800000000003</v>
      </c>
      <c r="BA211" s="51">
        <f t="shared" si="12"/>
        <v>26.2547</v>
      </c>
    </row>
    <row r="212" spans="1:53" ht="22" customHeight="1">
      <c r="A212" s="57" t="s">
        <v>247</v>
      </c>
      <c r="B212" s="42" t="s">
        <v>64</v>
      </c>
      <c r="C212" s="43">
        <v>4017673</v>
      </c>
      <c r="D212" s="58" t="s">
        <v>343</v>
      </c>
      <c r="E212" s="58" t="s">
        <v>347</v>
      </c>
      <c r="F212" s="45">
        <v>2799</v>
      </c>
      <c r="G212" s="45">
        <v>2399</v>
      </c>
      <c r="H212" s="45">
        <v>2549</v>
      </c>
      <c r="I212" s="45">
        <v>2549</v>
      </c>
      <c r="J212" s="45">
        <v>2499</v>
      </c>
      <c r="K212" s="45">
        <v>2499</v>
      </c>
      <c r="L212" s="45">
        <v>2499</v>
      </c>
      <c r="M212" s="45">
        <v>2499</v>
      </c>
      <c r="N212" s="45">
        <v>2499</v>
      </c>
      <c r="O212" s="45">
        <v>2399</v>
      </c>
      <c r="P212" s="46">
        <v>2299</v>
      </c>
      <c r="Q212" s="46">
        <v>1799</v>
      </c>
      <c r="R212" s="45">
        <v>2399</v>
      </c>
      <c r="S212" s="45">
        <v>2299</v>
      </c>
      <c r="T212" s="45">
        <v>1799</v>
      </c>
      <c r="U212" s="45">
        <v>1799</v>
      </c>
      <c r="V212" s="45">
        <v>1799</v>
      </c>
      <c r="W212" s="45">
        <v>1799</v>
      </c>
      <c r="X212" s="45">
        <v>1349</v>
      </c>
      <c r="Y212" s="45">
        <v>1099</v>
      </c>
      <c r="Z212" s="45">
        <v>1099</v>
      </c>
      <c r="AA212" s="45">
        <v>1099</v>
      </c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7"/>
      <c r="AW212" s="48" t="s">
        <v>67</v>
      </c>
      <c r="AX212" s="49" t="s">
        <v>68</v>
      </c>
      <c r="AY212" s="50">
        <f t="shared" si="10"/>
        <v>51.489799999999995</v>
      </c>
      <c r="AZ212" s="50">
        <f t="shared" si="11"/>
        <v>46.391800000000003</v>
      </c>
      <c r="BA212" s="51">
        <f t="shared" si="12"/>
        <v>26.2547</v>
      </c>
    </row>
    <row r="213" spans="1:53" ht="22" customHeight="1">
      <c r="A213" s="57" t="s">
        <v>247</v>
      </c>
      <c r="B213" s="42" t="s">
        <v>64</v>
      </c>
      <c r="C213" s="43">
        <v>4017964</v>
      </c>
      <c r="D213" s="58" t="s">
        <v>348</v>
      </c>
      <c r="E213" s="58" t="s">
        <v>349</v>
      </c>
      <c r="F213" s="45">
        <v>2999</v>
      </c>
      <c r="G213" s="45">
        <v>2599</v>
      </c>
      <c r="H213" s="45">
        <v>2599</v>
      </c>
      <c r="I213" s="45">
        <v>2599</v>
      </c>
      <c r="J213" s="45">
        <v>2499</v>
      </c>
      <c r="K213" s="45">
        <v>2499</v>
      </c>
      <c r="L213" s="45">
        <v>2499</v>
      </c>
      <c r="M213" s="45">
        <v>2499</v>
      </c>
      <c r="N213" s="45">
        <v>2499</v>
      </c>
      <c r="O213" s="45">
        <v>2399</v>
      </c>
      <c r="P213" s="46">
        <v>2299</v>
      </c>
      <c r="Q213" s="46">
        <v>1499</v>
      </c>
      <c r="R213" s="45">
        <v>2399</v>
      </c>
      <c r="S213" s="45">
        <v>2299</v>
      </c>
      <c r="T213" s="46">
        <v>1499</v>
      </c>
      <c r="U213" s="46">
        <v>1499</v>
      </c>
      <c r="V213" s="46">
        <v>1499</v>
      </c>
      <c r="W213" s="46">
        <v>1499</v>
      </c>
      <c r="X213" s="45">
        <v>1399</v>
      </c>
      <c r="Y213" s="45">
        <v>1299</v>
      </c>
      <c r="Z213" s="45">
        <v>1299</v>
      </c>
      <c r="AA213" s="45">
        <v>1299</v>
      </c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7"/>
      <c r="AW213" s="48" t="s">
        <v>67</v>
      </c>
      <c r="AX213" s="49" t="s">
        <v>68</v>
      </c>
      <c r="AY213" s="55">
        <f t="shared" si="10"/>
        <v>52.4998</v>
      </c>
      <c r="AZ213" s="55">
        <f t="shared" si="11"/>
        <v>47.3018</v>
      </c>
      <c r="BA213" s="56">
        <f t="shared" si="12"/>
        <v>26.7697</v>
      </c>
    </row>
    <row r="214" spans="1:53" ht="22" customHeight="1">
      <c r="A214" s="57" t="s">
        <v>247</v>
      </c>
      <c r="B214" s="42" t="s">
        <v>64</v>
      </c>
      <c r="C214" s="43">
        <v>4017966</v>
      </c>
      <c r="D214" s="58" t="s">
        <v>348</v>
      </c>
      <c r="E214" s="58" t="s">
        <v>350</v>
      </c>
      <c r="F214" s="45">
        <v>2999</v>
      </c>
      <c r="G214" s="45">
        <v>2599</v>
      </c>
      <c r="H214" s="45">
        <v>2599</v>
      </c>
      <c r="I214" s="45">
        <v>2599</v>
      </c>
      <c r="J214" s="45">
        <v>2499</v>
      </c>
      <c r="K214" s="45">
        <v>2499</v>
      </c>
      <c r="L214" s="45">
        <v>2499</v>
      </c>
      <c r="M214" s="45">
        <v>2499</v>
      </c>
      <c r="N214" s="45">
        <v>2499</v>
      </c>
      <c r="O214" s="45">
        <v>2399</v>
      </c>
      <c r="P214" s="46">
        <v>2299</v>
      </c>
      <c r="Q214" s="46">
        <v>1499</v>
      </c>
      <c r="R214" s="45">
        <v>2399</v>
      </c>
      <c r="S214" s="45">
        <v>2299</v>
      </c>
      <c r="T214" s="46">
        <v>1499</v>
      </c>
      <c r="U214" s="46">
        <v>1499</v>
      </c>
      <c r="V214" s="46">
        <v>1499</v>
      </c>
      <c r="W214" s="46">
        <v>1499</v>
      </c>
      <c r="X214" s="45">
        <v>1399</v>
      </c>
      <c r="Y214" s="45">
        <v>1299</v>
      </c>
      <c r="Z214" s="45">
        <v>1299</v>
      </c>
      <c r="AA214" s="45">
        <v>1299</v>
      </c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7"/>
      <c r="AW214" s="48" t="s">
        <v>67</v>
      </c>
      <c r="AX214" s="49" t="s">
        <v>68</v>
      </c>
      <c r="AY214" s="55">
        <f t="shared" si="10"/>
        <v>52.4998</v>
      </c>
      <c r="AZ214" s="55">
        <f t="shared" si="11"/>
        <v>47.3018</v>
      </c>
      <c r="BA214" s="56">
        <f t="shared" si="12"/>
        <v>26.7697</v>
      </c>
    </row>
    <row r="215" spans="1:53" ht="22.5" customHeight="1">
      <c r="A215" s="41" t="s">
        <v>63</v>
      </c>
      <c r="B215" s="42" t="s">
        <v>64</v>
      </c>
      <c r="C215" s="43">
        <v>4015582</v>
      </c>
      <c r="D215" s="58" t="s">
        <v>351</v>
      </c>
      <c r="E215" s="58" t="s">
        <v>352</v>
      </c>
      <c r="F215" s="45">
        <v>5499</v>
      </c>
      <c r="G215" s="45">
        <v>1899</v>
      </c>
      <c r="H215" s="45">
        <v>2799</v>
      </c>
      <c r="I215" s="45">
        <v>2799</v>
      </c>
      <c r="J215" s="45">
        <v>2499</v>
      </c>
      <c r="K215" s="45">
        <v>2399</v>
      </c>
      <c r="L215" s="45">
        <v>2399</v>
      </c>
      <c r="M215" s="45">
        <v>2499</v>
      </c>
      <c r="N215" s="45">
        <v>2499</v>
      </c>
      <c r="O215" s="45">
        <v>2299</v>
      </c>
      <c r="P215" s="46">
        <v>2199</v>
      </c>
      <c r="Q215" s="46">
        <v>1699</v>
      </c>
      <c r="R215" s="45">
        <v>2299</v>
      </c>
      <c r="S215" s="45">
        <v>2199</v>
      </c>
      <c r="T215" s="45">
        <v>1699</v>
      </c>
      <c r="U215" s="45">
        <v>1699</v>
      </c>
      <c r="V215" s="45">
        <v>1699</v>
      </c>
      <c r="W215" s="45">
        <v>1699</v>
      </c>
      <c r="X215" s="45">
        <v>1599</v>
      </c>
      <c r="Y215" s="45">
        <v>1399</v>
      </c>
      <c r="Z215" s="45">
        <v>1399</v>
      </c>
      <c r="AA215" s="45">
        <v>1399</v>
      </c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7"/>
      <c r="AW215" s="48" t="s">
        <v>67</v>
      </c>
      <c r="AX215" s="49" t="s">
        <v>68</v>
      </c>
      <c r="AY215" s="50">
        <f t="shared" si="10"/>
        <v>56.5398</v>
      </c>
      <c r="AZ215" s="50">
        <f t="shared" si="11"/>
        <v>50.941800000000001</v>
      </c>
      <c r="BA215" s="51">
        <f t="shared" si="12"/>
        <v>28.829699999999999</v>
      </c>
    </row>
    <row r="216" spans="1:53" ht="22.5" customHeight="1">
      <c r="A216" s="41" t="s">
        <v>63</v>
      </c>
      <c r="B216" s="42" t="s">
        <v>64</v>
      </c>
      <c r="C216" s="43">
        <v>4015584</v>
      </c>
      <c r="D216" s="58" t="s">
        <v>351</v>
      </c>
      <c r="E216" s="58" t="s">
        <v>353</v>
      </c>
      <c r="F216" s="45">
        <v>5499</v>
      </c>
      <c r="G216" s="45">
        <v>1899</v>
      </c>
      <c r="H216" s="45">
        <v>2799</v>
      </c>
      <c r="I216" s="45">
        <v>2799</v>
      </c>
      <c r="J216" s="45">
        <v>2499</v>
      </c>
      <c r="K216" s="45">
        <v>2399</v>
      </c>
      <c r="L216" s="45">
        <v>2399</v>
      </c>
      <c r="M216" s="45">
        <v>2499</v>
      </c>
      <c r="N216" s="45">
        <v>2499</v>
      </c>
      <c r="O216" s="45">
        <v>2299</v>
      </c>
      <c r="P216" s="46">
        <v>2199</v>
      </c>
      <c r="Q216" s="46">
        <v>1699</v>
      </c>
      <c r="R216" s="45">
        <v>2299</v>
      </c>
      <c r="S216" s="45">
        <v>2199</v>
      </c>
      <c r="T216" s="45">
        <v>1699</v>
      </c>
      <c r="U216" s="45">
        <v>1699</v>
      </c>
      <c r="V216" s="45">
        <v>1699</v>
      </c>
      <c r="W216" s="45">
        <v>1699</v>
      </c>
      <c r="X216" s="45">
        <v>1599</v>
      </c>
      <c r="Y216" s="45">
        <v>1399</v>
      </c>
      <c r="Z216" s="45">
        <v>1399</v>
      </c>
      <c r="AA216" s="45">
        <v>1399</v>
      </c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7"/>
      <c r="AW216" s="48" t="s">
        <v>67</v>
      </c>
      <c r="AX216" s="49" t="s">
        <v>68</v>
      </c>
      <c r="AY216" s="50">
        <f t="shared" si="10"/>
        <v>56.5398</v>
      </c>
      <c r="AZ216" s="50">
        <f t="shared" si="11"/>
        <v>50.941800000000001</v>
      </c>
      <c r="BA216" s="51">
        <f t="shared" si="12"/>
        <v>28.829699999999999</v>
      </c>
    </row>
    <row r="217" spans="1:53" ht="22.5" customHeight="1">
      <c r="A217" s="41" t="s">
        <v>63</v>
      </c>
      <c r="B217" s="42" t="s">
        <v>64</v>
      </c>
      <c r="C217" s="43">
        <v>4015556</v>
      </c>
      <c r="D217" s="58" t="s">
        <v>354</v>
      </c>
      <c r="E217" s="58" t="s">
        <v>355</v>
      </c>
      <c r="F217" s="45">
        <v>7999</v>
      </c>
      <c r="G217" s="45">
        <v>3399</v>
      </c>
      <c r="H217" s="45">
        <v>4299</v>
      </c>
      <c r="I217" s="45">
        <v>4299</v>
      </c>
      <c r="J217" s="45">
        <v>3099</v>
      </c>
      <c r="K217" s="45">
        <v>2999</v>
      </c>
      <c r="L217" s="45">
        <v>2999</v>
      </c>
      <c r="M217" s="45">
        <v>3099</v>
      </c>
      <c r="N217" s="45">
        <v>3099</v>
      </c>
      <c r="O217" s="45">
        <v>2899</v>
      </c>
      <c r="P217" s="46">
        <v>2799</v>
      </c>
      <c r="Q217" s="46">
        <v>2599</v>
      </c>
      <c r="R217" s="45">
        <v>2899</v>
      </c>
      <c r="S217" s="45">
        <v>2799</v>
      </c>
      <c r="T217" s="45">
        <v>2599</v>
      </c>
      <c r="U217" s="45">
        <v>2599</v>
      </c>
      <c r="V217" s="45">
        <v>2599</v>
      </c>
      <c r="W217" s="45">
        <v>2599</v>
      </c>
      <c r="X217" s="45">
        <v>2499</v>
      </c>
      <c r="Y217" s="45">
        <v>2399</v>
      </c>
      <c r="Z217" s="45">
        <v>2399</v>
      </c>
      <c r="AA217" s="45">
        <v>2399</v>
      </c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7"/>
      <c r="AW217" s="48" t="s">
        <v>67</v>
      </c>
      <c r="AX217" s="49" t="s">
        <v>68</v>
      </c>
      <c r="AY217" s="50">
        <f t="shared" si="10"/>
        <v>86.839799999999997</v>
      </c>
      <c r="AZ217" s="50">
        <f t="shared" si="11"/>
        <v>78.241799999999998</v>
      </c>
      <c r="BA217" s="51">
        <f t="shared" si="12"/>
        <v>44.279699999999998</v>
      </c>
    </row>
    <row r="218" spans="1:53" ht="22.5" customHeight="1">
      <c r="A218" s="41" t="s">
        <v>63</v>
      </c>
      <c r="B218" s="42" t="s">
        <v>64</v>
      </c>
      <c r="C218" s="43">
        <v>4016294</v>
      </c>
      <c r="D218" s="58" t="s">
        <v>356</v>
      </c>
      <c r="E218" s="58" t="s">
        <v>357</v>
      </c>
      <c r="F218" s="45">
        <v>7999</v>
      </c>
      <c r="G218" s="45">
        <v>3299</v>
      </c>
      <c r="H218" s="45">
        <v>5069</v>
      </c>
      <c r="I218" s="45">
        <v>5069</v>
      </c>
      <c r="J218" s="45">
        <v>4999</v>
      </c>
      <c r="K218" s="45">
        <v>4999</v>
      </c>
      <c r="L218" s="45">
        <v>4999</v>
      </c>
      <c r="M218" s="45">
        <v>4999</v>
      </c>
      <c r="N218" s="45">
        <v>4999</v>
      </c>
      <c r="O218" s="45">
        <v>4899</v>
      </c>
      <c r="P218" s="46">
        <v>4799</v>
      </c>
      <c r="Q218" s="46">
        <v>3599</v>
      </c>
      <c r="R218" s="45">
        <v>4899</v>
      </c>
      <c r="S218" s="45">
        <v>4799</v>
      </c>
      <c r="T218" s="45">
        <v>3599</v>
      </c>
      <c r="U218" s="45">
        <v>3599</v>
      </c>
      <c r="V218" s="45">
        <v>3599</v>
      </c>
      <c r="W218" s="45">
        <v>3599</v>
      </c>
      <c r="X218" s="45">
        <v>3299</v>
      </c>
      <c r="Y218" s="45">
        <v>1999</v>
      </c>
      <c r="Z218" s="45">
        <v>1999</v>
      </c>
      <c r="AA218" s="45">
        <v>1999</v>
      </c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7"/>
      <c r="AW218" s="48" t="s">
        <v>67</v>
      </c>
      <c r="AX218" s="49" t="s">
        <v>68</v>
      </c>
      <c r="AY218" s="50">
        <f t="shared" si="10"/>
        <v>102.3938</v>
      </c>
      <c r="AZ218" s="50">
        <f t="shared" si="11"/>
        <v>92.255800000000008</v>
      </c>
      <c r="BA218" s="51">
        <f t="shared" si="12"/>
        <v>52.210700000000003</v>
      </c>
    </row>
    <row r="219" spans="1:53" ht="22.5" customHeight="1">
      <c r="A219" s="41" t="s">
        <v>63</v>
      </c>
      <c r="B219" s="42" t="s">
        <v>64</v>
      </c>
      <c r="C219" s="43">
        <v>4016925</v>
      </c>
      <c r="D219" s="58" t="s">
        <v>358</v>
      </c>
      <c r="E219" s="58" t="s">
        <v>359</v>
      </c>
      <c r="F219" s="45">
        <v>9999</v>
      </c>
      <c r="G219" s="45">
        <v>6299</v>
      </c>
      <c r="H219" s="45">
        <v>6779</v>
      </c>
      <c r="I219" s="45">
        <v>6779</v>
      </c>
      <c r="J219" s="45">
        <v>6699</v>
      </c>
      <c r="K219" s="45">
        <v>6699</v>
      </c>
      <c r="L219" s="45">
        <v>6699</v>
      </c>
      <c r="M219" s="45">
        <v>6699</v>
      </c>
      <c r="N219" s="45">
        <v>6699</v>
      </c>
      <c r="O219" s="45">
        <v>6599</v>
      </c>
      <c r="P219" s="46">
        <v>6499</v>
      </c>
      <c r="Q219" s="46">
        <v>6399</v>
      </c>
      <c r="R219" s="45">
        <v>6599</v>
      </c>
      <c r="S219" s="45">
        <v>6499</v>
      </c>
      <c r="T219" s="45">
        <v>6399</v>
      </c>
      <c r="U219" s="45">
        <v>6399</v>
      </c>
      <c r="V219" s="45">
        <v>6399</v>
      </c>
      <c r="W219" s="45">
        <v>6399</v>
      </c>
      <c r="X219" s="45">
        <v>6299</v>
      </c>
      <c r="Y219" s="45">
        <v>4999</v>
      </c>
      <c r="Z219" s="45">
        <v>4999</v>
      </c>
      <c r="AA219" s="45">
        <v>4999</v>
      </c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7"/>
      <c r="AW219" s="48" t="s">
        <v>67</v>
      </c>
      <c r="AX219" s="49" t="s">
        <v>68</v>
      </c>
      <c r="AY219" s="50">
        <f t="shared" si="10"/>
        <v>136.9358</v>
      </c>
      <c r="AZ219" s="50">
        <f t="shared" si="11"/>
        <v>123.37780000000001</v>
      </c>
      <c r="BA219" s="51">
        <f t="shared" si="12"/>
        <v>69.823700000000002</v>
      </c>
    </row>
    <row r="220" spans="1:53" ht="22.5" customHeight="1">
      <c r="A220" s="41" t="s">
        <v>63</v>
      </c>
      <c r="B220" s="42" t="s">
        <v>64</v>
      </c>
      <c r="C220" s="43">
        <v>4017990</v>
      </c>
      <c r="D220" s="59" t="s">
        <v>360</v>
      </c>
      <c r="E220" s="58" t="s">
        <v>361</v>
      </c>
      <c r="F220" s="45">
        <v>11999</v>
      </c>
      <c r="G220" s="45">
        <v>6399</v>
      </c>
      <c r="H220" s="45">
        <v>10899</v>
      </c>
      <c r="I220" s="45">
        <v>10899</v>
      </c>
      <c r="J220" s="45">
        <v>10799</v>
      </c>
      <c r="K220" s="45">
        <v>10799</v>
      </c>
      <c r="L220" s="45">
        <v>10799</v>
      </c>
      <c r="M220" s="45">
        <v>10799</v>
      </c>
      <c r="N220" s="45">
        <v>10799</v>
      </c>
      <c r="O220" s="45">
        <v>10699</v>
      </c>
      <c r="P220" s="46">
        <v>10599</v>
      </c>
      <c r="Q220" s="46">
        <v>6499</v>
      </c>
      <c r="R220" s="45">
        <v>10699</v>
      </c>
      <c r="S220" s="45">
        <v>10599</v>
      </c>
      <c r="T220" s="45">
        <v>6499</v>
      </c>
      <c r="U220" s="45">
        <v>6499</v>
      </c>
      <c r="V220" s="45">
        <v>6499</v>
      </c>
      <c r="W220" s="45">
        <v>6499</v>
      </c>
      <c r="X220" s="45">
        <v>6399</v>
      </c>
      <c r="Y220" s="54">
        <v>5799</v>
      </c>
      <c r="Z220" s="54">
        <v>5799</v>
      </c>
      <c r="AA220" s="54">
        <v>5499</v>
      </c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7"/>
      <c r="AW220" s="48" t="s">
        <v>67</v>
      </c>
      <c r="AX220" s="49" t="s">
        <v>68</v>
      </c>
      <c r="AY220" s="55">
        <f t="shared" si="10"/>
        <v>220.15979999999999</v>
      </c>
      <c r="AZ220" s="55">
        <f t="shared" si="11"/>
        <v>198.36180000000002</v>
      </c>
      <c r="BA220" s="56">
        <f t="shared" si="12"/>
        <v>112.2597</v>
      </c>
    </row>
    <row r="221" spans="1:53" ht="22.5" customHeight="1">
      <c r="A221" s="41" t="s">
        <v>63</v>
      </c>
      <c r="B221" s="42" t="s">
        <v>64</v>
      </c>
      <c r="C221" s="43">
        <v>4017991</v>
      </c>
      <c r="D221" s="59" t="s">
        <v>360</v>
      </c>
      <c r="E221" s="58" t="s">
        <v>362</v>
      </c>
      <c r="F221" s="45">
        <v>11999</v>
      </c>
      <c r="G221" s="45">
        <v>6399</v>
      </c>
      <c r="H221" s="45">
        <v>10899</v>
      </c>
      <c r="I221" s="45">
        <v>10899</v>
      </c>
      <c r="J221" s="45">
        <v>10799</v>
      </c>
      <c r="K221" s="45">
        <v>10799</v>
      </c>
      <c r="L221" s="45">
        <v>10799</v>
      </c>
      <c r="M221" s="45">
        <v>10799</v>
      </c>
      <c r="N221" s="45">
        <v>10799</v>
      </c>
      <c r="O221" s="45">
        <v>10699</v>
      </c>
      <c r="P221" s="46">
        <v>10599</v>
      </c>
      <c r="Q221" s="46">
        <v>6499</v>
      </c>
      <c r="R221" s="45">
        <v>10699</v>
      </c>
      <c r="S221" s="45">
        <v>10599</v>
      </c>
      <c r="T221" s="45">
        <v>6499</v>
      </c>
      <c r="U221" s="45">
        <v>6499</v>
      </c>
      <c r="V221" s="45">
        <v>6499</v>
      </c>
      <c r="W221" s="45">
        <v>6499</v>
      </c>
      <c r="X221" s="45">
        <v>6399</v>
      </c>
      <c r="Y221" s="54">
        <v>5799</v>
      </c>
      <c r="Z221" s="54">
        <v>5799</v>
      </c>
      <c r="AA221" s="54">
        <v>5499</v>
      </c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7"/>
      <c r="AW221" s="48" t="s">
        <v>67</v>
      </c>
      <c r="AX221" s="49" t="s">
        <v>68</v>
      </c>
      <c r="AY221" s="55">
        <f t="shared" si="10"/>
        <v>220.15979999999999</v>
      </c>
      <c r="AZ221" s="55">
        <f t="shared" si="11"/>
        <v>198.36180000000002</v>
      </c>
      <c r="BA221" s="56">
        <f t="shared" si="12"/>
        <v>112.2597</v>
      </c>
    </row>
    <row r="222" spans="1:53" ht="22.5" customHeight="1">
      <c r="A222" s="41" t="s">
        <v>63</v>
      </c>
      <c r="B222" s="42" t="s">
        <v>64</v>
      </c>
      <c r="C222" s="43">
        <v>4017960</v>
      </c>
      <c r="D222" s="59" t="s">
        <v>363</v>
      </c>
      <c r="E222" s="58" t="s">
        <v>364</v>
      </c>
      <c r="F222" s="45">
        <v>15999</v>
      </c>
      <c r="G222" s="45">
        <v>7899</v>
      </c>
      <c r="H222" s="45">
        <v>13999</v>
      </c>
      <c r="I222" s="45">
        <v>13999</v>
      </c>
      <c r="J222" s="45">
        <v>13799</v>
      </c>
      <c r="K222" s="45">
        <v>13799</v>
      </c>
      <c r="L222" s="45">
        <v>13799</v>
      </c>
      <c r="M222" s="45">
        <v>13799</v>
      </c>
      <c r="N222" s="45">
        <v>13799</v>
      </c>
      <c r="O222" s="45">
        <v>13699</v>
      </c>
      <c r="P222" s="46">
        <v>13599</v>
      </c>
      <c r="Q222" s="46">
        <v>7999</v>
      </c>
      <c r="R222" s="45">
        <v>13699</v>
      </c>
      <c r="S222" s="45">
        <v>13599</v>
      </c>
      <c r="T222" s="45">
        <v>7999</v>
      </c>
      <c r="U222" s="45">
        <v>7999</v>
      </c>
      <c r="V222" s="45">
        <v>7999</v>
      </c>
      <c r="W222" s="45">
        <v>7999</v>
      </c>
      <c r="X222" s="45">
        <v>7899</v>
      </c>
      <c r="Y222" s="54">
        <v>7299</v>
      </c>
      <c r="Z222" s="54">
        <v>7299</v>
      </c>
      <c r="AA222" s="54">
        <v>6999</v>
      </c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7"/>
      <c r="AW222" s="48" t="s">
        <v>67</v>
      </c>
      <c r="AX222" s="49" t="s">
        <v>68</v>
      </c>
      <c r="AY222" s="55">
        <f t="shared" si="10"/>
        <v>282.77979999999997</v>
      </c>
      <c r="AZ222" s="55">
        <f t="shared" si="11"/>
        <v>254.7818</v>
      </c>
      <c r="BA222" s="56">
        <f t="shared" si="12"/>
        <v>144.18969999999999</v>
      </c>
    </row>
    <row r="223" spans="1:53" ht="22.5" customHeight="1">
      <c r="A223" s="41" t="s">
        <v>63</v>
      </c>
      <c r="B223" s="42" t="s">
        <v>64</v>
      </c>
      <c r="C223" s="43">
        <v>4017738</v>
      </c>
      <c r="D223" s="58" t="s">
        <v>365</v>
      </c>
      <c r="E223" s="58" t="s">
        <v>366</v>
      </c>
      <c r="F223" s="45">
        <v>8999</v>
      </c>
      <c r="G223" s="45">
        <v>5899</v>
      </c>
      <c r="H223" s="45">
        <v>6699</v>
      </c>
      <c r="I223" s="45">
        <v>6699</v>
      </c>
      <c r="J223" s="45">
        <v>6599</v>
      </c>
      <c r="K223" s="45">
        <v>6599</v>
      </c>
      <c r="L223" s="45">
        <v>6599</v>
      </c>
      <c r="M223" s="45">
        <v>6599</v>
      </c>
      <c r="N223" s="45">
        <v>6599</v>
      </c>
      <c r="O223" s="45">
        <v>6499</v>
      </c>
      <c r="P223" s="46">
        <v>6399</v>
      </c>
      <c r="Q223" s="46">
        <v>5999</v>
      </c>
      <c r="R223" s="45">
        <v>6499</v>
      </c>
      <c r="S223" s="45">
        <v>6399</v>
      </c>
      <c r="T223" s="45">
        <v>5999</v>
      </c>
      <c r="U223" s="45">
        <v>5999</v>
      </c>
      <c r="V223" s="45">
        <v>5999</v>
      </c>
      <c r="W223" s="45">
        <v>5999</v>
      </c>
      <c r="X223" s="45">
        <v>5899</v>
      </c>
      <c r="Y223" s="45">
        <v>5199</v>
      </c>
      <c r="Z223" s="45">
        <v>5199</v>
      </c>
      <c r="AA223" s="45">
        <v>4999</v>
      </c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7"/>
      <c r="AW223" s="48" t="s">
        <v>67</v>
      </c>
      <c r="AX223" s="49" t="s">
        <v>68</v>
      </c>
      <c r="AY223" s="55">
        <f t="shared" si="10"/>
        <v>135.31979999999999</v>
      </c>
      <c r="AZ223" s="55">
        <f t="shared" si="11"/>
        <v>121.9218</v>
      </c>
      <c r="BA223" s="56">
        <f t="shared" si="12"/>
        <v>68.999700000000004</v>
      </c>
    </row>
    <row r="224" spans="1:53" ht="22.5" customHeight="1">
      <c r="A224" s="57" t="s">
        <v>247</v>
      </c>
      <c r="B224" s="42" t="s">
        <v>64</v>
      </c>
      <c r="C224" s="43">
        <v>4014215</v>
      </c>
      <c r="D224" s="58" t="s">
        <v>367</v>
      </c>
      <c r="E224" s="58" t="s">
        <v>368</v>
      </c>
      <c r="F224" s="45">
        <v>499</v>
      </c>
      <c r="G224" s="45">
        <v>399</v>
      </c>
      <c r="H224" s="45">
        <v>399</v>
      </c>
      <c r="I224" s="45">
        <v>399</v>
      </c>
      <c r="J224" s="45">
        <f t="shared" si="14"/>
        <v>299</v>
      </c>
      <c r="K224" s="45">
        <f t="shared" si="15"/>
        <v>299</v>
      </c>
      <c r="L224" s="45">
        <f t="shared" si="15"/>
        <v>299</v>
      </c>
      <c r="M224" s="45">
        <v>299</v>
      </c>
      <c r="N224" s="45">
        <v>299</v>
      </c>
      <c r="O224" s="45">
        <f t="shared" si="16"/>
        <v>299</v>
      </c>
      <c r="P224" s="46">
        <f t="shared" si="16"/>
        <v>299</v>
      </c>
      <c r="Q224" s="46">
        <f t="shared" si="16"/>
        <v>299</v>
      </c>
      <c r="R224" s="45">
        <v>299</v>
      </c>
      <c r="S224" s="45">
        <v>299</v>
      </c>
      <c r="T224" s="45">
        <v>299</v>
      </c>
      <c r="U224" s="45">
        <v>299</v>
      </c>
      <c r="V224" s="45">
        <v>299</v>
      </c>
      <c r="W224" s="45">
        <v>299</v>
      </c>
      <c r="X224" s="45">
        <v>299</v>
      </c>
      <c r="Y224" s="45">
        <v>299</v>
      </c>
      <c r="Z224" s="45">
        <v>299</v>
      </c>
      <c r="AA224" s="45">
        <v>299</v>
      </c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7"/>
      <c r="AW224" s="48" t="s">
        <v>67</v>
      </c>
      <c r="AX224" s="49" t="s">
        <v>253</v>
      </c>
      <c r="AY224" s="50">
        <f t="shared" si="10"/>
        <v>8.0597999999999992</v>
      </c>
      <c r="AZ224" s="50">
        <f t="shared" si="11"/>
        <v>7.2618</v>
      </c>
      <c r="BA224" s="51">
        <f t="shared" si="12"/>
        <v>4.1097000000000001</v>
      </c>
    </row>
    <row r="225" spans="1:53" ht="22.5" customHeight="1">
      <c r="A225" s="57" t="s">
        <v>247</v>
      </c>
      <c r="B225" s="42" t="s">
        <v>64</v>
      </c>
      <c r="C225" s="43">
        <v>4014569</v>
      </c>
      <c r="D225" s="58" t="s">
        <v>369</v>
      </c>
      <c r="E225" s="58" t="s">
        <v>370</v>
      </c>
      <c r="F225" s="45">
        <v>299</v>
      </c>
      <c r="G225" s="45">
        <v>199</v>
      </c>
      <c r="H225" s="45">
        <v>199</v>
      </c>
      <c r="I225" s="45">
        <v>199</v>
      </c>
      <c r="J225" s="45">
        <f t="shared" si="14"/>
        <v>199</v>
      </c>
      <c r="K225" s="45">
        <f t="shared" si="15"/>
        <v>199</v>
      </c>
      <c r="L225" s="45">
        <f t="shared" si="15"/>
        <v>199</v>
      </c>
      <c r="M225" s="45">
        <v>199</v>
      </c>
      <c r="N225" s="45">
        <v>199</v>
      </c>
      <c r="O225" s="45">
        <f t="shared" si="16"/>
        <v>199</v>
      </c>
      <c r="P225" s="46">
        <f t="shared" si="16"/>
        <v>199</v>
      </c>
      <c r="Q225" s="46">
        <f t="shared" si="16"/>
        <v>199</v>
      </c>
      <c r="R225" s="45">
        <v>199</v>
      </c>
      <c r="S225" s="45">
        <v>199</v>
      </c>
      <c r="T225" s="45">
        <v>199</v>
      </c>
      <c r="U225" s="45">
        <v>199</v>
      </c>
      <c r="V225" s="45">
        <v>199</v>
      </c>
      <c r="W225" s="45">
        <v>199</v>
      </c>
      <c r="X225" s="45">
        <v>199</v>
      </c>
      <c r="Y225" s="45">
        <v>199</v>
      </c>
      <c r="Z225" s="45">
        <v>199</v>
      </c>
      <c r="AA225" s="45">
        <v>199</v>
      </c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7"/>
      <c r="AW225" s="48" t="s">
        <v>67</v>
      </c>
      <c r="AX225" s="49" t="s">
        <v>253</v>
      </c>
      <c r="AY225" s="50">
        <f t="shared" si="10"/>
        <v>4.0198</v>
      </c>
      <c r="AZ225" s="50">
        <f t="shared" si="11"/>
        <v>3.6218000000000004</v>
      </c>
      <c r="BA225" s="51">
        <f t="shared" si="12"/>
        <v>2.0497000000000001</v>
      </c>
    </row>
    <row r="226" spans="1:53" ht="22.5" customHeight="1">
      <c r="A226" s="57" t="s">
        <v>247</v>
      </c>
      <c r="B226" s="42" t="s">
        <v>64</v>
      </c>
      <c r="C226" s="43">
        <v>4017883</v>
      </c>
      <c r="D226" s="58" t="s">
        <v>371</v>
      </c>
      <c r="E226" s="58" t="s">
        <v>372</v>
      </c>
      <c r="F226" s="45">
        <v>1899</v>
      </c>
      <c r="G226" s="45">
        <v>1499</v>
      </c>
      <c r="H226" s="45">
        <v>1499</v>
      </c>
      <c r="I226" s="45">
        <v>1499</v>
      </c>
      <c r="J226" s="45">
        <v>1399</v>
      </c>
      <c r="K226" s="45">
        <v>1399</v>
      </c>
      <c r="L226" s="45">
        <v>1399</v>
      </c>
      <c r="M226" s="45">
        <v>1399</v>
      </c>
      <c r="N226" s="45">
        <v>1399</v>
      </c>
      <c r="O226" s="45">
        <v>1299</v>
      </c>
      <c r="P226" s="46">
        <v>1199</v>
      </c>
      <c r="Q226" s="46">
        <v>899</v>
      </c>
      <c r="R226" s="45">
        <v>1299</v>
      </c>
      <c r="S226" s="45">
        <v>1199</v>
      </c>
      <c r="T226" s="45">
        <v>899</v>
      </c>
      <c r="U226" s="45">
        <v>899</v>
      </c>
      <c r="V226" s="45">
        <v>899</v>
      </c>
      <c r="W226" s="45">
        <v>899</v>
      </c>
      <c r="X226" s="45">
        <v>799</v>
      </c>
      <c r="Y226" s="45">
        <v>699</v>
      </c>
      <c r="Z226" s="45">
        <v>699</v>
      </c>
      <c r="AA226" s="45">
        <v>699</v>
      </c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7"/>
      <c r="AW226" s="48" t="s">
        <v>67</v>
      </c>
      <c r="AX226" s="49" t="s">
        <v>68</v>
      </c>
      <c r="AY226" s="55">
        <f t="shared" si="10"/>
        <v>30.279799999999998</v>
      </c>
      <c r="AZ226" s="55">
        <f t="shared" si="11"/>
        <v>27.2818</v>
      </c>
      <c r="BA226" s="56">
        <f t="shared" si="12"/>
        <v>15.4397</v>
      </c>
    </row>
    <row r="227" spans="1:53" ht="22.5" customHeight="1">
      <c r="A227" s="57" t="s">
        <v>247</v>
      </c>
      <c r="B227" s="42" t="s">
        <v>64</v>
      </c>
      <c r="C227" s="43">
        <v>4014160</v>
      </c>
      <c r="D227" s="43" t="s">
        <v>373</v>
      </c>
      <c r="E227" s="63" t="s">
        <v>374</v>
      </c>
      <c r="F227" s="45">
        <v>159</v>
      </c>
      <c r="G227" s="45">
        <v>149</v>
      </c>
      <c r="H227" s="45">
        <v>149</v>
      </c>
      <c r="I227" s="45">
        <v>149</v>
      </c>
      <c r="J227" s="45">
        <f t="shared" si="14"/>
        <v>149</v>
      </c>
      <c r="K227" s="45">
        <f t="shared" si="15"/>
        <v>149</v>
      </c>
      <c r="L227" s="45">
        <f t="shared" si="15"/>
        <v>149</v>
      </c>
      <c r="M227" s="45">
        <v>149</v>
      </c>
      <c r="N227" s="45">
        <v>149</v>
      </c>
      <c r="O227" s="45">
        <f t="shared" ref="O227:Q232" si="17">R227</f>
        <v>149</v>
      </c>
      <c r="P227" s="46">
        <f t="shared" si="17"/>
        <v>149</v>
      </c>
      <c r="Q227" s="46">
        <f t="shared" si="17"/>
        <v>149</v>
      </c>
      <c r="R227" s="45">
        <v>149</v>
      </c>
      <c r="S227" s="45">
        <v>149</v>
      </c>
      <c r="T227" s="45">
        <v>149</v>
      </c>
      <c r="U227" s="45">
        <v>149</v>
      </c>
      <c r="V227" s="45">
        <v>149</v>
      </c>
      <c r="W227" s="45">
        <v>149</v>
      </c>
      <c r="X227" s="45">
        <v>149</v>
      </c>
      <c r="Y227" s="45">
        <v>149</v>
      </c>
      <c r="Z227" s="45">
        <v>149</v>
      </c>
      <c r="AA227" s="45">
        <v>149</v>
      </c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7"/>
      <c r="AW227" s="48" t="s">
        <v>67</v>
      </c>
      <c r="AX227" s="49" t="s">
        <v>253</v>
      </c>
      <c r="AY227" s="50">
        <f t="shared" si="10"/>
        <v>3.0097999999999998</v>
      </c>
      <c r="AZ227" s="50">
        <f t="shared" si="11"/>
        <v>2.7118000000000002</v>
      </c>
      <c r="BA227" s="51">
        <f t="shared" si="12"/>
        <v>1.5347</v>
      </c>
    </row>
    <row r="228" spans="1:53" ht="22.5" customHeight="1">
      <c r="A228" s="57" t="s">
        <v>247</v>
      </c>
      <c r="B228" s="42" t="s">
        <v>64</v>
      </c>
      <c r="C228" s="43">
        <v>4015002</v>
      </c>
      <c r="D228" s="43" t="s">
        <v>375</v>
      </c>
      <c r="E228" s="63" t="s">
        <v>376</v>
      </c>
      <c r="F228" s="45">
        <v>699</v>
      </c>
      <c r="G228" s="45">
        <v>499</v>
      </c>
      <c r="H228" s="45">
        <v>699</v>
      </c>
      <c r="I228" s="45">
        <v>699</v>
      </c>
      <c r="J228" s="45">
        <v>349</v>
      </c>
      <c r="K228" s="45">
        <v>349</v>
      </c>
      <c r="L228" s="45">
        <v>349</v>
      </c>
      <c r="M228" s="45">
        <v>349</v>
      </c>
      <c r="N228" s="45">
        <v>349</v>
      </c>
      <c r="O228" s="45">
        <v>349</v>
      </c>
      <c r="P228" s="45">
        <v>349</v>
      </c>
      <c r="Q228" s="45">
        <v>349</v>
      </c>
      <c r="R228" s="45">
        <v>349</v>
      </c>
      <c r="S228" s="45">
        <v>349</v>
      </c>
      <c r="T228" s="45">
        <v>349</v>
      </c>
      <c r="U228" s="45">
        <v>349</v>
      </c>
      <c r="V228" s="45">
        <v>349</v>
      </c>
      <c r="W228" s="45">
        <v>349</v>
      </c>
      <c r="X228" s="45">
        <v>349</v>
      </c>
      <c r="Y228" s="45">
        <v>349</v>
      </c>
      <c r="Z228" s="45">
        <v>349</v>
      </c>
      <c r="AA228" s="45">
        <v>349</v>
      </c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7"/>
      <c r="AW228" s="48" t="s">
        <v>67</v>
      </c>
      <c r="AX228" s="49" t="s">
        <v>253</v>
      </c>
      <c r="AY228" s="50">
        <f t="shared" si="10"/>
        <v>14.1198</v>
      </c>
      <c r="AZ228" s="50">
        <f t="shared" si="11"/>
        <v>12.7218</v>
      </c>
      <c r="BA228" s="51">
        <f t="shared" si="12"/>
        <v>7.1997</v>
      </c>
    </row>
    <row r="229" spans="1:53" ht="22.5" customHeight="1">
      <c r="A229" s="57" t="s">
        <v>247</v>
      </c>
      <c r="B229" s="42" t="s">
        <v>64</v>
      </c>
      <c r="C229" s="43">
        <v>4015007</v>
      </c>
      <c r="D229" s="43" t="s">
        <v>375</v>
      </c>
      <c r="E229" s="63" t="s">
        <v>377</v>
      </c>
      <c r="F229" s="45">
        <v>699</v>
      </c>
      <c r="G229" s="45">
        <v>499</v>
      </c>
      <c r="H229" s="45">
        <v>699</v>
      </c>
      <c r="I229" s="45">
        <v>699</v>
      </c>
      <c r="J229" s="45">
        <v>349</v>
      </c>
      <c r="K229" s="45">
        <v>349</v>
      </c>
      <c r="L229" s="45">
        <v>349</v>
      </c>
      <c r="M229" s="45">
        <v>349</v>
      </c>
      <c r="N229" s="45">
        <v>349</v>
      </c>
      <c r="O229" s="45">
        <v>349</v>
      </c>
      <c r="P229" s="45">
        <v>349</v>
      </c>
      <c r="Q229" s="45">
        <v>349</v>
      </c>
      <c r="R229" s="45">
        <v>349</v>
      </c>
      <c r="S229" s="45">
        <v>349</v>
      </c>
      <c r="T229" s="45">
        <v>349</v>
      </c>
      <c r="U229" s="45">
        <v>349</v>
      </c>
      <c r="V229" s="45">
        <v>349</v>
      </c>
      <c r="W229" s="45">
        <v>349</v>
      </c>
      <c r="X229" s="45">
        <v>349</v>
      </c>
      <c r="Y229" s="45">
        <v>349</v>
      </c>
      <c r="Z229" s="45">
        <v>349</v>
      </c>
      <c r="AA229" s="45">
        <v>349</v>
      </c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7"/>
      <c r="AW229" s="48" t="s">
        <v>67</v>
      </c>
      <c r="AX229" s="49" t="s">
        <v>253</v>
      </c>
      <c r="AY229" s="50">
        <f t="shared" si="10"/>
        <v>14.1198</v>
      </c>
      <c r="AZ229" s="50">
        <f t="shared" si="11"/>
        <v>12.7218</v>
      </c>
      <c r="BA229" s="51">
        <f t="shared" si="12"/>
        <v>7.1997</v>
      </c>
    </row>
    <row r="230" spans="1:53" ht="22.5" customHeight="1">
      <c r="A230" s="57" t="s">
        <v>247</v>
      </c>
      <c r="B230" s="42" t="s">
        <v>64</v>
      </c>
      <c r="C230" s="43">
        <v>4015000</v>
      </c>
      <c r="D230" s="43" t="s">
        <v>375</v>
      </c>
      <c r="E230" s="58" t="s">
        <v>378</v>
      </c>
      <c r="F230" s="45">
        <v>699</v>
      </c>
      <c r="G230" s="45">
        <v>499</v>
      </c>
      <c r="H230" s="45">
        <v>699</v>
      </c>
      <c r="I230" s="45">
        <v>699</v>
      </c>
      <c r="J230" s="45">
        <v>349</v>
      </c>
      <c r="K230" s="45">
        <v>349</v>
      </c>
      <c r="L230" s="45">
        <v>349</v>
      </c>
      <c r="M230" s="45">
        <v>349</v>
      </c>
      <c r="N230" s="45">
        <v>349</v>
      </c>
      <c r="O230" s="45">
        <v>349</v>
      </c>
      <c r="P230" s="45">
        <v>349</v>
      </c>
      <c r="Q230" s="45">
        <v>349</v>
      </c>
      <c r="R230" s="45">
        <v>349</v>
      </c>
      <c r="S230" s="45">
        <v>349</v>
      </c>
      <c r="T230" s="45">
        <v>349</v>
      </c>
      <c r="U230" s="45">
        <v>349</v>
      </c>
      <c r="V230" s="45">
        <v>349</v>
      </c>
      <c r="W230" s="45">
        <v>349</v>
      </c>
      <c r="X230" s="45">
        <v>349</v>
      </c>
      <c r="Y230" s="45">
        <v>349</v>
      </c>
      <c r="Z230" s="45">
        <v>349</v>
      </c>
      <c r="AA230" s="45">
        <v>349</v>
      </c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7"/>
      <c r="AW230" s="48" t="s">
        <v>67</v>
      </c>
      <c r="AX230" s="49" t="s">
        <v>253</v>
      </c>
      <c r="AY230" s="50">
        <f t="shared" si="10"/>
        <v>14.1198</v>
      </c>
      <c r="AZ230" s="50">
        <f t="shared" si="11"/>
        <v>12.7218</v>
      </c>
      <c r="BA230" s="51">
        <f t="shared" si="12"/>
        <v>7.1997</v>
      </c>
    </row>
    <row r="231" spans="1:53" ht="22.5" customHeight="1">
      <c r="A231" s="57" t="s">
        <v>247</v>
      </c>
      <c r="B231" s="42" t="s">
        <v>64</v>
      </c>
      <c r="C231" s="43">
        <v>4014434</v>
      </c>
      <c r="D231" s="58" t="s">
        <v>379</v>
      </c>
      <c r="E231" s="58" t="s">
        <v>380</v>
      </c>
      <c r="F231" s="45">
        <v>499</v>
      </c>
      <c r="G231" s="45">
        <v>349</v>
      </c>
      <c r="H231" s="45">
        <v>499</v>
      </c>
      <c r="I231" s="45">
        <v>499</v>
      </c>
      <c r="J231" s="45">
        <f t="shared" ref="J231:J257" si="18">M231</f>
        <v>399</v>
      </c>
      <c r="K231" s="45">
        <f t="shared" ref="K231:L257" si="19">M231</f>
        <v>399</v>
      </c>
      <c r="L231" s="45">
        <f t="shared" si="19"/>
        <v>399</v>
      </c>
      <c r="M231" s="45">
        <v>399</v>
      </c>
      <c r="N231" s="45">
        <v>399</v>
      </c>
      <c r="O231" s="45">
        <f t="shared" si="17"/>
        <v>349</v>
      </c>
      <c r="P231" s="46">
        <f t="shared" si="17"/>
        <v>349</v>
      </c>
      <c r="Q231" s="46">
        <f t="shared" si="17"/>
        <v>349</v>
      </c>
      <c r="R231" s="45">
        <v>349</v>
      </c>
      <c r="S231" s="45">
        <v>349</v>
      </c>
      <c r="T231" s="45">
        <v>349</v>
      </c>
      <c r="U231" s="45">
        <v>349</v>
      </c>
      <c r="V231" s="45">
        <v>349</v>
      </c>
      <c r="W231" s="45">
        <v>349</v>
      </c>
      <c r="X231" s="45">
        <v>349</v>
      </c>
      <c r="Y231" s="45">
        <v>349</v>
      </c>
      <c r="Z231" s="45">
        <v>349</v>
      </c>
      <c r="AA231" s="45">
        <v>349</v>
      </c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7"/>
      <c r="AW231" s="48" t="s">
        <v>67</v>
      </c>
      <c r="AX231" s="49" t="s">
        <v>253</v>
      </c>
      <c r="AY231" s="50">
        <f t="shared" si="10"/>
        <v>10.079799999999999</v>
      </c>
      <c r="AZ231" s="50">
        <f t="shared" si="11"/>
        <v>9.0818000000000012</v>
      </c>
      <c r="BA231" s="51">
        <f t="shared" si="12"/>
        <v>5.1397000000000004</v>
      </c>
    </row>
    <row r="232" spans="1:53" ht="22.5" customHeight="1">
      <c r="A232" s="57" t="s">
        <v>247</v>
      </c>
      <c r="B232" s="42" t="s">
        <v>64</v>
      </c>
      <c r="C232" s="43">
        <v>4014440</v>
      </c>
      <c r="D232" s="58" t="s">
        <v>379</v>
      </c>
      <c r="E232" s="58" t="s">
        <v>381</v>
      </c>
      <c r="F232" s="45">
        <v>499</v>
      </c>
      <c r="G232" s="45">
        <v>349</v>
      </c>
      <c r="H232" s="45">
        <v>499</v>
      </c>
      <c r="I232" s="45">
        <v>499</v>
      </c>
      <c r="J232" s="45">
        <f t="shared" si="18"/>
        <v>399</v>
      </c>
      <c r="K232" s="45">
        <f t="shared" si="19"/>
        <v>399</v>
      </c>
      <c r="L232" s="45">
        <f t="shared" si="19"/>
        <v>399</v>
      </c>
      <c r="M232" s="45">
        <v>399</v>
      </c>
      <c r="N232" s="45">
        <v>399</v>
      </c>
      <c r="O232" s="45">
        <f t="shared" si="17"/>
        <v>349</v>
      </c>
      <c r="P232" s="46">
        <f t="shared" si="17"/>
        <v>349</v>
      </c>
      <c r="Q232" s="46">
        <f t="shared" si="17"/>
        <v>349</v>
      </c>
      <c r="R232" s="45">
        <v>349</v>
      </c>
      <c r="S232" s="45">
        <v>349</v>
      </c>
      <c r="T232" s="45">
        <v>349</v>
      </c>
      <c r="U232" s="45">
        <v>349</v>
      </c>
      <c r="V232" s="45">
        <v>349</v>
      </c>
      <c r="W232" s="45">
        <v>349</v>
      </c>
      <c r="X232" s="45">
        <v>349</v>
      </c>
      <c r="Y232" s="45">
        <v>349</v>
      </c>
      <c r="Z232" s="45">
        <v>349</v>
      </c>
      <c r="AA232" s="45">
        <v>349</v>
      </c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7"/>
      <c r="AW232" s="48" t="s">
        <v>67</v>
      </c>
      <c r="AX232" s="49" t="s">
        <v>253</v>
      </c>
      <c r="AY232" s="50">
        <f t="shared" si="10"/>
        <v>10.079799999999999</v>
      </c>
      <c r="AZ232" s="50">
        <f t="shared" si="11"/>
        <v>9.0818000000000012</v>
      </c>
      <c r="BA232" s="51">
        <f t="shared" si="12"/>
        <v>5.1397000000000004</v>
      </c>
    </row>
    <row r="233" spans="1:53" ht="22.5" customHeight="1">
      <c r="A233" s="57" t="s">
        <v>247</v>
      </c>
      <c r="B233" s="42" t="s">
        <v>64</v>
      </c>
      <c r="C233" s="43">
        <v>4015992</v>
      </c>
      <c r="D233" s="58" t="s">
        <v>382</v>
      </c>
      <c r="E233" s="58" t="s">
        <v>383</v>
      </c>
      <c r="F233" s="45">
        <v>641</v>
      </c>
      <c r="G233" s="45">
        <v>441</v>
      </c>
      <c r="H233" s="45">
        <v>641</v>
      </c>
      <c r="I233" s="45">
        <v>641</v>
      </c>
      <c r="J233" s="45">
        <v>309</v>
      </c>
      <c r="K233" s="45">
        <v>309</v>
      </c>
      <c r="L233" s="45">
        <v>309</v>
      </c>
      <c r="M233" s="45">
        <v>309</v>
      </c>
      <c r="N233" s="45">
        <v>309</v>
      </c>
      <c r="O233" s="45">
        <v>309</v>
      </c>
      <c r="P233" s="45">
        <v>309</v>
      </c>
      <c r="Q233" s="45">
        <v>309</v>
      </c>
      <c r="R233" s="45">
        <v>309</v>
      </c>
      <c r="S233" s="45">
        <v>309</v>
      </c>
      <c r="T233" s="45">
        <v>309</v>
      </c>
      <c r="U233" s="45">
        <v>309</v>
      </c>
      <c r="V233" s="45">
        <v>309</v>
      </c>
      <c r="W233" s="45">
        <v>309</v>
      </c>
      <c r="X233" s="45">
        <v>309</v>
      </c>
      <c r="Y233" s="45">
        <v>309</v>
      </c>
      <c r="Z233" s="45">
        <v>309</v>
      </c>
      <c r="AA233" s="45">
        <v>309</v>
      </c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7"/>
      <c r="AW233" s="48" t="s">
        <v>67</v>
      </c>
      <c r="AX233" s="49" t="s">
        <v>253</v>
      </c>
      <c r="AY233" s="50">
        <f t="shared" si="10"/>
        <v>12.9482</v>
      </c>
      <c r="AZ233" s="50">
        <f t="shared" si="11"/>
        <v>11.6662</v>
      </c>
      <c r="BA233" s="51">
        <f t="shared" si="12"/>
        <v>6.6023000000000005</v>
      </c>
    </row>
    <row r="234" spans="1:53" ht="22.5" customHeight="1">
      <c r="A234" s="57" t="s">
        <v>247</v>
      </c>
      <c r="B234" s="42" t="s">
        <v>64</v>
      </c>
      <c r="C234" s="43">
        <v>4015995</v>
      </c>
      <c r="D234" s="58" t="s">
        <v>382</v>
      </c>
      <c r="E234" s="58" t="s">
        <v>384</v>
      </c>
      <c r="F234" s="45">
        <v>641</v>
      </c>
      <c r="G234" s="45">
        <v>441</v>
      </c>
      <c r="H234" s="45">
        <v>641</v>
      </c>
      <c r="I234" s="45">
        <v>641</v>
      </c>
      <c r="J234" s="45">
        <v>309</v>
      </c>
      <c r="K234" s="45">
        <v>309</v>
      </c>
      <c r="L234" s="45">
        <v>309</v>
      </c>
      <c r="M234" s="45">
        <v>309</v>
      </c>
      <c r="N234" s="45">
        <v>309</v>
      </c>
      <c r="O234" s="45">
        <v>309</v>
      </c>
      <c r="P234" s="45">
        <v>309</v>
      </c>
      <c r="Q234" s="45">
        <v>309</v>
      </c>
      <c r="R234" s="45">
        <v>309</v>
      </c>
      <c r="S234" s="45">
        <v>309</v>
      </c>
      <c r="T234" s="45">
        <v>309</v>
      </c>
      <c r="U234" s="45">
        <v>309</v>
      </c>
      <c r="V234" s="45">
        <v>309</v>
      </c>
      <c r="W234" s="45">
        <v>309</v>
      </c>
      <c r="X234" s="45">
        <v>309</v>
      </c>
      <c r="Y234" s="45">
        <v>309</v>
      </c>
      <c r="Z234" s="45">
        <v>309</v>
      </c>
      <c r="AA234" s="45">
        <v>309</v>
      </c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7"/>
      <c r="AW234" s="48" t="s">
        <v>67</v>
      </c>
      <c r="AX234" s="49" t="s">
        <v>253</v>
      </c>
      <c r="AY234" s="50">
        <f t="shared" si="10"/>
        <v>12.9482</v>
      </c>
      <c r="AZ234" s="50">
        <f t="shared" si="11"/>
        <v>11.6662</v>
      </c>
      <c r="BA234" s="51">
        <f t="shared" si="12"/>
        <v>6.6023000000000005</v>
      </c>
    </row>
    <row r="235" spans="1:53" ht="22.5" customHeight="1">
      <c r="A235" s="57" t="s">
        <v>247</v>
      </c>
      <c r="B235" s="42" t="s">
        <v>64</v>
      </c>
      <c r="C235" s="43">
        <v>4016000</v>
      </c>
      <c r="D235" s="58" t="s">
        <v>385</v>
      </c>
      <c r="E235" s="58" t="s">
        <v>386</v>
      </c>
      <c r="F235" s="45">
        <v>999</v>
      </c>
      <c r="G235" s="45">
        <v>899</v>
      </c>
      <c r="H235" s="45">
        <v>899</v>
      </c>
      <c r="I235" s="45">
        <v>899</v>
      </c>
      <c r="J235" s="45">
        <v>799</v>
      </c>
      <c r="K235" s="45">
        <v>799</v>
      </c>
      <c r="L235" s="45">
        <v>799</v>
      </c>
      <c r="M235" s="45">
        <v>799</v>
      </c>
      <c r="N235" s="45">
        <v>799</v>
      </c>
      <c r="O235" s="45">
        <v>749</v>
      </c>
      <c r="P235" s="46">
        <v>749</v>
      </c>
      <c r="Q235" s="46">
        <v>749</v>
      </c>
      <c r="R235" s="45">
        <v>749</v>
      </c>
      <c r="S235" s="45">
        <v>749</v>
      </c>
      <c r="T235" s="45">
        <v>749</v>
      </c>
      <c r="U235" s="45">
        <v>749</v>
      </c>
      <c r="V235" s="45">
        <v>749</v>
      </c>
      <c r="W235" s="45">
        <v>749</v>
      </c>
      <c r="X235" s="45">
        <v>749</v>
      </c>
      <c r="Y235" s="45">
        <v>749</v>
      </c>
      <c r="Z235" s="45">
        <v>749</v>
      </c>
      <c r="AA235" s="45">
        <v>749</v>
      </c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7"/>
      <c r="AW235" s="48" t="s">
        <v>67</v>
      </c>
      <c r="AX235" s="49" t="s">
        <v>253</v>
      </c>
      <c r="AY235" s="50">
        <f t="shared" si="10"/>
        <v>18.159800000000001</v>
      </c>
      <c r="AZ235" s="50">
        <f t="shared" si="11"/>
        <v>16.361800000000002</v>
      </c>
      <c r="BA235" s="51">
        <f t="shared" si="12"/>
        <v>9.2597000000000005</v>
      </c>
    </row>
    <row r="236" spans="1:53" ht="22.5" customHeight="1">
      <c r="A236" s="57" t="s">
        <v>247</v>
      </c>
      <c r="B236" s="42" t="s">
        <v>64</v>
      </c>
      <c r="C236" s="43">
        <v>4016003</v>
      </c>
      <c r="D236" s="58" t="s">
        <v>385</v>
      </c>
      <c r="E236" s="58" t="s">
        <v>387</v>
      </c>
      <c r="F236" s="45">
        <v>999</v>
      </c>
      <c r="G236" s="45">
        <v>899</v>
      </c>
      <c r="H236" s="45">
        <v>899</v>
      </c>
      <c r="I236" s="45">
        <v>899</v>
      </c>
      <c r="J236" s="45">
        <v>799</v>
      </c>
      <c r="K236" s="45">
        <v>799</v>
      </c>
      <c r="L236" s="45">
        <v>799</v>
      </c>
      <c r="M236" s="45">
        <v>799</v>
      </c>
      <c r="N236" s="45">
        <v>799</v>
      </c>
      <c r="O236" s="45">
        <v>749</v>
      </c>
      <c r="P236" s="46">
        <v>749</v>
      </c>
      <c r="Q236" s="46">
        <v>749</v>
      </c>
      <c r="R236" s="45">
        <v>749</v>
      </c>
      <c r="S236" s="45">
        <v>749</v>
      </c>
      <c r="T236" s="45">
        <v>749</v>
      </c>
      <c r="U236" s="45">
        <v>749</v>
      </c>
      <c r="V236" s="45">
        <v>749</v>
      </c>
      <c r="W236" s="45">
        <v>749</v>
      </c>
      <c r="X236" s="45">
        <v>749</v>
      </c>
      <c r="Y236" s="45">
        <v>749</v>
      </c>
      <c r="Z236" s="45">
        <v>749</v>
      </c>
      <c r="AA236" s="45">
        <v>749</v>
      </c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7"/>
      <c r="AW236" s="48" t="s">
        <v>67</v>
      </c>
      <c r="AX236" s="49" t="s">
        <v>253</v>
      </c>
      <c r="AY236" s="50">
        <f t="shared" si="10"/>
        <v>18.159800000000001</v>
      </c>
      <c r="AZ236" s="50">
        <f t="shared" si="11"/>
        <v>16.361800000000002</v>
      </c>
      <c r="BA236" s="51">
        <f t="shared" si="12"/>
        <v>9.2597000000000005</v>
      </c>
    </row>
    <row r="237" spans="1:53" ht="22.5" customHeight="1">
      <c r="A237" s="57" t="s">
        <v>247</v>
      </c>
      <c r="B237" s="42" t="s">
        <v>64</v>
      </c>
      <c r="C237" s="43">
        <v>4016641</v>
      </c>
      <c r="D237" s="58" t="s">
        <v>388</v>
      </c>
      <c r="E237" s="58" t="s">
        <v>389</v>
      </c>
      <c r="F237" s="45">
        <v>899</v>
      </c>
      <c r="G237" s="45">
        <v>899</v>
      </c>
      <c r="H237" s="45">
        <v>899</v>
      </c>
      <c r="I237" s="45">
        <v>899</v>
      </c>
      <c r="J237" s="45">
        <v>799</v>
      </c>
      <c r="K237" s="45">
        <v>799</v>
      </c>
      <c r="L237" s="45">
        <v>799</v>
      </c>
      <c r="M237" s="45">
        <v>799</v>
      </c>
      <c r="N237" s="45">
        <v>799</v>
      </c>
      <c r="O237" s="45">
        <v>699</v>
      </c>
      <c r="P237" s="46">
        <v>699</v>
      </c>
      <c r="Q237" s="45">
        <v>699</v>
      </c>
      <c r="R237" s="45">
        <v>699</v>
      </c>
      <c r="S237" s="45">
        <v>699</v>
      </c>
      <c r="T237" s="45">
        <v>699</v>
      </c>
      <c r="U237" s="45">
        <v>699</v>
      </c>
      <c r="V237" s="45">
        <v>699</v>
      </c>
      <c r="W237" s="45">
        <v>699</v>
      </c>
      <c r="X237" s="45">
        <v>699</v>
      </c>
      <c r="Y237" s="45">
        <v>699</v>
      </c>
      <c r="Z237" s="45">
        <v>699</v>
      </c>
      <c r="AA237" s="45">
        <v>699</v>
      </c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7"/>
      <c r="AW237" s="48" t="s">
        <v>67</v>
      </c>
      <c r="AX237" s="49" t="s">
        <v>253</v>
      </c>
      <c r="AY237" s="50">
        <f t="shared" ref="AY237:AY300" si="20">$H237*AY$11</f>
        <v>18.159800000000001</v>
      </c>
      <c r="AZ237" s="50">
        <f t="shared" ref="AZ237:AZ300" si="21">($H237*AZ$11)</f>
        <v>16.361800000000002</v>
      </c>
      <c r="BA237" s="51">
        <f t="shared" ref="BA237:BA300" si="22">$H237*BA$11</f>
        <v>9.2597000000000005</v>
      </c>
    </row>
    <row r="238" spans="1:53" ht="22.5" customHeight="1">
      <c r="A238" s="57" t="s">
        <v>247</v>
      </c>
      <c r="B238" s="42" t="s">
        <v>64</v>
      </c>
      <c r="C238" s="43">
        <v>4016642</v>
      </c>
      <c r="D238" s="58" t="s">
        <v>388</v>
      </c>
      <c r="E238" s="58" t="s">
        <v>390</v>
      </c>
      <c r="F238" s="45">
        <v>899</v>
      </c>
      <c r="G238" s="45">
        <v>899</v>
      </c>
      <c r="H238" s="45">
        <v>899</v>
      </c>
      <c r="I238" s="45">
        <v>899</v>
      </c>
      <c r="J238" s="45">
        <v>799</v>
      </c>
      <c r="K238" s="45">
        <v>799</v>
      </c>
      <c r="L238" s="45">
        <v>799</v>
      </c>
      <c r="M238" s="45">
        <v>799</v>
      </c>
      <c r="N238" s="45">
        <v>799</v>
      </c>
      <c r="O238" s="45">
        <v>699</v>
      </c>
      <c r="P238" s="46">
        <v>699</v>
      </c>
      <c r="Q238" s="45">
        <v>699</v>
      </c>
      <c r="R238" s="45">
        <v>699</v>
      </c>
      <c r="S238" s="45">
        <v>699</v>
      </c>
      <c r="T238" s="45">
        <v>699</v>
      </c>
      <c r="U238" s="45">
        <v>699</v>
      </c>
      <c r="V238" s="45">
        <v>699</v>
      </c>
      <c r="W238" s="45">
        <v>699</v>
      </c>
      <c r="X238" s="45">
        <v>699</v>
      </c>
      <c r="Y238" s="45">
        <v>699</v>
      </c>
      <c r="Z238" s="45">
        <v>699</v>
      </c>
      <c r="AA238" s="45">
        <v>699</v>
      </c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7"/>
      <c r="AW238" s="48" t="s">
        <v>67</v>
      </c>
      <c r="AX238" s="49" t="s">
        <v>253</v>
      </c>
      <c r="AY238" s="50">
        <f t="shared" si="20"/>
        <v>18.159800000000001</v>
      </c>
      <c r="AZ238" s="50">
        <f t="shared" si="21"/>
        <v>16.361800000000002</v>
      </c>
      <c r="BA238" s="51">
        <f t="shared" si="22"/>
        <v>9.2597000000000005</v>
      </c>
    </row>
    <row r="239" spans="1:53" ht="22.5" customHeight="1">
      <c r="A239" s="57" t="s">
        <v>247</v>
      </c>
      <c r="B239" s="42" t="s">
        <v>64</v>
      </c>
      <c r="C239" s="43">
        <v>4016976</v>
      </c>
      <c r="D239" s="58" t="s">
        <v>391</v>
      </c>
      <c r="E239" s="58" t="s">
        <v>392</v>
      </c>
      <c r="F239" s="45">
        <v>1099</v>
      </c>
      <c r="G239" s="45">
        <v>829</v>
      </c>
      <c r="H239" s="45">
        <v>829</v>
      </c>
      <c r="I239" s="45">
        <v>829</v>
      </c>
      <c r="J239" s="45">
        <v>799</v>
      </c>
      <c r="K239" s="45">
        <v>699</v>
      </c>
      <c r="L239" s="45">
        <v>699</v>
      </c>
      <c r="M239" s="45">
        <v>799</v>
      </c>
      <c r="N239" s="45">
        <v>699</v>
      </c>
      <c r="O239" s="45">
        <v>699</v>
      </c>
      <c r="P239" s="46">
        <v>699</v>
      </c>
      <c r="Q239" s="45">
        <v>699</v>
      </c>
      <c r="R239" s="45">
        <v>699</v>
      </c>
      <c r="S239" s="45">
        <v>699</v>
      </c>
      <c r="T239" s="45">
        <v>699</v>
      </c>
      <c r="U239" s="45">
        <v>699</v>
      </c>
      <c r="V239" s="45">
        <v>699</v>
      </c>
      <c r="W239" s="45">
        <v>699</v>
      </c>
      <c r="X239" s="45">
        <v>699</v>
      </c>
      <c r="Y239" s="45">
        <v>699</v>
      </c>
      <c r="Z239" s="45">
        <v>699</v>
      </c>
      <c r="AA239" s="45">
        <v>699</v>
      </c>
      <c r="AB239" s="45">
        <v>799</v>
      </c>
      <c r="AC239" s="45">
        <v>799</v>
      </c>
      <c r="AD239" s="45">
        <v>799</v>
      </c>
      <c r="AE239" s="45">
        <v>799</v>
      </c>
      <c r="AF239" s="45">
        <v>699</v>
      </c>
      <c r="AG239" s="45">
        <v>699</v>
      </c>
      <c r="AH239" s="45">
        <v>699</v>
      </c>
      <c r="AI239" s="45">
        <v>699</v>
      </c>
      <c r="AJ239" s="45">
        <v>699</v>
      </c>
      <c r="AK239" s="45">
        <v>699</v>
      </c>
      <c r="AL239" s="45">
        <v>699</v>
      </c>
      <c r="AM239" s="45"/>
      <c r="AN239" s="45"/>
      <c r="AO239" s="45"/>
      <c r="AP239" s="45"/>
      <c r="AQ239" s="45"/>
      <c r="AR239" s="45"/>
      <c r="AS239" s="45"/>
      <c r="AT239" s="45"/>
      <c r="AU239" s="45"/>
      <c r="AV239" s="47"/>
      <c r="AW239" s="48" t="s">
        <v>67</v>
      </c>
      <c r="AX239" s="49" t="s">
        <v>68</v>
      </c>
      <c r="AY239" s="50">
        <f t="shared" si="20"/>
        <v>16.745799999999999</v>
      </c>
      <c r="AZ239" s="50">
        <f t="shared" si="21"/>
        <v>15.087800000000001</v>
      </c>
      <c r="BA239" s="51">
        <f t="shared" si="22"/>
        <v>8.5387000000000004</v>
      </c>
    </row>
    <row r="240" spans="1:53" ht="22.5" customHeight="1">
      <c r="A240" s="57" t="s">
        <v>247</v>
      </c>
      <c r="B240" s="42" t="s">
        <v>64</v>
      </c>
      <c r="C240" s="43">
        <v>4016987</v>
      </c>
      <c r="D240" s="58" t="s">
        <v>391</v>
      </c>
      <c r="E240" s="58" t="s">
        <v>393</v>
      </c>
      <c r="F240" s="45">
        <v>1099</v>
      </c>
      <c r="G240" s="45">
        <v>829</v>
      </c>
      <c r="H240" s="45">
        <v>829</v>
      </c>
      <c r="I240" s="45">
        <v>829</v>
      </c>
      <c r="J240" s="45">
        <v>799</v>
      </c>
      <c r="K240" s="45">
        <v>699</v>
      </c>
      <c r="L240" s="45">
        <v>699</v>
      </c>
      <c r="M240" s="45">
        <v>799</v>
      </c>
      <c r="N240" s="45">
        <v>699</v>
      </c>
      <c r="O240" s="45">
        <v>699</v>
      </c>
      <c r="P240" s="46">
        <v>699</v>
      </c>
      <c r="Q240" s="45">
        <v>699</v>
      </c>
      <c r="R240" s="45">
        <v>699</v>
      </c>
      <c r="S240" s="45">
        <v>699</v>
      </c>
      <c r="T240" s="45">
        <v>699</v>
      </c>
      <c r="U240" s="45">
        <v>699</v>
      </c>
      <c r="V240" s="45">
        <v>699</v>
      </c>
      <c r="W240" s="45">
        <v>699</v>
      </c>
      <c r="X240" s="45">
        <v>699</v>
      </c>
      <c r="Y240" s="45">
        <v>699</v>
      </c>
      <c r="Z240" s="45">
        <v>699</v>
      </c>
      <c r="AA240" s="45">
        <v>699</v>
      </c>
      <c r="AB240" s="45">
        <v>799</v>
      </c>
      <c r="AC240" s="45">
        <v>799</v>
      </c>
      <c r="AD240" s="45">
        <v>799</v>
      </c>
      <c r="AE240" s="45">
        <v>799</v>
      </c>
      <c r="AF240" s="45">
        <v>699</v>
      </c>
      <c r="AG240" s="45">
        <v>699</v>
      </c>
      <c r="AH240" s="45">
        <v>699</v>
      </c>
      <c r="AI240" s="45">
        <v>699</v>
      </c>
      <c r="AJ240" s="45">
        <v>699</v>
      </c>
      <c r="AK240" s="45">
        <v>699</v>
      </c>
      <c r="AL240" s="45">
        <v>699</v>
      </c>
      <c r="AM240" s="45"/>
      <c r="AN240" s="45"/>
      <c r="AO240" s="45"/>
      <c r="AP240" s="45"/>
      <c r="AQ240" s="45"/>
      <c r="AR240" s="45"/>
      <c r="AS240" s="45"/>
      <c r="AT240" s="45"/>
      <c r="AU240" s="45"/>
      <c r="AV240" s="47"/>
      <c r="AW240" s="48" t="s">
        <v>67</v>
      </c>
      <c r="AX240" s="49" t="s">
        <v>68</v>
      </c>
      <c r="AY240" s="50">
        <f t="shared" si="20"/>
        <v>16.745799999999999</v>
      </c>
      <c r="AZ240" s="50">
        <f t="shared" si="21"/>
        <v>15.087800000000001</v>
      </c>
      <c r="BA240" s="51">
        <f t="shared" si="22"/>
        <v>8.5387000000000004</v>
      </c>
    </row>
    <row r="241" spans="1:53" ht="22.5" customHeight="1">
      <c r="A241" s="57" t="s">
        <v>247</v>
      </c>
      <c r="B241" s="42" t="s">
        <v>64</v>
      </c>
      <c r="C241" s="43">
        <v>4016981</v>
      </c>
      <c r="D241" s="58" t="s">
        <v>391</v>
      </c>
      <c r="E241" s="58" t="s">
        <v>394</v>
      </c>
      <c r="F241" s="45">
        <v>1099</v>
      </c>
      <c r="G241" s="45">
        <v>829</v>
      </c>
      <c r="H241" s="45">
        <v>829</v>
      </c>
      <c r="I241" s="45">
        <v>829</v>
      </c>
      <c r="J241" s="45">
        <v>799</v>
      </c>
      <c r="K241" s="45">
        <v>699</v>
      </c>
      <c r="L241" s="45">
        <v>699</v>
      </c>
      <c r="M241" s="45">
        <v>799</v>
      </c>
      <c r="N241" s="45">
        <v>699</v>
      </c>
      <c r="O241" s="45">
        <v>699</v>
      </c>
      <c r="P241" s="46">
        <v>699</v>
      </c>
      <c r="Q241" s="45">
        <v>699</v>
      </c>
      <c r="R241" s="45">
        <v>699</v>
      </c>
      <c r="S241" s="45">
        <v>699</v>
      </c>
      <c r="T241" s="45">
        <v>699</v>
      </c>
      <c r="U241" s="45">
        <v>699</v>
      </c>
      <c r="V241" s="45">
        <v>699</v>
      </c>
      <c r="W241" s="45">
        <v>699</v>
      </c>
      <c r="X241" s="45">
        <v>699</v>
      </c>
      <c r="Y241" s="45">
        <v>699</v>
      </c>
      <c r="Z241" s="45">
        <v>699</v>
      </c>
      <c r="AA241" s="45">
        <v>699</v>
      </c>
      <c r="AB241" s="45">
        <v>799</v>
      </c>
      <c r="AC241" s="45">
        <v>799</v>
      </c>
      <c r="AD241" s="45">
        <v>799</v>
      </c>
      <c r="AE241" s="45">
        <v>799</v>
      </c>
      <c r="AF241" s="45">
        <v>699</v>
      </c>
      <c r="AG241" s="45">
        <v>699</v>
      </c>
      <c r="AH241" s="45">
        <v>699</v>
      </c>
      <c r="AI241" s="45">
        <v>699</v>
      </c>
      <c r="AJ241" s="45">
        <v>699</v>
      </c>
      <c r="AK241" s="45">
        <v>699</v>
      </c>
      <c r="AL241" s="45">
        <v>699</v>
      </c>
      <c r="AM241" s="45"/>
      <c r="AN241" s="45"/>
      <c r="AO241" s="45"/>
      <c r="AP241" s="45"/>
      <c r="AQ241" s="45"/>
      <c r="AR241" s="45"/>
      <c r="AS241" s="45"/>
      <c r="AT241" s="45"/>
      <c r="AU241" s="45"/>
      <c r="AV241" s="47"/>
      <c r="AW241" s="48" t="s">
        <v>67</v>
      </c>
      <c r="AX241" s="49" t="s">
        <v>68</v>
      </c>
      <c r="AY241" s="50">
        <f t="shared" si="20"/>
        <v>16.745799999999999</v>
      </c>
      <c r="AZ241" s="50">
        <f t="shared" si="21"/>
        <v>15.087800000000001</v>
      </c>
      <c r="BA241" s="51">
        <f t="shared" si="22"/>
        <v>8.5387000000000004</v>
      </c>
    </row>
    <row r="242" spans="1:53" ht="22.5" customHeight="1">
      <c r="A242" s="57" t="s">
        <v>247</v>
      </c>
      <c r="B242" s="42" t="s">
        <v>64</v>
      </c>
      <c r="C242" s="43">
        <v>4016995</v>
      </c>
      <c r="D242" s="58" t="s">
        <v>391</v>
      </c>
      <c r="E242" s="58" t="s">
        <v>395</v>
      </c>
      <c r="F242" s="45">
        <v>1099</v>
      </c>
      <c r="G242" s="45">
        <v>829</v>
      </c>
      <c r="H242" s="45">
        <v>829</v>
      </c>
      <c r="I242" s="45">
        <v>829</v>
      </c>
      <c r="J242" s="45">
        <v>799</v>
      </c>
      <c r="K242" s="45">
        <v>699</v>
      </c>
      <c r="L242" s="45">
        <v>699</v>
      </c>
      <c r="M242" s="45">
        <v>799</v>
      </c>
      <c r="N242" s="45">
        <v>699</v>
      </c>
      <c r="O242" s="45">
        <v>699</v>
      </c>
      <c r="P242" s="46">
        <v>699</v>
      </c>
      <c r="Q242" s="45">
        <v>699</v>
      </c>
      <c r="R242" s="45">
        <v>699</v>
      </c>
      <c r="S242" s="45">
        <v>699</v>
      </c>
      <c r="T242" s="45">
        <v>699</v>
      </c>
      <c r="U242" s="45">
        <v>699</v>
      </c>
      <c r="V242" s="45">
        <v>699</v>
      </c>
      <c r="W242" s="45">
        <v>699</v>
      </c>
      <c r="X242" s="45">
        <v>699</v>
      </c>
      <c r="Y242" s="45">
        <v>699</v>
      </c>
      <c r="Z242" s="45">
        <v>699</v>
      </c>
      <c r="AA242" s="45">
        <v>699</v>
      </c>
      <c r="AB242" s="45">
        <v>799</v>
      </c>
      <c r="AC242" s="45">
        <v>799</v>
      </c>
      <c r="AD242" s="45">
        <v>799</v>
      </c>
      <c r="AE242" s="45">
        <v>799</v>
      </c>
      <c r="AF242" s="45">
        <v>699</v>
      </c>
      <c r="AG242" s="45">
        <v>699</v>
      </c>
      <c r="AH242" s="45">
        <v>699</v>
      </c>
      <c r="AI242" s="45">
        <v>699</v>
      </c>
      <c r="AJ242" s="45">
        <v>699</v>
      </c>
      <c r="AK242" s="45">
        <v>699</v>
      </c>
      <c r="AL242" s="45">
        <v>699</v>
      </c>
      <c r="AM242" s="45"/>
      <c r="AN242" s="45"/>
      <c r="AO242" s="45"/>
      <c r="AP242" s="45"/>
      <c r="AQ242" s="45"/>
      <c r="AR242" s="45"/>
      <c r="AS242" s="45"/>
      <c r="AT242" s="45"/>
      <c r="AU242" s="45"/>
      <c r="AV242" s="47"/>
      <c r="AW242" s="48" t="s">
        <v>67</v>
      </c>
      <c r="AX242" s="49" t="s">
        <v>68</v>
      </c>
      <c r="AY242" s="50">
        <f t="shared" si="20"/>
        <v>16.745799999999999</v>
      </c>
      <c r="AZ242" s="50">
        <f t="shared" si="21"/>
        <v>15.087800000000001</v>
      </c>
      <c r="BA242" s="51">
        <f t="shared" si="22"/>
        <v>8.5387000000000004</v>
      </c>
    </row>
    <row r="243" spans="1:53" ht="22.5" customHeight="1">
      <c r="A243" s="57" t="s">
        <v>247</v>
      </c>
      <c r="B243" s="42" t="s">
        <v>64</v>
      </c>
      <c r="C243" s="64">
        <v>4017375</v>
      </c>
      <c r="D243" s="58" t="s">
        <v>396</v>
      </c>
      <c r="E243" s="58" t="s">
        <v>397</v>
      </c>
      <c r="F243" s="45">
        <v>1049</v>
      </c>
      <c r="G243" s="45">
        <v>849</v>
      </c>
      <c r="H243" s="45">
        <v>969</v>
      </c>
      <c r="I243" s="45">
        <v>969</v>
      </c>
      <c r="J243" s="45">
        <v>899</v>
      </c>
      <c r="K243" s="45">
        <v>799</v>
      </c>
      <c r="L243" s="45">
        <v>799</v>
      </c>
      <c r="M243" s="45">
        <v>899</v>
      </c>
      <c r="N243" s="45">
        <v>799</v>
      </c>
      <c r="O243" s="45">
        <v>749</v>
      </c>
      <c r="P243" s="46">
        <v>749</v>
      </c>
      <c r="Q243" s="45">
        <v>699</v>
      </c>
      <c r="R243" s="45">
        <v>749</v>
      </c>
      <c r="S243" s="45">
        <v>749</v>
      </c>
      <c r="T243" s="45">
        <v>699</v>
      </c>
      <c r="U243" s="45">
        <v>699</v>
      </c>
      <c r="V243" s="45">
        <v>699</v>
      </c>
      <c r="W243" s="45">
        <v>699</v>
      </c>
      <c r="X243" s="45">
        <v>699</v>
      </c>
      <c r="Y243" s="45">
        <v>699</v>
      </c>
      <c r="Z243" s="45">
        <v>699</v>
      </c>
      <c r="AA243" s="45">
        <v>699</v>
      </c>
      <c r="AB243" s="45">
        <v>799</v>
      </c>
      <c r="AC243" s="45">
        <v>799</v>
      </c>
      <c r="AD243" s="45">
        <v>799</v>
      </c>
      <c r="AE243" s="45">
        <v>749</v>
      </c>
      <c r="AF243" s="45">
        <v>749</v>
      </c>
      <c r="AG243" s="45">
        <v>749</v>
      </c>
      <c r="AH243" s="45">
        <v>699</v>
      </c>
      <c r="AI243" s="45">
        <v>699</v>
      </c>
      <c r="AJ243" s="45">
        <v>699</v>
      </c>
      <c r="AK243" s="45">
        <v>699</v>
      </c>
      <c r="AL243" s="45">
        <v>699</v>
      </c>
      <c r="AM243" s="45"/>
      <c r="AN243" s="45"/>
      <c r="AO243" s="45"/>
      <c r="AP243" s="45"/>
      <c r="AQ243" s="45"/>
      <c r="AR243" s="45"/>
      <c r="AS243" s="45"/>
      <c r="AT243" s="45"/>
      <c r="AU243" s="45"/>
      <c r="AV243" s="47"/>
      <c r="AW243" s="48" t="s">
        <v>67</v>
      </c>
      <c r="AX243" s="49" t="s">
        <v>68</v>
      </c>
      <c r="AY243" s="50">
        <f t="shared" si="20"/>
        <v>19.573799999999999</v>
      </c>
      <c r="AZ243" s="50">
        <f t="shared" si="21"/>
        <v>17.6358</v>
      </c>
      <c r="BA243" s="51">
        <f t="shared" si="22"/>
        <v>9.9807000000000006</v>
      </c>
    </row>
    <row r="244" spans="1:53" ht="22.5" customHeight="1">
      <c r="A244" s="57" t="s">
        <v>247</v>
      </c>
      <c r="B244" s="42" t="s">
        <v>64</v>
      </c>
      <c r="C244" s="64">
        <v>4017537</v>
      </c>
      <c r="D244" s="58" t="s">
        <v>396</v>
      </c>
      <c r="E244" s="58" t="s">
        <v>398</v>
      </c>
      <c r="F244" s="45">
        <v>1049</v>
      </c>
      <c r="G244" s="45">
        <v>849</v>
      </c>
      <c r="H244" s="45">
        <v>969</v>
      </c>
      <c r="I244" s="45">
        <v>969</v>
      </c>
      <c r="J244" s="45">
        <v>899</v>
      </c>
      <c r="K244" s="45">
        <v>799</v>
      </c>
      <c r="L244" s="45">
        <v>799</v>
      </c>
      <c r="M244" s="45">
        <v>899</v>
      </c>
      <c r="N244" s="45">
        <v>799</v>
      </c>
      <c r="O244" s="45">
        <v>749</v>
      </c>
      <c r="P244" s="46">
        <v>749</v>
      </c>
      <c r="Q244" s="45">
        <v>699</v>
      </c>
      <c r="R244" s="45">
        <v>749</v>
      </c>
      <c r="S244" s="45">
        <v>749</v>
      </c>
      <c r="T244" s="45">
        <v>699</v>
      </c>
      <c r="U244" s="45">
        <v>699</v>
      </c>
      <c r="V244" s="45">
        <v>699</v>
      </c>
      <c r="W244" s="45">
        <v>699</v>
      </c>
      <c r="X244" s="45">
        <v>699</v>
      </c>
      <c r="Y244" s="45">
        <v>699</v>
      </c>
      <c r="Z244" s="45">
        <v>699</v>
      </c>
      <c r="AA244" s="45">
        <v>699</v>
      </c>
      <c r="AB244" s="45">
        <v>799</v>
      </c>
      <c r="AC244" s="45">
        <v>799</v>
      </c>
      <c r="AD244" s="45">
        <v>799</v>
      </c>
      <c r="AE244" s="45">
        <v>749</v>
      </c>
      <c r="AF244" s="45">
        <v>749</v>
      </c>
      <c r="AG244" s="45">
        <v>749</v>
      </c>
      <c r="AH244" s="45">
        <v>699</v>
      </c>
      <c r="AI244" s="45">
        <v>699</v>
      </c>
      <c r="AJ244" s="45">
        <v>699</v>
      </c>
      <c r="AK244" s="45">
        <v>699</v>
      </c>
      <c r="AL244" s="45">
        <v>699</v>
      </c>
      <c r="AM244" s="45"/>
      <c r="AN244" s="45"/>
      <c r="AO244" s="45"/>
      <c r="AP244" s="45"/>
      <c r="AQ244" s="45"/>
      <c r="AR244" s="45"/>
      <c r="AS244" s="45"/>
      <c r="AT244" s="45"/>
      <c r="AU244" s="45"/>
      <c r="AV244" s="47"/>
      <c r="AW244" s="48" t="s">
        <v>67</v>
      </c>
      <c r="AX244" s="49" t="s">
        <v>68</v>
      </c>
      <c r="AY244" s="50">
        <f t="shared" si="20"/>
        <v>19.573799999999999</v>
      </c>
      <c r="AZ244" s="50">
        <f t="shared" si="21"/>
        <v>17.6358</v>
      </c>
      <c r="BA244" s="51">
        <f t="shared" si="22"/>
        <v>9.9807000000000006</v>
      </c>
    </row>
    <row r="245" spans="1:53" ht="22.5" customHeight="1">
      <c r="A245" s="57" t="s">
        <v>247</v>
      </c>
      <c r="B245" s="42" t="s">
        <v>64</v>
      </c>
      <c r="C245" s="43">
        <v>4017541</v>
      </c>
      <c r="D245" s="58" t="s">
        <v>399</v>
      </c>
      <c r="E245" s="58" t="s">
        <v>400</v>
      </c>
      <c r="F245" s="45">
        <v>1599</v>
      </c>
      <c r="G245" s="45">
        <v>1249</v>
      </c>
      <c r="H245" s="45">
        <v>1249</v>
      </c>
      <c r="I245" s="45">
        <v>1249</v>
      </c>
      <c r="J245" s="45">
        <v>1099</v>
      </c>
      <c r="K245" s="45">
        <v>1049</v>
      </c>
      <c r="L245" s="45">
        <v>1049</v>
      </c>
      <c r="M245" s="45">
        <v>1099</v>
      </c>
      <c r="N245" s="45">
        <v>1049</v>
      </c>
      <c r="O245" s="45">
        <v>999</v>
      </c>
      <c r="P245" s="46">
        <v>999</v>
      </c>
      <c r="Q245" s="45">
        <v>999</v>
      </c>
      <c r="R245" s="45">
        <v>999</v>
      </c>
      <c r="S245" s="45">
        <v>999</v>
      </c>
      <c r="T245" s="45">
        <v>999</v>
      </c>
      <c r="U245" s="45">
        <v>999</v>
      </c>
      <c r="V245" s="45">
        <v>999</v>
      </c>
      <c r="W245" s="45">
        <v>999</v>
      </c>
      <c r="X245" s="45">
        <v>999</v>
      </c>
      <c r="Y245" s="45">
        <v>999</v>
      </c>
      <c r="Z245" s="45">
        <v>999</v>
      </c>
      <c r="AA245" s="45">
        <v>999</v>
      </c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7"/>
      <c r="AW245" s="48" t="s">
        <v>67</v>
      </c>
      <c r="AX245" s="49" t="s">
        <v>253</v>
      </c>
      <c r="AY245" s="55">
        <f t="shared" si="20"/>
        <v>25.229799999999997</v>
      </c>
      <c r="AZ245" s="55">
        <f t="shared" si="21"/>
        <v>22.7318</v>
      </c>
      <c r="BA245" s="56">
        <f t="shared" si="22"/>
        <v>12.864700000000001</v>
      </c>
    </row>
    <row r="246" spans="1:53" ht="22.5" customHeight="1">
      <c r="A246" s="57" t="s">
        <v>247</v>
      </c>
      <c r="B246" s="42" t="s">
        <v>64</v>
      </c>
      <c r="C246" s="43">
        <v>4017544</v>
      </c>
      <c r="D246" s="58" t="s">
        <v>399</v>
      </c>
      <c r="E246" s="58" t="s">
        <v>401</v>
      </c>
      <c r="F246" s="45">
        <v>1599</v>
      </c>
      <c r="G246" s="45">
        <v>1249</v>
      </c>
      <c r="H246" s="45">
        <v>1249</v>
      </c>
      <c r="I246" s="45">
        <v>1249</v>
      </c>
      <c r="J246" s="45">
        <v>1099</v>
      </c>
      <c r="K246" s="45">
        <v>1049</v>
      </c>
      <c r="L246" s="45">
        <v>1049</v>
      </c>
      <c r="M246" s="45">
        <v>1099</v>
      </c>
      <c r="N246" s="45">
        <v>1049</v>
      </c>
      <c r="O246" s="45">
        <v>999</v>
      </c>
      <c r="P246" s="46">
        <v>999</v>
      </c>
      <c r="Q246" s="45">
        <v>999</v>
      </c>
      <c r="R246" s="45">
        <v>999</v>
      </c>
      <c r="S246" s="45">
        <v>999</v>
      </c>
      <c r="T246" s="45">
        <v>999</v>
      </c>
      <c r="U246" s="45">
        <v>999</v>
      </c>
      <c r="V246" s="45">
        <v>999</v>
      </c>
      <c r="W246" s="45">
        <v>999</v>
      </c>
      <c r="X246" s="45">
        <v>999</v>
      </c>
      <c r="Y246" s="45">
        <v>999</v>
      </c>
      <c r="Z246" s="45">
        <v>999</v>
      </c>
      <c r="AA246" s="45">
        <v>999</v>
      </c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7"/>
      <c r="AW246" s="48" t="s">
        <v>67</v>
      </c>
      <c r="AX246" s="49" t="s">
        <v>253</v>
      </c>
      <c r="AY246" s="55">
        <f t="shared" si="20"/>
        <v>25.229799999999997</v>
      </c>
      <c r="AZ246" s="55">
        <f t="shared" si="21"/>
        <v>22.7318</v>
      </c>
      <c r="BA246" s="56">
        <f t="shared" si="22"/>
        <v>12.864700000000001</v>
      </c>
    </row>
    <row r="247" spans="1:53" ht="22.5" customHeight="1">
      <c r="A247" s="57" t="s">
        <v>247</v>
      </c>
      <c r="B247" s="42" t="s">
        <v>64</v>
      </c>
      <c r="C247" s="43">
        <v>4017566</v>
      </c>
      <c r="D247" s="58" t="s">
        <v>399</v>
      </c>
      <c r="E247" s="58" t="s">
        <v>402</v>
      </c>
      <c r="F247" s="45">
        <v>1599</v>
      </c>
      <c r="G247" s="45">
        <v>1249</v>
      </c>
      <c r="H247" s="45">
        <v>1249</v>
      </c>
      <c r="I247" s="45">
        <v>1249</v>
      </c>
      <c r="J247" s="45">
        <v>1099</v>
      </c>
      <c r="K247" s="45">
        <v>1049</v>
      </c>
      <c r="L247" s="45">
        <v>1049</v>
      </c>
      <c r="M247" s="45">
        <v>1099</v>
      </c>
      <c r="N247" s="45">
        <v>1049</v>
      </c>
      <c r="O247" s="45">
        <v>999</v>
      </c>
      <c r="P247" s="46">
        <v>999</v>
      </c>
      <c r="Q247" s="45">
        <v>999</v>
      </c>
      <c r="R247" s="45">
        <v>999</v>
      </c>
      <c r="S247" s="45">
        <v>999</v>
      </c>
      <c r="T247" s="45">
        <v>999</v>
      </c>
      <c r="U247" s="45">
        <v>999</v>
      </c>
      <c r="V247" s="45">
        <v>999</v>
      </c>
      <c r="W247" s="45">
        <v>999</v>
      </c>
      <c r="X247" s="45">
        <v>999</v>
      </c>
      <c r="Y247" s="45">
        <v>999</v>
      </c>
      <c r="Z247" s="45">
        <v>999</v>
      </c>
      <c r="AA247" s="45">
        <v>999</v>
      </c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7"/>
      <c r="AW247" s="48" t="s">
        <v>67</v>
      </c>
      <c r="AX247" s="49" t="s">
        <v>253</v>
      </c>
      <c r="AY247" s="55">
        <f t="shared" si="20"/>
        <v>25.229799999999997</v>
      </c>
      <c r="AZ247" s="55">
        <f t="shared" si="21"/>
        <v>22.7318</v>
      </c>
      <c r="BA247" s="56">
        <f t="shared" si="22"/>
        <v>12.864700000000001</v>
      </c>
    </row>
    <row r="248" spans="1:53" ht="22.5" customHeight="1">
      <c r="A248" s="57" t="s">
        <v>247</v>
      </c>
      <c r="B248" s="42" t="s">
        <v>64</v>
      </c>
      <c r="C248" s="43">
        <v>4018003</v>
      </c>
      <c r="D248" s="58" t="s">
        <v>403</v>
      </c>
      <c r="E248" s="58" t="s">
        <v>404</v>
      </c>
      <c r="F248" s="45">
        <v>1399</v>
      </c>
      <c r="G248" s="45">
        <v>1199</v>
      </c>
      <c r="H248" s="45">
        <v>1199</v>
      </c>
      <c r="I248" s="45">
        <v>1199</v>
      </c>
      <c r="J248" s="45">
        <v>1099</v>
      </c>
      <c r="K248" s="45">
        <v>999</v>
      </c>
      <c r="L248" s="45">
        <v>999</v>
      </c>
      <c r="M248" s="45">
        <v>1099</v>
      </c>
      <c r="N248" s="45">
        <v>999</v>
      </c>
      <c r="O248" s="45">
        <v>949</v>
      </c>
      <c r="P248" s="46">
        <v>899</v>
      </c>
      <c r="Q248" s="45">
        <v>849</v>
      </c>
      <c r="R248" s="45">
        <v>949</v>
      </c>
      <c r="S248" s="45">
        <v>899</v>
      </c>
      <c r="T248" s="45">
        <v>849</v>
      </c>
      <c r="U248" s="45">
        <v>849</v>
      </c>
      <c r="V248" s="45">
        <v>849</v>
      </c>
      <c r="W248" s="45">
        <v>849</v>
      </c>
      <c r="X248" s="45">
        <v>849</v>
      </c>
      <c r="Y248" s="45">
        <v>799</v>
      </c>
      <c r="Z248" s="45">
        <v>799</v>
      </c>
      <c r="AA248" s="45">
        <v>799</v>
      </c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7"/>
      <c r="AW248" s="48" t="s">
        <v>67</v>
      </c>
      <c r="AX248" s="49" t="s">
        <v>68</v>
      </c>
      <c r="AY248" s="55">
        <f t="shared" si="20"/>
        <v>24.219799999999999</v>
      </c>
      <c r="AZ248" s="55">
        <f t="shared" si="21"/>
        <v>21.8218</v>
      </c>
      <c r="BA248" s="56">
        <f t="shared" si="22"/>
        <v>12.3497</v>
      </c>
    </row>
    <row r="249" spans="1:53" ht="22.5" customHeight="1">
      <c r="A249" s="57" t="s">
        <v>247</v>
      </c>
      <c r="B249" s="42" t="s">
        <v>64</v>
      </c>
      <c r="C249" s="43">
        <v>4014848</v>
      </c>
      <c r="D249" s="58" t="s">
        <v>405</v>
      </c>
      <c r="E249" s="58" t="s">
        <v>406</v>
      </c>
      <c r="F249" s="45">
        <v>699</v>
      </c>
      <c r="G249" s="45">
        <v>599</v>
      </c>
      <c r="H249" s="45">
        <v>599</v>
      </c>
      <c r="I249" s="45">
        <v>599</v>
      </c>
      <c r="J249" s="45">
        <f t="shared" si="18"/>
        <v>499</v>
      </c>
      <c r="K249" s="45">
        <f t="shared" si="19"/>
        <v>499</v>
      </c>
      <c r="L249" s="45">
        <f t="shared" si="19"/>
        <v>499</v>
      </c>
      <c r="M249" s="45">
        <v>499</v>
      </c>
      <c r="N249" s="45">
        <v>499</v>
      </c>
      <c r="O249" s="45">
        <f t="shared" ref="O249:Q292" si="23">R249</f>
        <v>449</v>
      </c>
      <c r="P249" s="46">
        <f t="shared" si="23"/>
        <v>449</v>
      </c>
      <c r="Q249" s="46">
        <f t="shared" si="23"/>
        <v>399</v>
      </c>
      <c r="R249" s="45">
        <v>449</v>
      </c>
      <c r="S249" s="45">
        <v>449</v>
      </c>
      <c r="T249" s="45">
        <v>399</v>
      </c>
      <c r="U249" s="45">
        <v>399</v>
      </c>
      <c r="V249" s="45">
        <v>399</v>
      </c>
      <c r="W249" s="45">
        <v>399</v>
      </c>
      <c r="X249" s="45">
        <v>399</v>
      </c>
      <c r="Y249" s="45">
        <v>399</v>
      </c>
      <c r="Z249" s="45">
        <v>399</v>
      </c>
      <c r="AA249" s="45">
        <v>399</v>
      </c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7"/>
      <c r="AW249" s="48" t="s">
        <v>67</v>
      </c>
      <c r="AX249" s="49" t="s">
        <v>253</v>
      </c>
      <c r="AY249" s="50">
        <f t="shared" si="20"/>
        <v>12.0998</v>
      </c>
      <c r="AZ249" s="50">
        <f t="shared" si="21"/>
        <v>10.9018</v>
      </c>
      <c r="BA249" s="51">
        <f t="shared" si="22"/>
        <v>6.1696999999999997</v>
      </c>
    </row>
    <row r="250" spans="1:53" ht="22.5" customHeight="1">
      <c r="A250" s="57" t="s">
        <v>247</v>
      </c>
      <c r="B250" s="42" t="s">
        <v>64</v>
      </c>
      <c r="C250" s="43">
        <v>4014844</v>
      </c>
      <c r="D250" s="58" t="s">
        <v>405</v>
      </c>
      <c r="E250" s="58" t="s">
        <v>407</v>
      </c>
      <c r="F250" s="45">
        <v>699</v>
      </c>
      <c r="G250" s="45">
        <v>599</v>
      </c>
      <c r="H250" s="45">
        <v>599</v>
      </c>
      <c r="I250" s="45">
        <v>599</v>
      </c>
      <c r="J250" s="45">
        <f t="shared" si="18"/>
        <v>499</v>
      </c>
      <c r="K250" s="45">
        <f t="shared" si="19"/>
        <v>499</v>
      </c>
      <c r="L250" s="45">
        <f t="shared" si="19"/>
        <v>499</v>
      </c>
      <c r="M250" s="45">
        <v>499</v>
      </c>
      <c r="N250" s="45">
        <v>499</v>
      </c>
      <c r="O250" s="45">
        <f t="shared" si="23"/>
        <v>449</v>
      </c>
      <c r="P250" s="46">
        <f t="shared" si="23"/>
        <v>449</v>
      </c>
      <c r="Q250" s="46">
        <f t="shared" si="23"/>
        <v>399</v>
      </c>
      <c r="R250" s="45">
        <v>449</v>
      </c>
      <c r="S250" s="45">
        <v>449</v>
      </c>
      <c r="T250" s="45">
        <v>399</v>
      </c>
      <c r="U250" s="45">
        <v>399</v>
      </c>
      <c r="V250" s="45">
        <v>399</v>
      </c>
      <c r="W250" s="45">
        <v>399</v>
      </c>
      <c r="X250" s="45">
        <v>399</v>
      </c>
      <c r="Y250" s="45">
        <v>399</v>
      </c>
      <c r="Z250" s="45">
        <v>399</v>
      </c>
      <c r="AA250" s="45">
        <v>399</v>
      </c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7"/>
      <c r="AW250" s="48" t="s">
        <v>67</v>
      </c>
      <c r="AX250" s="49" t="s">
        <v>253</v>
      </c>
      <c r="AY250" s="50">
        <f t="shared" si="20"/>
        <v>12.0998</v>
      </c>
      <c r="AZ250" s="50">
        <f t="shared" si="21"/>
        <v>10.9018</v>
      </c>
      <c r="BA250" s="51">
        <f t="shared" si="22"/>
        <v>6.1696999999999997</v>
      </c>
    </row>
    <row r="251" spans="1:53" ht="22.5" customHeight="1">
      <c r="A251" s="57" t="s">
        <v>247</v>
      </c>
      <c r="B251" s="42" t="s">
        <v>64</v>
      </c>
      <c r="C251" s="43">
        <v>4015256</v>
      </c>
      <c r="D251" s="58" t="s">
        <v>408</v>
      </c>
      <c r="E251" s="58" t="s">
        <v>409</v>
      </c>
      <c r="F251" s="45">
        <v>1056</v>
      </c>
      <c r="G251" s="45">
        <v>856</v>
      </c>
      <c r="H251" s="45">
        <v>1056</v>
      </c>
      <c r="I251" s="45">
        <v>1056</v>
      </c>
      <c r="J251" s="45">
        <v>599</v>
      </c>
      <c r="K251" s="45">
        <v>599</v>
      </c>
      <c r="L251" s="45">
        <v>599</v>
      </c>
      <c r="M251" s="45">
        <v>599</v>
      </c>
      <c r="N251" s="45">
        <v>599</v>
      </c>
      <c r="O251" s="45">
        <v>599</v>
      </c>
      <c r="P251" s="45">
        <v>599</v>
      </c>
      <c r="Q251" s="45">
        <v>599</v>
      </c>
      <c r="R251" s="45">
        <v>599</v>
      </c>
      <c r="S251" s="45">
        <v>599</v>
      </c>
      <c r="T251" s="45">
        <v>599</v>
      </c>
      <c r="U251" s="45">
        <v>599</v>
      </c>
      <c r="V251" s="45">
        <v>599</v>
      </c>
      <c r="W251" s="45">
        <v>599</v>
      </c>
      <c r="X251" s="45">
        <v>599</v>
      </c>
      <c r="Y251" s="45">
        <v>599</v>
      </c>
      <c r="Z251" s="45">
        <v>599</v>
      </c>
      <c r="AA251" s="45">
        <v>599</v>
      </c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7"/>
      <c r="AW251" s="48" t="s">
        <v>67</v>
      </c>
      <c r="AX251" s="49" t="s">
        <v>68</v>
      </c>
      <c r="AY251" s="50">
        <f t="shared" si="20"/>
        <v>21.331199999999999</v>
      </c>
      <c r="AZ251" s="50">
        <f t="shared" si="21"/>
        <v>19.219200000000001</v>
      </c>
      <c r="BA251" s="51">
        <f t="shared" si="22"/>
        <v>10.876799999999999</v>
      </c>
    </row>
    <row r="252" spans="1:53" ht="22.5" customHeight="1">
      <c r="A252" s="57" t="s">
        <v>247</v>
      </c>
      <c r="B252" s="42" t="s">
        <v>64</v>
      </c>
      <c r="C252" s="43">
        <v>4015257</v>
      </c>
      <c r="D252" s="58" t="s">
        <v>408</v>
      </c>
      <c r="E252" s="58" t="s">
        <v>410</v>
      </c>
      <c r="F252" s="45">
        <v>1056</v>
      </c>
      <c r="G252" s="45">
        <v>856</v>
      </c>
      <c r="H252" s="45">
        <v>1056</v>
      </c>
      <c r="I252" s="45">
        <v>1056</v>
      </c>
      <c r="J252" s="45">
        <v>599</v>
      </c>
      <c r="K252" s="45">
        <v>599</v>
      </c>
      <c r="L252" s="45">
        <v>599</v>
      </c>
      <c r="M252" s="45">
        <v>599</v>
      </c>
      <c r="N252" s="45">
        <v>599</v>
      </c>
      <c r="O252" s="45">
        <v>599</v>
      </c>
      <c r="P252" s="45">
        <v>599</v>
      </c>
      <c r="Q252" s="45">
        <v>599</v>
      </c>
      <c r="R252" s="45">
        <v>599</v>
      </c>
      <c r="S252" s="45">
        <v>599</v>
      </c>
      <c r="T252" s="45">
        <v>599</v>
      </c>
      <c r="U252" s="45">
        <v>599</v>
      </c>
      <c r="V252" s="45">
        <v>599</v>
      </c>
      <c r="W252" s="45">
        <v>599</v>
      </c>
      <c r="X252" s="45">
        <v>599</v>
      </c>
      <c r="Y252" s="45">
        <v>599</v>
      </c>
      <c r="Z252" s="45">
        <v>599</v>
      </c>
      <c r="AA252" s="45">
        <v>599</v>
      </c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7"/>
      <c r="AW252" s="48" t="s">
        <v>67</v>
      </c>
      <c r="AX252" s="49" t="s">
        <v>68</v>
      </c>
      <c r="AY252" s="50">
        <f t="shared" si="20"/>
        <v>21.331199999999999</v>
      </c>
      <c r="AZ252" s="50">
        <f t="shared" si="21"/>
        <v>19.219200000000001</v>
      </c>
      <c r="BA252" s="51">
        <f t="shared" si="22"/>
        <v>10.876799999999999</v>
      </c>
    </row>
    <row r="253" spans="1:53" ht="22.5" customHeight="1">
      <c r="A253" s="57" t="s">
        <v>247</v>
      </c>
      <c r="B253" s="42" t="s">
        <v>64</v>
      </c>
      <c r="C253" s="43">
        <v>4015259</v>
      </c>
      <c r="D253" s="58" t="s">
        <v>408</v>
      </c>
      <c r="E253" s="58" t="s">
        <v>411</v>
      </c>
      <c r="F253" s="45">
        <v>1056</v>
      </c>
      <c r="G253" s="45">
        <v>856</v>
      </c>
      <c r="H253" s="45">
        <v>1056</v>
      </c>
      <c r="I253" s="45">
        <v>1056</v>
      </c>
      <c r="J253" s="45">
        <v>599</v>
      </c>
      <c r="K253" s="45">
        <v>599</v>
      </c>
      <c r="L253" s="45">
        <v>599</v>
      </c>
      <c r="M253" s="45">
        <v>599</v>
      </c>
      <c r="N253" s="45">
        <v>599</v>
      </c>
      <c r="O253" s="45">
        <v>599</v>
      </c>
      <c r="P253" s="45">
        <v>599</v>
      </c>
      <c r="Q253" s="45">
        <v>599</v>
      </c>
      <c r="R253" s="45">
        <v>599</v>
      </c>
      <c r="S253" s="45">
        <v>599</v>
      </c>
      <c r="T253" s="45">
        <v>599</v>
      </c>
      <c r="U253" s="45">
        <v>599</v>
      </c>
      <c r="V253" s="45">
        <v>599</v>
      </c>
      <c r="W253" s="45">
        <v>599</v>
      </c>
      <c r="X253" s="45">
        <v>599</v>
      </c>
      <c r="Y253" s="45">
        <v>599</v>
      </c>
      <c r="Z253" s="45">
        <v>599</v>
      </c>
      <c r="AA253" s="45">
        <v>599</v>
      </c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7"/>
      <c r="AW253" s="48" t="s">
        <v>67</v>
      </c>
      <c r="AX253" s="49" t="s">
        <v>68</v>
      </c>
      <c r="AY253" s="50">
        <f t="shared" si="20"/>
        <v>21.331199999999999</v>
      </c>
      <c r="AZ253" s="50">
        <f t="shared" si="21"/>
        <v>19.219200000000001</v>
      </c>
      <c r="BA253" s="51">
        <f t="shared" si="22"/>
        <v>10.876799999999999</v>
      </c>
    </row>
    <row r="254" spans="1:53" ht="22" customHeight="1">
      <c r="A254" s="57" t="s">
        <v>247</v>
      </c>
      <c r="B254" s="42" t="s">
        <v>64</v>
      </c>
      <c r="C254" s="43">
        <v>4015563</v>
      </c>
      <c r="D254" s="58" t="s">
        <v>412</v>
      </c>
      <c r="E254" s="58" t="s">
        <v>413</v>
      </c>
      <c r="F254" s="45">
        <v>999</v>
      </c>
      <c r="G254" s="45">
        <v>699</v>
      </c>
      <c r="H254" s="45">
        <v>699</v>
      </c>
      <c r="I254" s="45">
        <v>699</v>
      </c>
      <c r="J254" s="45">
        <f t="shared" si="18"/>
        <v>599</v>
      </c>
      <c r="K254" s="45">
        <f t="shared" si="19"/>
        <v>599</v>
      </c>
      <c r="L254" s="45">
        <f t="shared" si="19"/>
        <v>599</v>
      </c>
      <c r="M254" s="45">
        <v>599</v>
      </c>
      <c r="N254" s="45">
        <v>599</v>
      </c>
      <c r="O254" s="45">
        <f t="shared" si="23"/>
        <v>549</v>
      </c>
      <c r="P254" s="46">
        <f t="shared" si="23"/>
        <v>549</v>
      </c>
      <c r="Q254" s="46">
        <f t="shared" si="23"/>
        <v>499</v>
      </c>
      <c r="R254" s="45">
        <v>549</v>
      </c>
      <c r="S254" s="45">
        <v>549</v>
      </c>
      <c r="T254" s="45">
        <v>499</v>
      </c>
      <c r="U254" s="45">
        <v>499</v>
      </c>
      <c r="V254" s="45">
        <v>499</v>
      </c>
      <c r="W254" s="45">
        <v>499</v>
      </c>
      <c r="X254" s="45">
        <v>499</v>
      </c>
      <c r="Y254" s="45">
        <v>499</v>
      </c>
      <c r="Z254" s="45">
        <v>499</v>
      </c>
      <c r="AA254" s="45">
        <v>499</v>
      </c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7"/>
      <c r="AW254" s="48" t="s">
        <v>67</v>
      </c>
      <c r="AX254" s="49" t="s">
        <v>68</v>
      </c>
      <c r="AY254" s="50">
        <f t="shared" si="20"/>
        <v>14.1198</v>
      </c>
      <c r="AZ254" s="50">
        <f t="shared" si="21"/>
        <v>12.7218</v>
      </c>
      <c r="BA254" s="51">
        <f t="shared" si="22"/>
        <v>7.1997</v>
      </c>
    </row>
    <row r="255" spans="1:53" ht="22.5" customHeight="1">
      <c r="A255" s="57" t="s">
        <v>247</v>
      </c>
      <c r="B255" s="42" t="s">
        <v>64</v>
      </c>
      <c r="C255" s="43">
        <v>4015565</v>
      </c>
      <c r="D255" s="58" t="s">
        <v>412</v>
      </c>
      <c r="E255" s="58" t="s">
        <v>414</v>
      </c>
      <c r="F255" s="45">
        <v>999</v>
      </c>
      <c r="G255" s="45">
        <v>699</v>
      </c>
      <c r="H255" s="45">
        <v>699</v>
      </c>
      <c r="I255" s="45">
        <v>699</v>
      </c>
      <c r="J255" s="45">
        <f t="shared" si="18"/>
        <v>599</v>
      </c>
      <c r="K255" s="45">
        <f t="shared" si="19"/>
        <v>599</v>
      </c>
      <c r="L255" s="45">
        <f t="shared" si="19"/>
        <v>599</v>
      </c>
      <c r="M255" s="45">
        <v>599</v>
      </c>
      <c r="N255" s="45">
        <v>599</v>
      </c>
      <c r="O255" s="45">
        <f t="shared" si="23"/>
        <v>549</v>
      </c>
      <c r="P255" s="46">
        <f t="shared" si="23"/>
        <v>549</v>
      </c>
      <c r="Q255" s="46">
        <f t="shared" si="23"/>
        <v>499</v>
      </c>
      <c r="R255" s="45">
        <v>549</v>
      </c>
      <c r="S255" s="45">
        <v>549</v>
      </c>
      <c r="T255" s="45">
        <v>499</v>
      </c>
      <c r="U255" s="45">
        <v>499</v>
      </c>
      <c r="V255" s="45">
        <v>499</v>
      </c>
      <c r="W255" s="45">
        <v>499</v>
      </c>
      <c r="X255" s="45">
        <v>499</v>
      </c>
      <c r="Y255" s="45">
        <v>499</v>
      </c>
      <c r="Z255" s="45">
        <v>499</v>
      </c>
      <c r="AA255" s="45">
        <v>499</v>
      </c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7"/>
      <c r="AW255" s="48" t="s">
        <v>67</v>
      </c>
      <c r="AX255" s="49" t="s">
        <v>68</v>
      </c>
      <c r="AY255" s="50">
        <f t="shared" si="20"/>
        <v>14.1198</v>
      </c>
      <c r="AZ255" s="50">
        <f t="shared" si="21"/>
        <v>12.7218</v>
      </c>
      <c r="BA255" s="51">
        <f t="shared" si="22"/>
        <v>7.1997</v>
      </c>
    </row>
    <row r="256" spans="1:53" ht="22.5" customHeight="1">
      <c r="A256" s="57" t="s">
        <v>247</v>
      </c>
      <c r="B256" s="42" t="s">
        <v>64</v>
      </c>
      <c r="C256" s="43">
        <v>4015567</v>
      </c>
      <c r="D256" s="58" t="s">
        <v>412</v>
      </c>
      <c r="E256" s="58" t="s">
        <v>415</v>
      </c>
      <c r="F256" s="45">
        <v>999</v>
      </c>
      <c r="G256" s="45">
        <v>699</v>
      </c>
      <c r="H256" s="45">
        <v>699</v>
      </c>
      <c r="I256" s="45">
        <v>699</v>
      </c>
      <c r="J256" s="45">
        <f t="shared" si="18"/>
        <v>599</v>
      </c>
      <c r="K256" s="45">
        <f t="shared" si="19"/>
        <v>599</v>
      </c>
      <c r="L256" s="45">
        <f t="shared" si="19"/>
        <v>599</v>
      </c>
      <c r="M256" s="45">
        <v>599</v>
      </c>
      <c r="N256" s="45">
        <v>599</v>
      </c>
      <c r="O256" s="45">
        <f t="shared" si="23"/>
        <v>549</v>
      </c>
      <c r="P256" s="46">
        <f t="shared" si="23"/>
        <v>549</v>
      </c>
      <c r="Q256" s="46">
        <f t="shared" si="23"/>
        <v>499</v>
      </c>
      <c r="R256" s="45">
        <v>549</v>
      </c>
      <c r="S256" s="45">
        <v>549</v>
      </c>
      <c r="T256" s="45">
        <v>499</v>
      </c>
      <c r="U256" s="45">
        <v>499</v>
      </c>
      <c r="V256" s="45">
        <v>499</v>
      </c>
      <c r="W256" s="45">
        <v>499</v>
      </c>
      <c r="X256" s="45">
        <v>499</v>
      </c>
      <c r="Y256" s="45">
        <v>499</v>
      </c>
      <c r="Z256" s="45">
        <v>499</v>
      </c>
      <c r="AA256" s="45">
        <v>499</v>
      </c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7"/>
      <c r="AW256" s="48" t="s">
        <v>67</v>
      </c>
      <c r="AX256" s="49" t="s">
        <v>68</v>
      </c>
      <c r="AY256" s="50">
        <f t="shared" si="20"/>
        <v>14.1198</v>
      </c>
      <c r="AZ256" s="50">
        <f t="shared" si="21"/>
        <v>12.7218</v>
      </c>
      <c r="BA256" s="51">
        <f t="shared" si="22"/>
        <v>7.1997</v>
      </c>
    </row>
    <row r="257" spans="1:53" ht="22.5" customHeight="1">
      <c r="A257" s="57" t="s">
        <v>247</v>
      </c>
      <c r="B257" s="42" t="s">
        <v>64</v>
      </c>
      <c r="C257" s="43">
        <v>4015569</v>
      </c>
      <c r="D257" s="58" t="s">
        <v>412</v>
      </c>
      <c r="E257" s="58" t="s">
        <v>416</v>
      </c>
      <c r="F257" s="45">
        <v>999</v>
      </c>
      <c r="G257" s="45">
        <v>699</v>
      </c>
      <c r="H257" s="45">
        <v>699</v>
      </c>
      <c r="I257" s="45">
        <v>699</v>
      </c>
      <c r="J257" s="45">
        <f t="shared" si="18"/>
        <v>599</v>
      </c>
      <c r="K257" s="45">
        <f t="shared" si="19"/>
        <v>599</v>
      </c>
      <c r="L257" s="45">
        <f t="shared" si="19"/>
        <v>599</v>
      </c>
      <c r="M257" s="45">
        <v>599</v>
      </c>
      <c r="N257" s="45">
        <v>599</v>
      </c>
      <c r="O257" s="45">
        <f t="shared" si="23"/>
        <v>549</v>
      </c>
      <c r="P257" s="46">
        <f t="shared" si="23"/>
        <v>549</v>
      </c>
      <c r="Q257" s="46">
        <f t="shared" si="23"/>
        <v>499</v>
      </c>
      <c r="R257" s="45">
        <v>549</v>
      </c>
      <c r="S257" s="45">
        <v>549</v>
      </c>
      <c r="T257" s="45">
        <v>499</v>
      </c>
      <c r="U257" s="45">
        <v>499</v>
      </c>
      <c r="V257" s="45">
        <v>499</v>
      </c>
      <c r="W257" s="45">
        <v>499</v>
      </c>
      <c r="X257" s="45">
        <v>499</v>
      </c>
      <c r="Y257" s="45">
        <v>499</v>
      </c>
      <c r="Z257" s="45">
        <v>499</v>
      </c>
      <c r="AA257" s="45">
        <v>499</v>
      </c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7"/>
      <c r="AW257" s="48" t="s">
        <v>67</v>
      </c>
      <c r="AX257" s="49" t="s">
        <v>68</v>
      </c>
      <c r="AY257" s="50">
        <f t="shared" si="20"/>
        <v>14.1198</v>
      </c>
      <c r="AZ257" s="50">
        <f t="shared" si="21"/>
        <v>12.7218</v>
      </c>
      <c r="BA257" s="51">
        <f t="shared" si="22"/>
        <v>7.1997</v>
      </c>
    </row>
    <row r="258" spans="1:53" ht="22.5" customHeight="1">
      <c r="A258" s="57" t="s">
        <v>247</v>
      </c>
      <c r="B258" s="42" t="s">
        <v>64</v>
      </c>
      <c r="C258" s="43">
        <v>4016078</v>
      </c>
      <c r="D258" s="58" t="s">
        <v>417</v>
      </c>
      <c r="E258" s="58" t="s">
        <v>418</v>
      </c>
      <c r="F258" s="45">
        <v>927</v>
      </c>
      <c r="G258" s="45">
        <v>727</v>
      </c>
      <c r="H258" s="45">
        <v>927</v>
      </c>
      <c r="I258" s="45">
        <v>927</v>
      </c>
      <c r="J258" s="45">
        <v>509</v>
      </c>
      <c r="K258" s="45">
        <v>509</v>
      </c>
      <c r="L258" s="45">
        <v>509</v>
      </c>
      <c r="M258" s="45">
        <v>509</v>
      </c>
      <c r="N258" s="45">
        <v>509</v>
      </c>
      <c r="O258" s="45">
        <v>509</v>
      </c>
      <c r="P258" s="45">
        <v>509</v>
      </c>
      <c r="Q258" s="45">
        <v>509</v>
      </c>
      <c r="R258" s="45">
        <v>509</v>
      </c>
      <c r="S258" s="45">
        <v>509</v>
      </c>
      <c r="T258" s="45">
        <v>509</v>
      </c>
      <c r="U258" s="45">
        <v>509</v>
      </c>
      <c r="V258" s="45">
        <v>509</v>
      </c>
      <c r="W258" s="45">
        <v>509</v>
      </c>
      <c r="X258" s="45">
        <v>509</v>
      </c>
      <c r="Y258" s="45">
        <v>509</v>
      </c>
      <c r="Z258" s="45">
        <v>509</v>
      </c>
      <c r="AA258" s="45">
        <v>509</v>
      </c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7"/>
      <c r="AW258" s="48" t="s">
        <v>67</v>
      </c>
      <c r="AX258" s="49" t="s">
        <v>68</v>
      </c>
      <c r="AY258" s="50">
        <f t="shared" si="20"/>
        <v>18.7254</v>
      </c>
      <c r="AZ258" s="50">
        <f t="shared" si="21"/>
        <v>16.871400000000001</v>
      </c>
      <c r="BA258" s="51">
        <f t="shared" si="22"/>
        <v>9.5480999999999998</v>
      </c>
    </row>
    <row r="259" spans="1:53" ht="22.5" customHeight="1">
      <c r="A259" s="57" t="s">
        <v>247</v>
      </c>
      <c r="B259" s="42" t="s">
        <v>64</v>
      </c>
      <c r="C259" s="43">
        <v>4016081</v>
      </c>
      <c r="D259" s="58" t="s">
        <v>417</v>
      </c>
      <c r="E259" s="58" t="s">
        <v>419</v>
      </c>
      <c r="F259" s="45">
        <v>927</v>
      </c>
      <c r="G259" s="45">
        <v>727</v>
      </c>
      <c r="H259" s="45">
        <v>927</v>
      </c>
      <c r="I259" s="45">
        <v>927</v>
      </c>
      <c r="J259" s="45">
        <v>509</v>
      </c>
      <c r="K259" s="45">
        <v>509</v>
      </c>
      <c r="L259" s="45">
        <v>509</v>
      </c>
      <c r="M259" s="45">
        <v>509</v>
      </c>
      <c r="N259" s="45">
        <v>509</v>
      </c>
      <c r="O259" s="45">
        <v>509</v>
      </c>
      <c r="P259" s="45">
        <v>509</v>
      </c>
      <c r="Q259" s="45">
        <v>509</v>
      </c>
      <c r="R259" s="45">
        <v>509</v>
      </c>
      <c r="S259" s="45">
        <v>509</v>
      </c>
      <c r="T259" s="45">
        <v>509</v>
      </c>
      <c r="U259" s="45">
        <v>509</v>
      </c>
      <c r="V259" s="45">
        <v>509</v>
      </c>
      <c r="W259" s="45">
        <v>509</v>
      </c>
      <c r="X259" s="45">
        <v>509</v>
      </c>
      <c r="Y259" s="45">
        <v>509</v>
      </c>
      <c r="Z259" s="45">
        <v>509</v>
      </c>
      <c r="AA259" s="45">
        <v>509</v>
      </c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7"/>
      <c r="AW259" s="48" t="s">
        <v>67</v>
      </c>
      <c r="AX259" s="49" t="s">
        <v>68</v>
      </c>
      <c r="AY259" s="50">
        <f t="shared" si="20"/>
        <v>18.7254</v>
      </c>
      <c r="AZ259" s="50">
        <f t="shared" si="21"/>
        <v>16.871400000000001</v>
      </c>
      <c r="BA259" s="51">
        <f t="shared" si="22"/>
        <v>9.5480999999999998</v>
      </c>
    </row>
    <row r="260" spans="1:53" ht="22.5" customHeight="1">
      <c r="A260" s="57" t="s">
        <v>247</v>
      </c>
      <c r="B260" s="42" t="s">
        <v>64</v>
      </c>
      <c r="C260" s="43">
        <v>4016080</v>
      </c>
      <c r="D260" s="58" t="s">
        <v>417</v>
      </c>
      <c r="E260" s="58" t="s">
        <v>420</v>
      </c>
      <c r="F260" s="45">
        <v>927</v>
      </c>
      <c r="G260" s="45">
        <v>727</v>
      </c>
      <c r="H260" s="45">
        <v>927</v>
      </c>
      <c r="I260" s="45">
        <v>927</v>
      </c>
      <c r="J260" s="45">
        <v>509</v>
      </c>
      <c r="K260" s="45">
        <v>509</v>
      </c>
      <c r="L260" s="45">
        <v>509</v>
      </c>
      <c r="M260" s="45">
        <v>509</v>
      </c>
      <c r="N260" s="45">
        <v>509</v>
      </c>
      <c r="O260" s="45">
        <v>509</v>
      </c>
      <c r="P260" s="45">
        <v>509</v>
      </c>
      <c r="Q260" s="45">
        <v>509</v>
      </c>
      <c r="R260" s="45">
        <v>509</v>
      </c>
      <c r="S260" s="45">
        <v>509</v>
      </c>
      <c r="T260" s="45">
        <v>509</v>
      </c>
      <c r="U260" s="45">
        <v>509</v>
      </c>
      <c r="V260" s="45">
        <v>509</v>
      </c>
      <c r="W260" s="45">
        <v>509</v>
      </c>
      <c r="X260" s="45">
        <v>509</v>
      </c>
      <c r="Y260" s="45">
        <v>509</v>
      </c>
      <c r="Z260" s="45">
        <v>509</v>
      </c>
      <c r="AA260" s="45">
        <v>509</v>
      </c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7"/>
      <c r="AW260" s="48" t="s">
        <v>67</v>
      </c>
      <c r="AX260" s="49" t="s">
        <v>68</v>
      </c>
      <c r="AY260" s="50">
        <f t="shared" si="20"/>
        <v>18.7254</v>
      </c>
      <c r="AZ260" s="50">
        <f t="shared" si="21"/>
        <v>16.871400000000001</v>
      </c>
      <c r="BA260" s="51">
        <f t="shared" si="22"/>
        <v>9.5480999999999998</v>
      </c>
    </row>
    <row r="261" spans="1:53" ht="22.5" customHeight="1">
      <c r="A261" s="57" t="s">
        <v>247</v>
      </c>
      <c r="B261" s="42" t="s">
        <v>64</v>
      </c>
      <c r="C261" s="43">
        <v>4016086</v>
      </c>
      <c r="D261" s="58" t="s">
        <v>421</v>
      </c>
      <c r="E261" s="58" t="s">
        <v>422</v>
      </c>
      <c r="F261" s="45">
        <v>1041</v>
      </c>
      <c r="G261" s="45">
        <v>841</v>
      </c>
      <c r="H261" s="45">
        <v>1041</v>
      </c>
      <c r="I261" s="45">
        <v>1041</v>
      </c>
      <c r="J261" s="45">
        <v>589</v>
      </c>
      <c r="K261" s="45">
        <v>589</v>
      </c>
      <c r="L261" s="45">
        <v>589</v>
      </c>
      <c r="M261" s="45">
        <v>589</v>
      </c>
      <c r="N261" s="45">
        <v>589</v>
      </c>
      <c r="O261" s="45">
        <v>589</v>
      </c>
      <c r="P261" s="45">
        <v>589</v>
      </c>
      <c r="Q261" s="45">
        <v>589</v>
      </c>
      <c r="R261" s="45">
        <v>589</v>
      </c>
      <c r="S261" s="45">
        <v>589</v>
      </c>
      <c r="T261" s="45">
        <v>589</v>
      </c>
      <c r="U261" s="45">
        <v>589</v>
      </c>
      <c r="V261" s="45">
        <v>589</v>
      </c>
      <c r="W261" s="45">
        <v>589</v>
      </c>
      <c r="X261" s="45">
        <v>589</v>
      </c>
      <c r="Y261" s="45">
        <v>589</v>
      </c>
      <c r="Z261" s="45">
        <v>589</v>
      </c>
      <c r="AA261" s="45">
        <v>589</v>
      </c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7"/>
      <c r="AW261" s="48" t="s">
        <v>67</v>
      </c>
      <c r="AX261" s="49" t="s">
        <v>68</v>
      </c>
      <c r="AY261" s="50">
        <f t="shared" si="20"/>
        <v>21.028199999999998</v>
      </c>
      <c r="AZ261" s="50">
        <f t="shared" si="21"/>
        <v>18.946200000000001</v>
      </c>
      <c r="BA261" s="51">
        <f t="shared" si="22"/>
        <v>10.722300000000001</v>
      </c>
    </row>
    <row r="262" spans="1:53" ht="22.5" customHeight="1">
      <c r="A262" s="57" t="s">
        <v>247</v>
      </c>
      <c r="B262" s="42" t="s">
        <v>64</v>
      </c>
      <c r="C262" s="43">
        <v>4016089</v>
      </c>
      <c r="D262" s="58" t="s">
        <v>421</v>
      </c>
      <c r="E262" s="58" t="s">
        <v>423</v>
      </c>
      <c r="F262" s="45">
        <v>1041</v>
      </c>
      <c r="G262" s="45">
        <v>841</v>
      </c>
      <c r="H262" s="45">
        <v>1041</v>
      </c>
      <c r="I262" s="45">
        <v>1041</v>
      </c>
      <c r="J262" s="45">
        <v>589</v>
      </c>
      <c r="K262" s="45">
        <v>589</v>
      </c>
      <c r="L262" s="45">
        <v>589</v>
      </c>
      <c r="M262" s="45">
        <v>589</v>
      </c>
      <c r="N262" s="45">
        <v>589</v>
      </c>
      <c r="O262" s="45">
        <v>589</v>
      </c>
      <c r="P262" s="45">
        <v>589</v>
      </c>
      <c r="Q262" s="45">
        <v>589</v>
      </c>
      <c r="R262" s="45">
        <v>589</v>
      </c>
      <c r="S262" s="45">
        <v>589</v>
      </c>
      <c r="T262" s="45">
        <v>589</v>
      </c>
      <c r="U262" s="45">
        <v>589</v>
      </c>
      <c r="V262" s="45">
        <v>589</v>
      </c>
      <c r="W262" s="45">
        <v>589</v>
      </c>
      <c r="X262" s="45">
        <v>589</v>
      </c>
      <c r="Y262" s="45">
        <v>589</v>
      </c>
      <c r="Z262" s="45">
        <v>589</v>
      </c>
      <c r="AA262" s="45">
        <v>589</v>
      </c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7"/>
      <c r="AW262" s="48" t="s">
        <v>67</v>
      </c>
      <c r="AX262" s="49" t="s">
        <v>68</v>
      </c>
      <c r="AY262" s="50">
        <f t="shared" si="20"/>
        <v>21.028199999999998</v>
      </c>
      <c r="AZ262" s="50">
        <f t="shared" si="21"/>
        <v>18.946200000000001</v>
      </c>
      <c r="BA262" s="51">
        <f t="shared" si="22"/>
        <v>10.722300000000001</v>
      </c>
    </row>
    <row r="263" spans="1:53" ht="22.5" customHeight="1">
      <c r="A263" s="57" t="s">
        <v>247</v>
      </c>
      <c r="B263" s="42" t="s">
        <v>64</v>
      </c>
      <c r="C263" s="43">
        <v>4016084</v>
      </c>
      <c r="D263" s="58" t="s">
        <v>421</v>
      </c>
      <c r="E263" s="58" t="s">
        <v>424</v>
      </c>
      <c r="F263" s="45">
        <v>1041</v>
      </c>
      <c r="G263" s="45">
        <v>841</v>
      </c>
      <c r="H263" s="45">
        <v>1041</v>
      </c>
      <c r="I263" s="45">
        <v>1041</v>
      </c>
      <c r="J263" s="45">
        <v>589</v>
      </c>
      <c r="K263" s="45">
        <v>589</v>
      </c>
      <c r="L263" s="45">
        <v>589</v>
      </c>
      <c r="M263" s="45">
        <v>589</v>
      </c>
      <c r="N263" s="45">
        <v>589</v>
      </c>
      <c r="O263" s="45">
        <v>589</v>
      </c>
      <c r="P263" s="45">
        <v>589</v>
      </c>
      <c r="Q263" s="45">
        <v>589</v>
      </c>
      <c r="R263" s="45">
        <v>589</v>
      </c>
      <c r="S263" s="45">
        <v>589</v>
      </c>
      <c r="T263" s="45">
        <v>589</v>
      </c>
      <c r="U263" s="45">
        <v>589</v>
      </c>
      <c r="V263" s="45">
        <v>589</v>
      </c>
      <c r="W263" s="45">
        <v>589</v>
      </c>
      <c r="X263" s="45">
        <v>589</v>
      </c>
      <c r="Y263" s="45">
        <v>589</v>
      </c>
      <c r="Z263" s="45">
        <v>589</v>
      </c>
      <c r="AA263" s="45">
        <v>589</v>
      </c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7"/>
      <c r="AW263" s="48" t="s">
        <v>67</v>
      </c>
      <c r="AX263" s="49" t="s">
        <v>68</v>
      </c>
      <c r="AY263" s="50">
        <f t="shared" si="20"/>
        <v>21.028199999999998</v>
      </c>
      <c r="AZ263" s="50">
        <f t="shared" si="21"/>
        <v>18.946200000000001</v>
      </c>
      <c r="BA263" s="51">
        <f t="shared" si="22"/>
        <v>10.722300000000001</v>
      </c>
    </row>
    <row r="264" spans="1:53" ht="22.5" customHeight="1">
      <c r="A264" s="57" t="s">
        <v>247</v>
      </c>
      <c r="B264" s="42" t="s">
        <v>64</v>
      </c>
      <c r="C264" s="43">
        <v>4016087</v>
      </c>
      <c r="D264" s="58" t="s">
        <v>421</v>
      </c>
      <c r="E264" s="58" t="s">
        <v>425</v>
      </c>
      <c r="F264" s="45">
        <v>1041</v>
      </c>
      <c r="G264" s="45">
        <v>841</v>
      </c>
      <c r="H264" s="45">
        <v>1041</v>
      </c>
      <c r="I264" s="45">
        <v>1041</v>
      </c>
      <c r="J264" s="45">
        <v>589</v>
      </c>
      <c r="K264" s="45">
        <v>589</v>
      </c>
      <c r="L264" s="45">
        <v>589</v>
      </c>
      <c r="M264" s="45">
        <v>589</v>
      </c>
      <c r="N264" s="45">
        <v>589</v>
      </c>
      <c r="O264" s="45">
        <v>589</v>
      </c>
      <c r="P264" s="45">
        <v>589</v>
      </c>
      <c r="Q264" s="45">
        <v>589</v>
      </c>
      <c r="R264" s="45">
        <v>589</v>
      </c>
      <c r="S264" s="45">
        <v>589</v>
      </c>
      <c r="T264" s="45">
        <v>589</v>
      </c>
      <c r="U264" s="45">
        <v>589</v>
      </c>
      <c r="V264" s="45">
        <v>589</v>
      </c>
      <c r="W264" s="45">
        <v>589</v>
      </c>
      <c r="X264" s="45">
        <v>589</v>
      </c>
      <c r="Y264" s="45">
        <v>589</v>
      </c>
      <c r="Z264" s="45">
        <v>589</v>
      </c>
      <c r="AA264" s="45">
        <v>589</v>
      </c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7"/>
      <c r="AW264" s="48" t="s">
        <v>67</v>
      </c>
      <c r="AX264" s="49" t="s">
        <v>68</v>
      </c>
      <c r="AY264" s="50">
        <f t="shared" si="20"/>
        <v>21.028199999999998</v>
      </c>
      <c r="AZ264" s="50">
        <f t="shared" si="21"/>
        <v>18.946200000000001</v>
      </c>
      <c r="BA264" s="51">
        <f t="shared" si="22"/>
        <v>10.722300000000001</v>
      </c>
    </row>
    <row r="265" spans="1:53" ht="22.5" customHeight="1">
      <c r="A265" s="57" t="s">
        <v>247</v>
      </c>
      <c r="B265" s="42" t="s">
        <v>64</v>
      </c>
      <c r="C265" s="43">
        <v>4016668</v>
      </c>
      <c r="D265" s="58" t="s">
        <v>426</v>
      </c>
      <c r="E265" s="58" t="s">
        <v>427</v>
      </c>
      <c r="F265" s="45">
        <v>1599</v>
      </c>
      <c r="G265" s="46">
        <v>1099</v>
      </c>
      <c r="H265" s="46">
        <v>1099</v>
      </c>
      <c r="I265" s="46">
        <v>1099</v>
      </c>
      <c r="J265" s="46">
        <v>899</v>
      </c>
      <c r="K265" s="46">
        <v>799</v>
      </c>
      <c r="L265" s="46">
        <v>799</v>
      </c>
      <c r="M265" s="46">
        <v>899</v>
      </c>
      <c r="N265" s="46">
        <v>799</v>
      </c>
      <c r="O265" s="46">
        <v>749</v>
      </c>
      <c r="P265" s="46">
        <v>749</v>
      </c>
      <c r="Q265" s="46">
        <v>699</v>
      </c>
      <c r="R265" s="46">
        <v>749</v>
      </c>
      <c r="S265" s="46">
        <v>749</v>
      </c>
      <c r="T265" s="46">
        <v>699</v>
      </c>
      <c r="U265" s="46">
        <v>699</v>
      </c>
      <c r="V265" s="46">
        <v>699</v>
      </c>
      <c r="W265" s="46">
        <v>699</v>
      </c>
      <c r="X265" s="46">
        <v>699</v>
      </c>
      <c r="Y265" s="46">
        <v>699</v>
      </c>
      <c r="Z265" s="46">
        <v>699</v>
      </c>
      <c r="AA265" s="46">
        <v>699</v>
      </c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7"/>
      <c r="AW265" s="48" t="s">
        <v>67</v>
      </c>
      <c r="AX265" s="49" t="s">
        <v>68</v>
      </c>
      <c r="AY265" s="50">
        <f t="shared" si="20"/>
        <v>22.1998</v>
      </c>
      <c r="AZ265" s="50">
        <f t="shared" si="21"/>
        <v>20.001799999999999</v>
      </c>
      <c r="BA265" s="51">
        <f t="shared" si="22"/>
        <v>11.319700000000001</v>
      </c>
    </row>
    <row r="266" spans="1:53" ht="22.5" customHeight="1">
      <c r="A266" s="57" t="s">
        <v>247</v>
      </c>
      <c r="B266" s="42" t="s">
        <v>64</v>
      </c>
      <c r="C266" s="43">
        <v>4016714</v>
      </c>
      <c r="D266" s="58" t="s">
        <v>426</v>
      </c>
      <c r="E266" s="58" t="s">
        <v>428</v>
      </c>
      <c r="F266" s="45">
        <v>1599</v>
      </c>
      <c r="G266" s="46">
        <v>1099</v>
      </c>
      <c r="H266" s="46">
        <v>1099</v>
      </c>
      <c r="I266" s="46">
        <v>1099</v>
      </c>
      <c r="J266" s="46">
        <v>899</v>
      </c>
      <c r="K266" s="46">
        <v>799</v>
      </c>
      <c r="L266" s="46">
        <v>799</v>
      </c>
      <c r="M266" s="46">
        <v>899</v>
      </c>
      <c r="N266" s="46">
        <v>799</v>
      </c>
      <c r="O266" s="46">
        <v>749</v>
      </c>
      <c r="P266" s="46">
        <v>749</v>
      </c>
      <c r="Q266" s="46">
        <v>699</v>
      </c>
      <c r="R266" s="46">
        <v>749</v>
      </c>
      <c r="S266" s="46">
        <v>749</v>
      </c>
      <c r="T266" s="46">
        <v>699</v>
      </c>
      <c r="U266" s="46">
        <v>699</v>
      </c>
      <c r="V266" s="46">
        <v>699</v>
      </c>
      <c r="W266" s="46">
        <v>699</v>
      </c>
      <c r="X266" s="46">
        <v>699</v>
      </c>
      <c r="Y266" s="46">
        <v>699</v>
      </c>
      <c r="Z266" s="46">
        <v>699</v>
      </c>
      <c r="AA266" s="46">
        <v>699</v>
      </c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7"/>
      <c r="AW266" s="48" t="s">
        <v>67</v>
      </c>
      <c r="AX266" s="49" t="s">
        <v>68</v>
      </c>
      <c r="AY266" s="50">
        <f t="shared" si="20"/>
        <v>22.1998</v>
      </c>
      <c r="AZ266" s="50">
        <f t="shared" si="21"/>
        <v>20.001799999999999</v>
      </c>
      <c r="BA266" s="51">
        <f t="shared" si="22"/>
        <v>11.319700000000001</v>
      </c>
    </row>
    <row r="267" spans="1:53" ht="22.5" customHeight="1">
      <c r="A267" s="57" t="s">
        <v>247</v>
      </c>
      <c r="B267" s="42" t="s">
        <v>64</v>
      </c>
      <c r="C267" s="43">
        <v>4016710</v>
      </c>
      <c r="D267" s="58" t="s">
        <v>426</v>
      </c>
      <c r="E267" s="58" t="s">
        <v>429</v>
      </c>
      <c r="F267" s="45">
        <v>1599</v>
      </c>
      <c r="G267" s="46">
        <v>1099</v>
      </c>
      <c r="H267" s="46">
        <v>1099</v>
      </c>
      <c r="I267" s="46">
        <v>1099</v>
      </c>
      <c r="J267" s="46">
        <v>899</v>
      </c>
      <c r="K267" s="46">
        <v>799</v>
      </c>
      <c r="L267" s="46">
        <v>799</v>
      </c>
      <c r="M267" s="46">
        <v>899</v>
      </c>
      <c r="N267" s="46">
        <v>799</v>
      </c>
      <c r="O267" s="46">
        <v>749</v>
      </c>
      <c r="P267" s="46">
        <v>749</v>
      </c>
      <c r="Q267" s="46">
        <v>699</v>
      </c>
      <c r="R267" s="46">
        <v>749</v>
      </c>
      <c r="S267" s="46">
        <v>749</v>
      </c>
      <c r="T267" s="46">
        <v>699</v>
      </c>
      <c r="U267" s="46">
        <v>699</v>
      </c>
      <c r="V267" s="46">
        <v>699</v>
      </c>
      <c r="W267" s="46">
        <v>699</v>
      </c>
      <c r="X267" s="46">
        <v>699</v>
      </c>
      <c r="Y267" s="46">
        <v>699</v>
      </c>
      <c r="Z267" s="46">
        <v>699</v>
      </c>
      <c r="AA267" s="46">
        <v>699</v>
      </c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7"/>
      <c r="AW267" s="48" t="s">
        <v>67</v>
      </c>
      <c r="AX267" s="49" t="s">
        <v>68</v>
      </c>
      <c r="AY267" s="50">
        <f t="shared" si="20"/>
        <v>22.1998</v>
      </c>
      <c r="AZ267" s="50">
        <f t="shared" si="21"/>
        <v>20.001799999999999</v>
      </c>
      <c r="BA267" s="51">
        <f t="shared" si="22"/>
        <v>11.319700000000001</v>
      </c>
    </row>
    <row r="268" spans="1:53" ht="22.5" customHeight="1">
      <c r="A268" s="57" t="s">
        <v>247</v>
      </c>
      <c r="B268" s="42" t="s">
        <v>64</v>
      </c>
      <c r="C268" s="43">
        <v>4016716</v>
      </c>
      <c r="D268" s="58" t="s">
        <v>426</v>
      </c>
      <c r="E268" s="58" t="s">
        <v>430</v>
      </c>
      <c r="F268" s="45">
        <v>1599</v>
      </c>
      <c r="G268" s="46">
        <v>1099</v>
      </c>
      <c r="H268" s="46">
        <v>1099</v>
      </c>
      <c r="I268" s="46">
        <v>1099</v>
      </c>
      <c r="J268" s="46">
        <v>899</v>
      </c>
      <c r="K268" s="46">
        <v>799</v>
      </c>
      <c r="L268" s="46">
        <v>799</v>
      </c>
      <c r="M268" s="46">
        <v>899</v>
      </c>
      <c r="N268" s="46">
        <v>799</v>
      </c>
      <c r="O268" s="46">
        <v>749</v>
      </c>
      <c r="P268" s="46">
        <v>749</v>
      </c>
      <c r="Q268" s="46">
        <v>699</v>
      </c>
      <c r="R268" s="46">
        <v>749</v>
      </c>
      <c r="S268" s="46">
        <v>749</v>
      </c>
      <c r="T268" s="46">
        <v>699</v>
      </c>
      <c r="U268" s="46">
        <v>699</v>
      </c>
      <c r="V268" s="46">
        <v>699</v>
      </c>
      <c r="W268" s="46">
        <v>699</v>
      </c>
      <c r="X268" s="46">
        <v>699</v>
      </c>
      <c r="Y268" s="46">
        <v>699</v>
      </c>
      <c r="Z268" s="46">
        <v>699</v>
      </c>
      <c r="AA268" s="46">
        <v>699</v>
      </c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7"/>
      <c r="AW268" s="48" t="s">
        <v>67</v>
      </c>
      <c r="AX268" s="49" t="s">
        <v>68</v>
      </c>
      <c r="AY268" s="50">
        <f t="shared" si="20"/>
        <v>22.1998</v>
      </c>
      <c r="AZ268" s="50">
        <f t="shared" si="21"/>
        <v>20.001799999999999</v>
      </c>
      <c r="BA268" s="51">
        <f t="shared" si="22"/>
        <v>11.319700000000001</v>
      </c>
    </row>
    <row r="269" spans="1:53" ht="22.5" customHeight="1">
      <c r="A269" s="57" t="s">
        <v>247</v>
      </c>
      <c r="B269" s="42" t="s">
        <v>64</v>
      </c>
      <c r="C269" s="43">
        <v>4016753</v>
      </c>
      <c r="D269" s="58" t="s">
        <v>426</v>
      </c>
      <c r="E269" s="58" t="s">
        <v>431</v>
      </c>
      <c r="F269" s="45">
        <v>1599</v>
      </c>
      <c r="G269" s="46">
        <v>1099</v>
      </c>
      <c r="H269" s="46">
        <v>1099</v>
      </c>
      <c r="I269" s="46">
        <v>1099</v>
      </c>
      <c r="J269" s="46">
        <v>899</v>
      </c>
      <c r="K269" s="46">
        <v>799</v>
      </c>
      <c r="L269" s="46">
        <v>799</v>
      </c>
      <c r="M269" s="46">
        <v>899</v>
      </c>
      <c r="N269" s="46">
        <v>799</v>
      </c>
      <c r="O269" s="46">
        <v>749</v>
      </c>
      <c r="P269" s="46">
        <v>749</v>
      </c>
      <c r="Q269" s="46">
        <v>699</v>
      </c>
      <c r="R269" s="46">
        <v>749</v>
      </c>
      <c r="S269" s="46">
        <v>749</v>
      </c>
      <c r="T269" s="46">
        <v>699</v>
      </c>
      <c r="U269" s="46">
        <v>699</v>
      </c>
      <c r="V269" s="46">
        <v>699</v>
      </c>
      <c r="W269" s="46">
        <v>699</v>
      </c>
      <c r="X269" s="46">
        <v>699</v>
      </c>
      <c r="Y269" s="46">
        <v>699</v>
      </c>
      <c r="Z269" s="46">
        <v>699</v>
      </c>
      <c r="AA269" s="46">
        <v>699</v>
      </c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7"/>
      <c r="AW269" s="48" t="s">
        <v>67</v>
      </c>
      <c r="AX269" s="49" t="s">
        <v>68</v>
      </c>
      <c r="AY269" s="50">
        <f t="shared" si="20"/>
        <v>22.1998</v>
      </c>
      <c r="AZ269" s="50">
        <f t="shared" si="21"/>
        <v>20.001799999999999</v>
      </c>
      <c r="BA269" s="51">
        <f t="shared" si="22"/>
        <v>11.319700000000001</v>
      </c>
    </row>
    <row r="270" spans="1:53" ht="22.5" customHeight="1">
      <c r="A270" s="57" t="s">
        <v>247</v>
      </c>
      <c r="B270" s="42" t="s">
        <v>64</v>
      </c>
      <c r="C270" s="43">
        <v>4016762</v>
      </c>
      <c r="D270" s="58" t="s">
        <v>426</v>
      </c>
      <c r="E270" s="58" t="s">
        <v>432</v>
      </c>
      <c r="F270" s="45">
        <v>1599</v>
      </c>
      <c r="G270" s="46">
        <v>1099</v>
      </c>
      <c r="H270" s="46">
        <v>1099</v>
      </c>
      <c r="I270" s="46">
        <v>1099</v>
      </c>
      <c r="J270" s="46">
        <v>899</v>
      </c>
      <c r="K270" s="46">
        <v>799</v>
      </c>
      <c r="L270" s="46">
        <v>799</v>
      </c>
      <c r="M270" s="46">
        <v>899</v>
      </c>
      <c r="N270" s="46">
        <v>799</v>
      </c>
      <c r="O270" s="46">
        <v>749</v>
      </c>
      <c r="P270" s="46">
        <v>749</v>
      </c>
      <c r="Q270" s="46">
        <v>699</v>
      </c>
      <c r="R270" s="46">
        <v>749</v>
      </c>
      <c r="S270" s="46">
        <v>749</v>
      </c>
      <c r="T270" s="46">
        <v>699</v>
      </c>
      <c r="U270" s="46">
        <v>699</v>
      </c>
      <c r="V270" s="46">
        <v>699</v>
      </c>
      <c r="W270" s="46">
        <v>699</v>
      </c>
      <c r="X270" s="46">
        <v>699</v>
      </c>
      <c r="Y270" s="46">
        <v>699</v>
      </c>
      <c r="Z270" s="46">
        <v>699</v>
      </c>
      <c r="AA270" s="46">
        <v>699</v>
      </c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7"/>
      <c r="AW270" s="48" t="s">
        <v>67</v>
      </c>
      <c r="AX270" s="49" t="s">
        <v>68</v>
      </c>
      <c r="AY270" s="50">
        <f t="shared" si="20"/>
        <v>22.1998</v>
      </c>
      <c r="AZ270" s="50">
        <f t="shared" si="21"/>
        <v>20.001799999999999</v>
      </c>
      <c r="BA270" s="51">
        <f t="shared" si="22"/>
        <v>11.319700000000001</v>
      </c>
    </row>
    <row r="271" spans="1:53" ht="22.5" customHeight="1">
      <c r="A271" s="57" t="s">
        <v>247</v>
      </c>
      <c r="B271" s="42" t="s">
        <v>64</v>
      </c>
      <c r="C271" s="43">
        <v>4016667</v>
      </c>
      <c r="D271" s="58" t="s">
        <v>433</v>
      </c>
      <c r="E271" s="58" t="s">
        <v>434</v>
      </c>
      <c r="F271" s="45">
        <v>1899</v>
      </c>
      <c r="G271" s="46">
        <v>1499</v>
      </c>
      <c r="H271" s="46">
        <v>1499</v>
      </c>
      <c r="I271" s="46">
        <v>1499</v>
      </c>
      <c r="J271" s="46">
        <v>1099</v>
      </c>
      <c r="K271" s="46">
        <v>1099</v>
      </c>
      <c r="L271" s="46">
        <v>1099</v>
      </c>
      <c r="M271" s="46">
        <v>1099</v>
      </c>
      <c r="N271" s="46">
        <v>1099</v>
      </c>
      <c r="O271" s="46">
        <v>999</v>
      </c>
      <c r="P271" s="46">
        <v>999</v>
      </c>
      <c r="Q271" s="46">
        <v>999</v>
      </c>
      <c r="R271" s="46">
        <v>999</v>
      </c>
      <c r="S271" s="46">
        <v>999</v>
      </c>
      <c r="T271" s="46">
        <v>999</v>
      </c>
      <c r="U271" s="46">
        <v>999</v>
      </c>
      <c r="V271" s="46">
        <v>999</v>
      </c>
      <c r="W271" s="46">
        <v>999</v>
      </c>
      <c r="X271" s="46">
        <v>999</v>
      </c>
      <c r="Y271" s="46">
        <v>999</v>
      </c>
      <c r="Z271" s="46">
        <v>999</v>
      </c>
      <c r="AA271" s="46">
        <v>999</v>
      </c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7"/>
      <c r="AW271" s="48" t="s">
        <v>67</v>
      </c>
      <c r="AX271" s="49" t="s">
        <v>68</v>
      </c>
      <c r="AY271" s="50">
        <f t="shared" si="20"/>
        <v>30.279799999999998</v>
      </c>
      <c r="AZ271" s="50">
        <f t="shared" si="21"/>
        <v>27.2818</v>
      </c>
      <c r="BA271" s="51">
        <f t="shared" si="22"/>
        <v>15.4397</v>
      </c>
    </row>
    <row r="272" spans="1:53" ht="22.5" customHeight="1">
      <c r="A272" s="57" t="s">
        <v>247</v>
      </c>
      <c r="B272" s="42" t="s">
        <v>64</v>
      </c>
      <c r="C272" s="43">
        <v>4016713</v>
      </c>
      <c r="D272" s="58" t="s">
        <v>433</v>
      </c>
      <c r="E272" s="58" t="s">
        <v>435</v>
      </c>
      <c r="F272" s="45">
        <v>1899</v>
      </c>
      <c r="G272" s="46">
        <v>1499</v>
      </c>
      <c r="H272" s="46">
        <v>1499</v>
      </c>
      <c r="I272" s="46">
        <v>1499</v>
      </c>
      <c r="J272" s="46">
        <v>1099</v>
      </c>
      <c r="K272" s="46">
        <v>1099</v>
      </c>
      <c r="L272" s="46">
        <v>1099</v>
      </c>
      <c r="M272" s="46">
        <v>1099</v>
      </c>
      <c r="N272" s="46">
        <v>1099</v>
      </c>
      <c r="O272" s="46">
        <v>999</v>
      </c>
      <c r="P272" s="46">
        <v>999</v>
      </c>
      <c r="Q272" s="46">
        <v>999</v>
      </c>
      <c r="R272" s="46">
        <v>999</v>
      </c>
      <c r="S272" s="46">
        <v>999</v>
      </c>
      <c r="T272" s="46">
        <v>999</v>
      </c>
      <c r="U272" s="46">
        <v>999</v>
      </c>
      <c r="V272" s="46">
        <v>999</v>
      </c>
      <c r="W272" s="46">
        <v>999</v>
      </c>
      <c r="X272" s="46">
        <v>999</v>
      </c>
      <c r="Y272" s="46">
        <v>999</v>
      </c>
      <c r="Z272" s="46">
        <v>999</v>
      </c>
      <c r="AA272" s="46">
        <v>999</v>
      </c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7"/>
      <c r="AW272" s="48" t="s">
        <v>67</v>
      </c>
      <c r="AX272" s="49" t="s">
        <v>68</v>
      </c>
      <c r="AY272" s="50">
        <f t="shared" si="20"/>
        <v>30.279799999999998</v>
      </c>
      <c r="AZ272" s="50">
        <f t="shared" si="21"/>
        <v>27.2818</v>
      </c>
      <c r="BA272" s="51">
        <f t="shared" si="22"/>
        <v>15.4397</v>
      </c>
    </row>
    <row r="273" spans="1:53" ht="22.5" customHeight="1">
      <c r="A273" s="57" t="s">
        <v>247</v>
      </c>
      <c r="B273" s="42" t="s">
        <v>64</v>
      </c>
      <c r="C273" s="43">
        <v>4016669</v>
      </c>
      <c r="D273" s="58" t="s">
        <v>433</v>
      </c>
      <c r="E273" s="58" t="s">
        <v>436</v>
      </c>
      <c r="F273" s="45">
        <v>1899</v>
      </c>
      <c r="G273" s="46">
        <v>1499</v>
      </c>
      <c r="H273" s="46">
        <v>1499</v>
      </c>
      <c r="I273" s="46">
        <v>1499</v>
      </c>
      <c r="J273" s="46">
        <v>1099</v>
      </c>
      <c r="K273" s="46">
        <v>1099</v>
      </c>
      <c r="L273" s="46">
        <v>1099</v>
      </c>
      <c r="M273" s="46">
        <v>1099</v>
      </c>
      <c r="N273" s="46">
        <v>1099</v>
      </c>
      <c r="O273" s="46">
        <v>999</v>
      </c>
      <c r="P273" s="46">
        <v>999</v>
      </c>
      <c r="Q273" s="46">
        <v>999</v>
      </c>
      <c r="R273" s="46">
        <v>999</v>
      </c>
      <c r="S273" s="46">
        <v>999</v>
      </c>
      <c r="T273" s="46">
        <v>999</v>
      </c>
      <c r="U273" s="46">
        <v>999</v>
      </c>
      <c r="V273" s="46">
        <v>999</v>
      </c>
      <c r="W273" s="46">
        <v>999</v>
      </c>
      <c r="X273" s="46">
        <v>999</v>
      </c>
      <c r="Y273" s="46">
        <v>999</v>
      </c>
      <c r="Z273" s="46">
        <v>999</v>
      </c>
      <c r="AA273" s="46">
        <v>999</v>
      </c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7"/>
      <c r="AW273" s="48" t="s">
        <v>67</v>
      </c>
      <c r="AX273" s="49" t="s">
        <v>68</v>
      </c>
      <c r="AY273" s="50">
        <f t="shared" si="20"/>
        <v>30.279799999999998</v>
      </c>
      <c r="AZ273" s="50">
        <f t="shared" si="21"/>
        <v>27.2818</v>
      </c>
      <c r="BA273" s="51">
        <f t="shared" si="22"/>
        <v>15.4397</v>
      </c>
    </row>
    <row r="274" spans="1:53" ht="22.5" customHeight="1">
      <c r="A274" s="57" t="s">
        <v>247</v>
      </c>
      <c r="B274" s="42" t="s">
        <v>64</v>
      </c>
      <c r="C274" s="43">
        <v>4016715</v>
      </c>
      <c r="D274" s="58" t="s">
        <v>433</v>
      </c>
      <c r="E274" s="58" t="s">
        <v>437</v>
      </c>
      <c r="F274" s="45">
        <v>1899</v>
      </c>
      <c r="G274" s="46">
        <v>1499</v>
      </c>
      <c r="H274" s="46">
        <v>1499</v>
      </c>
      <c r="I274" s="46">
        <v>1499</v>
      </c>
      <c r="J274" s="46">
        <v>1099</v>
      </c>
      <c r="K274" s="46">
        <v>1099</v>
      </c>
      <c r="L274" s="46">
        <v>1099</v>
      </c>
      <c r="M274" s="46">
        <v>1099</v>
      </c>
      <c r="N274" s="46">
        <v>1099</v>
      </c>
      <c r="O274" s="46">
        <v>999</v>
      </c>
      <c r="P274" s="46">
        <v>999</v>
      </c>
      <c r="Q274" s="46">
        <v>999</v>
      </c>
      <c r="R274" s="46">
        <v>999</v>
      </c>
      <c r="S274" s="46">
        <v>999</v>
      </c>
      <c r="T274" s="46">
        <v>999</v>
      </c>
      <c r="U274" s="46">
        <v>999</v>
      </c>
      <c r="V274" s="46">
        <v>999</v>
      </c>
      <c r="W274" s="46">
        <v>999</v>
      </c>
      <c r="X274" s="46">
        <v>999</v>
      </c>
      <c r="Y274" s="46">
        <v>999</v>
      </c>
      <c r="Z274" s="46">
        <v>999</v>
      </c>
      <c r="AA274" s="46">
        <v>999</v>
      </c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7"/>
      <c r="AW274" s="48" t="s">
        <v>67</v>
      </c>
      <c r="AX274" s="49" t="s">
        <v>68</v>
      </c>
      <c r="AY274" s="50">
        <f t="shared" si="20"/>
        <v>30.279799999999998</v>
      </c>
      <c r="AZ274" s="50">
        <f t="shared" si="21"/>
        <v>27.2818</v>
      </c>
      <c r="BA274" s="51">
        <f t="shared" si="22"/>
        <v>15.4397</v>
      </c>
    </row>
    <row r="275" spans="1:53" ht="22.5" customHeight="1">
      <c r="A275" s="57" t="s">
        <v>247</v>
      </c>
      <c r="B275" s="42" t="s">
        <v>64</v>
      </c>
      <c r="C275" s="43">
        <v>4017357</v>
      </c>
      <c r="D275" s="58" t="s">
        <v>438</v>
      </c>
      <c r="E275" s="58" t="s">
        <v>439</v>
      </c>
      <c r="F275" s="45">
        <v>1399</v>
      </c>
      <c r="G275" s="45">
        <v>1299</v>
      </c>
      <c r="H275" s="45">
        <v>1299</v>
      </c>
      <c r="I275" s="45">
        <v>1299</v>
      </c>
      <c r="J275" s="45">
        <v>1199</v>
      </c>
      <c r="K275" s="45">
        <v>1099</v>
      </c>
      <c r="L275" s="45">
        <v>1099</v>
      </c>
      <c r="M275" s="45">
        <v>1199</v>
      </c>
      <c r="N275" s="45">
        <v>1099</v>
      </c>
      <c r="O275" s="45">
        <v>1049</v>
      </c>
      <c r="P275" s="46">
        <v>999</v>
      </c>
      <c r="Q275" s="46">
        <v>999</v>
      </c>
      <c r="R275" s="45">
        <v>999</v>
      </c>
      <c r="S275" s="45">
        <v>999</v>
      </c>
      <c r="T275" s="45">
        <v>999</v>
      </c>
      <c r="U275" s="45">
        <v>999</v>
      </c>
      <c r="V275" s="45">
        <v>999</v>
      </c>
      <c r="W275" s="45">
        <v>999</v>
      </c>
      <c r="X275" s="45">
        <v>999</v>
      </c>
      <c r="Y275" s="45">
        <v>899</v>
      </c>
      <c r="Z275" s="45">
        <v>899</v>
      </c>
      <c r="AA275" s="45">
        <v>899</v>
      </c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7"/>
      <c r="AW275" s="48" t="s">
        <v>67</v>
      </c>
      <c r="AX275" s="49" t="s">
        <v>253</v>
      </c>
      <c r="AY275" s="55">
        <f t="shared" si="20"/>
        <v>26.239799999999999</v>
      </c>
      <c r="AZ275" s="55">
        <f t="shared" si="21"/>
        <v>23.6418</v>
      </c>
      <c r="BA275" s="56">
        <f t="shared" si="22"/>
        <v>13.3797</v>
      </c>
    </row>
    <row r="276" spans="1:53" ht="22.5" customHeight="1">
      <c r="A276" s="57" t="s">
        <v>247</v>
      </c>
      <c r="B276" s="42" t="s">
        <v>64</v>
      </c>
      <c r="C276" s="43">
        <v>4017377</v>
      </c>
      <c r="D276" s="58" t="s">
        <v>438</v>
      </c>
      <c r="E276" s="58" t="s">
        <v>440</v>
      </c>
      <c r="F276" s="45">
        <v>1399</v>
      </c>
      <c r="G276" s="45">
        <v>1299</v>
      </c>
      <c r="H276" s="45">
        <v>1299</v>
      </c>
      <c r="I276" s="45">
        <v>1299</v>
      </c>
      <c r="J276" s="45">
        <v>1199</v>
      </c>
      <c r="K276" s="45">
        <v>1099</v>
      </c>
      <c r="L276" s="45">
        <v>1099</v>
      </c>
      <c r="M276" s="45">
        <v>1199</v>
      </c>
      <c r="N276" s="45">
        <v>1099</v>
      </c>
      <c r="O276" s="45">
        <v>1049</v>
      </c>
      <c r="P276" s="46">
        <v>999</v>
      </c>
      <c r="Q276" s="46">
        <v>999</v>
      </c>
      <c r="R276" s="45">
        <v>999</v>
      </c>
      <c r="S276" s="45">
        <v>999</v>
      </c>
      <c r="T276" s="45">
        <v>999</v>
      </c>
      <c r="U276" s="45">
        <v>999</v>
      </c>
      <c r="V276" s="45">
        <v>999</v>
      </c>
      <c r="W276" s="45">
        <v>999</v>
      </c>
      <c r="X276" s="45">
        <v>999</v>
      </c>
      <c r="Y276" s="45">
        <v>899</v>
      </c>
      <c r="Z276" s="45">
        <v>899</v>
      </c>
      <c r="AA276" s="45">
        <v>899</v>
      </c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7"/>
      <c r="AW276" s="48" t="s">
        <v>67</v>
      </c>
      <c r="AX276" s="49" t="s">
        <v>253</v>
      </c>
      <c r="AY276" s="55">
        <f t="shared" si="20"/>
        <v>26.239799999999999</v>
      </c>
      <c r="AZ276" s="55">
        <f t="shared" si="21"/>
        <v>23.6418</v>
      </c>
      <c r="BA276" s="56">
        <f t="shared" si="22"/>
        <v>13.3797</v>
      </c>
    </row>
    <row r="277" spans="1:53" ht="22.5" customHeight="1">
      <c r="A277" s="57" t="s">
        <v>247</v>
      </c>
      <c r="B277" s="42" t="s">
        <v>64</v>
      </c>
      <c r="C277" s="43">
        <v>4017363</v>
      </c>
      <c r="D277" s="58" t="s">
        <v>438</v>
      </c>
      <c r="E277" s="58" t="s">
        <v>441</v>
      </c>
      <c r="F277" s="45">
        <v>1399</v>
      </c>
      <c r="G277" s="45">
        <v>1299</v>
      </c>
      <c r="H277" s="45">
        <v>1299</v>
      </c>
      <c r="I277" s="45">
        <v>1299</v>
      </c>
      <c r="J277" s="45">
        <v>1199</v>
      </c>
      <c r="K277" s="45">
        <v>1099</v>
      </c>
      <c r="L277" s="45">
        <v>1099</v>
      </c>
      <c r="M277" s="45">
        <v>1199</v>
      </c>
      <c r="N277" s="45">
        <v>1099</v>
      </c>
      <c r="O277" s="45">
        <v>1049</v>
      </c>
      <c r="P277" s="46">
        <v>999</v>
      </c>
      <c r="Q277" s="46">
        <v>999</v>
      </c>
      <c r="R277" s="45">
        <v>999</v>
      </c>
      <c r="S277" s="45">
        <v>999</v>
      </c>
      <c r="T277" s="45">
        <v>999</v>
      </c>
      <c r="U277" s="45">
        <v>999</v>
      </c>
      <c r="V277" s="45">
        <v>999</v>
      </c>
      <c r="W277" s="45">
        <v>999</v>
      </c>
      <c r="X277" s="45">
        <v>999</v>
      </c>
      <c r="Y277" s="45">
        <v>899</v>
      </c>
      <c r="Z277" s="45">
        <v>899</v>
      </c>
      <c r="AA277" s="45">
        <v>899</v>
      </c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7"/>
      <c r="AW277" s="48" t="s">
        <v>67</v>
      </c>
      <c r="AX277" s="49" t="s">
        <v>253</v>
      </c>
      <c r="AY277" s="55">
        <f t="shared" si="20"/>
        <v>26.239799999999999</v>
      </c>
      <c r="AZ277" s="55">
        <f t="shared" si="21"/>
        <v>23.6418</v>
      </c>
      <c r="BA277" s="56">
        <f t="shared" si="22"/>
        <v>13.3797</v>
      </c>
    </row>
    <row r="278" spans="1:53" ht="22.5" customHeight="1">
      <c r="A278" s="57" t="s">
        <v>247</v>
      </c>
      <c r="B278" s="42" t="s">
        <v>64</v>
      </c>
      <c r="C278" s="43">
        <v>4017383</v>
      </c>
      <c r="D278" s="58" t="s">
        <v>438</v>
      </c>
      <c r="E278" s="58" t="s">
        <v>442</v>
      </c>
      <c r="F278" s="45">
        <v>1399</v>
      </c>
      <c r="G278" s="45">
        <v>1299</v>
      </c>
      <c r="H278" s="45">
        <v>1299</v>
      </c>
      <c r="I278" s="45">
        <v>1299</v>
      </c>
      <c r="J278" s="45">
        <v>1199</v>
      </c>
      <c r="K278" s="45">
        <v>1099</v>
      </c>
      <c r="L278" s="45">
        <v>1099</v>
      </c>
      <c r="M278" s="45">
        <v>1199</v>
      </c>
      <c r="N278" s="45">
        <v>1099</v>
      </c>
      <c r="O278" s="45">
        <v>1049</v>
      </c>
      <c r="P278" s="46">
        <v>999</v>
      </c>
      <c r="Q278" s="46">
        <v>999</v>
      </c>
      <c r="R278" s="45">
        <v>999</v>
      </c>
      <c r="S278" s="45">
        <v>999</v>
      </c>
      <c r="T278" s="45">
        <v>999</v>
      </c>
      <c r="U278" s="45">
        <v>999</v>
      </c>
      <c r="V278" s="45">
        <v>999</v>
      </c>
      <c r="W278" s="45">
        <v>999</v>
      </c>
      <c r="X278" s="45">
        <v>999</v>
      </c>
      <c r="Y278" s="45">
        <v>899</v>
      </c>
      <c r="Z278" s="45">
        <v>899</v>
      </c>
      <c r="AA278" s="45">
        <v>899</v>
      </c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7"/>
      <c r="AW278" s="48" t="s">
        <v>67</v>
      </c>
      <c r="AX278" s="49" t="s">
        <v>253</v>
      </c>
      <c r="AY278" s="55">
        <f t="shared" si="20"/>
        <v>26.239799999999999</v>
      </c>
      <c r="AZ278" s="55">
        <f t="shared" si="21"/>
        <v>23.6418</v>
      </c>
      <c r="BA278" s="56">
        <f t="shared" si="22"/>
        <v>13.3797</v>
      </c>
    </row>
    <row r="279" spans="1:53" ht="22.5" customHeight="1">
      <c r="A279" s="57" t="s">
        <v>247</v>
      </c>
      <c r="B279" s="42" t="s">
        <v>64</v>
      </c>
      <c r="C279" s="43">
        <v>4017358</v>
      </c>
      <c r="D279" s="59" t="s">
        <v>443</v>
      </c>
      <c r="E279" s="58" t="s">
        <v>444</v>
      </c>
      <c r="F279" s="45">
        <v>1699</v>
      </c>
      <c r="G279" s="45">
        <v>1299</v>
      </c>
      <c r="H279" s="45">
        <v>1299</v>
      </c>
      <c r="I279" s="45">
        <v>1299</v>
      </c>
      <c r="J279" s="45">
        <v>1199</v>
      </c>
      <c r="K279" s="45">
        <v>1149</v>
      </c>
      <c r="L279" s="45">
        <v>1149</v>
      </c>
      <c r="M279" s="45">
        <v>1199</v>
      </c>
      <c r="N279" s="45">
        <v>1149</v>
      </c>
      <c r="O279" s="54">
        <v>1049</v>
      </c>
      <c r="P279" s="46">
        <v>1049</v>
      </c>
      <c r="Q279" s="46">
        <v>999</v>
      </c>
      <c r="R279" s="54">
        <v>1049</v>
      </c>
      <c r="S279" s="46">
        <v>1049</v>
      </c>
      <c r="T279" s="45">
        <v>999</v>
      </c>
      <c r="U279" s="45">
        <v>999</v>
      </c>
      <c r="V279" s="45">
        <v>999</v>
      </c>
      <c r="W279" s="45">
        <v>999</v>
      </c>
      <c r="X279" s="45">
        <v>999</v>
      </c>
      <c r="Y279" s="45">
        <v>899</v>
      </c>
      <c r="Z279" s="45">
        <v>899</v>
      </c>
      <c r="AA279" s="45">
        <v>899</v>
      </c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7"/>
      <c r="AW279" s="48" t="s">
        <v>67</v>
      </c>
      <c r="AX279" s="49" t="s">
        <v>68</v>
      </c>
      <c r="AY279" s="55">
        <f t="shared" si="20"/>
        <v>26.239799999999999</v>
      </c>
      <c r="AZ279" s="55">
        <f t="shared" si="21"/>
        <v>23.6418</v>
      </c>
      <c r="BA279" s="56">
        <f t="shared" si="22"/>
        <v>13.3797</v>
      </c>
    </row>
    <row r="280" spans="1:53" ht="22.5" customHeight="1">
      <c r="A280" s="57" t="s">
        <v>247</v>
      </c>
      <c r="B280" s="42" t="s">
        <v>64</v>
      </c>
      <c r="C280" s="43">
        <v>4017365</v>
      </c>
      <c r="D280" s="59" t="s">
        <v>443</v>
      </c>
      <c r="E280" s="58" t="s">
        <v>445</v>
      </c>
      <c r="F280" s="45">
        <v>1699</v>
      </c>
      <c r="G280" s="45">
        <v>1299</v>
      </c>
      <c r="H280" s="45">
        <v>1299</v>
      </c>
      <c r="I280" s="45">
        <v>1299</v>
      </c>
      <c r="J280" s="45">
        <v>1199</v>
      </c>
      <c r="K280" s="45">
        <v>1149</v>
      </c>
      <c r="L280" s="45">
        <v>1149</v>
      </c>
      <c r="M280" s="45">
        <v>1199</v>
      </c>
      <c r="N280" s="45">
        <v>1149</v>
      </c>
      <c r="O280" s="54">
        <v>1049</v>
      </c>
      <c r="P280" s="46">
        <v>1049</v>
      </c>
      <c r="Q280" s="46">
        <v>999</v>
      </c>
      <c r="R280" s="54">
        <v>1049</v>
      </c>
      <c r="S280" s="46">
        <v>1049</v>
      </c>
      <c r="T280" s="45">
        <v>999</v>
      </c>
      <c r="U280" s="45">
        <v>999</v>
      </c>
      <c r="V280" s="45">
        <v>999</v>
      </c>
      <c r="W280" s="45">
        <v>999</v>
      </c>
      <c r="X280" s="45">
        <v>999</v>
      </c>
      <c r="Y280" s="45">
        <v>899</v>
      </c>
      <c r="Z280" s="45">
        <v>899</v>
      </c>
      <c r="AA280" s="45">
        <v>899</v>
      </c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7"/>
      <c r="AW280" s="48" t="s">
        <v>67</v>
      </c>
      <c r="AX280" s="49" t="s">
        <v>68</v>
      </c>
      <c r="AY280" s="55">
        <f t="shared" si="20"/>
        <v>26.239799999999999</v>
      </c>
      <c r="AZ280" s="55">
        <f t="shared" si="21"/>
        <v>23.6418</v>
      </c>
      <c r="BA280" s="56">
        <f t="shared" si="22"/>
        <v>13.3797</v>
      </c>
    </row>
    <row r="281" spans="1:53" ht="22.5" customHeight="1">
      <c r="A281" s="57" t="s">
        <v>247</v>
      </c>
      <c r="B281" s="42" t="s">
        <v>64</v>
      </c>
      <c r="C281" s="43">
        <v>4017378</v>
      </c>
      <c r="D281" s="59" t="s">
        <v>443</v>
      </c>
      <c r="E281" s="58" t="s">
        <v>446</v>
      </c>
      <c r="F281" s="45">
        <v>1699</v>
      </c>
      <c r="G281" s="45">
        <v>1299</v>
      </c>
      <c r="H281" s="45">
        <v>1299</v>
      </c>
      <c r="I281" s="45">
        <v>1299</v>
      </c>
      <c r="J281" s="45">
        <v>1199</v>
      </c>
      <c r="K281" s="45">
        <v>1149</v>
      </c>
      <c r="L281" s="45">
        <v>1149</v>
      </c>
      <c r="M281" s="45">
        <v>1199</v>
      </c>
      <c r="N281" s="45">
        <v>1149</v>
      </c>
      <c r="O281" s="54">
        <v>1049</v>
      </c>
      <c r="P281" s="46">
        <v>1049</v>
      </c>
      <c r="Q281" s="46">
        <v>999</v>
      </c>
      <c r="R281" s="54">
        <v>1049</v>
      </c>
      <c r="S281" s="46">
        <v>1049</v>
      </c>
      <c r="T281" s="45">
        <v>999</v>
      </c>
      <c r="U281" s="45">
        <v>999</v>
      </c>
      <c r="V281" s="45">
        <v>999</v>
      </c>
      <c r="W281" s="45">
        <v>999</v>
      </c>
      <c r="X281" s="45">
        <v>999</v>
      </c>
      <c r="Y281" s="45">
        <v>899</v>
      </c>
      <c r="Z281" s="45">
        <v>899</v>
      </c>
      <c r="AA281" s="45">
        <v>899</v>
      </c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7"/>
      <c r="AW281" s="48" t="s">
        <v>67</v>
      </c>
      <c r="AX281" s="49" t="s">
        <v>68</v>
      </c>
      <c r="AY281" s="55">
        <f t="shared" si="20"/>
        <v>26.239799999999999</v>
      </c>
      <c r="AZ281" s="55">
        <f t="shared" si="21"/>
        <v>23.6418</v>
      </c>
      <c r="BA281" s="56">
        <f t="shared" si="22"/>
        <v>13.3797</v>
      </c>
    </row>
    <row r="282" spans="1:53" ht="22.5" customHeight="1">
      <c r="A282" s="57" t="s">
        <v>247</v>
      </c>
      <c r="B282" s="42" t="s">
        <v>64</v>
      </c>
      <c r="C282" s="43">
        <v>4017384</v>
      </c>
      <c r="D282" s="59" t="s">
        <v>443</v>
      </c>
      <c r="E282" s="58" t="s">
        <v>447</v>
      </c>
      <c r="F282" s="45">
        <v>1699</v>
      </c>
      <c r="G282" s="45">
        <v>1299</v>
      </c>
      <c r="H282" s="45">
        <v>1299</v>
      </c>
      <c r="I282" s="45">
        <v>1299</v>
      </c>
      <c r="J282" s="45">
        <v>1199</v>
      </c>
      <c r="K282" s="45">
        <v>1149</v>
      </c>
      <c r="L282" s="45">
        <v>1149</v>
      </c>
      <c r="M282" s="45">
        <v>1199</v>
      </c>
      <c r="N282" s="45">
        <v>1149</v>
      </c>
      <c r="O282" s="54">
        <v>1049</v>
      </c>
      <c r="P282" s="46">
        <v>1049</v>
      </c>
      <c r="Q282" s="46">
        <v>999</v>
      </c>
      <c r="R282" s="54">
        <v>1049</v>
      </c>
      <c r="S282" s="46">
        <v>1049</v>
      </c>
      <c r="T282" s="45">
        <v>999</v>
      </c>
      <c r="U282" s="45">
        <v>999</v>
      </c>
      <c r="V282" s="45">
        <v>999</v>
      </c>
      <c r="W282" s="45">
        <v>999</v>
      </c>
      <c r="X282" s="45">
        <v>999</v>
      </c>
      <c r="Y282" s="45">
        <v>899</v>
      </c>
      <c r="Z282" s="45">
        <v>899</v>
      </c>
      <c r="AA282" s="45">
        <v>899</v>
      </c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7"/>
      <c r="AW282" s="48" t="s">
        <v>67</v>
      </c>
      <c r="AX282" s="49" t="s">
        <v>68</v>
      </c>
      <c r="AY282" s="55">
        <f t="shared" si="20"/>
        <v>26.239799999999999</v>
      </c>
      <c r="AZ282" s="55">
        <f t="shared" si="21"/>
        <v>23.6418</v>
      </c>
      <c r="BA282" s="56">
        <f t="shared" si="22"/>
        <v>13.3797</v>
      </c>
    </row>
    <row r="283" spans="1:53" ht="22.5" customHeight="1">
      <c r="A283" s="57" t="s">
        <v>247</v>
      </c>
      <c r="B283" s="42" t="s">
        <v>64</v>
      </c>
      <c r="C283" s="43">
        <v>4017371</v>
      </c>
      <c r="D283" s="59" t="s">
        <v>443</v>
      </c>
      <c r="E283" s="58" t="s">
        <v>448</v>
      </c>
      <c r="F283" s="45">
        <v>1699</v>
      </c>
      <c r="G283" s="45">
        <v>1299</v>
      </c>
      <c r="H283" s="45">
        <v>1299</v>
      </c>
      <c r="I283" s="45">
        <v>1299</v>
      </c>
      <c r="J283" s="45">
        <v>1199</v>
      </c>
      <c r="K283" s="45">
        <v>1149</v>
      </c>
      <c r="L283" s="45">
        <v>1149</v>
      </c>
      <c r="M283" s="45">
        <v>1199</v>
      </c>
      <c r="N283" s="45">
        <v>1149</v>
      </c>
      <c r="O283" s="54">
        <v>1049</v>
      </c>
      <c r="P283" s="46">
        <v>1049</v>
      </c>
      <c r="Q283" s="46">
        <v>999</v>
      </c>
      <c r="R283" s="54">
        <v>1049</v>
      </c>
      <c r="S283" s="46">
        <v>1049</v>
      </c>
      <c r="T283" s="45">
        <v>999</v>
      </c>
      <c r="U283" s="45">
        <v>999</v>
      </c>
      <c r="V283" s="45">
        <v>999</v>
      </c>
      <c r="W283" s="45">
        <v>999</v>
      </c>
      <c r="X283" s="45">
        <v>999</v>
      </c>
      <c r="Y283" s="45">
        <v>899</v>
      </c>
      <c r="Z283" s="45">
        <v>899</v>
      </c>
      <c r="AA283" s="45">
        <v>899</v>
      </c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7"/>
      <c r="AW283" s="48" t="s">
        <v>67</v>
      </c>
      <c r="AX283" s="49" t="s">
        <v>68</v>
      </c>
      <c r="AY283" s="55">
        <f t="shared" si="20"/>
        <v>26.239799999999999</v>
      </c>
      <c r="AZ283" s="55">
        <f t="shared" si="21"/>
        <v>23.6418</v>
      </c>
      <c r="BA283" s="56">
        <f t="shared" si="22"/>
        <v>13.3797</v>
      </c>
    </row>
    <row r="284" spans="1:53" ht="22.5" customHeight="1">
      <c r="A284" s="57" t="s">
        <v>247</v>
      </c>
      <c r="B284" s="42" t="s">
        <v>64</v>
      </c>
      <c r="C284" s="43">
        <v>4017350</v>
      </c>
      <c r="D284" s="59" t="s">
        <v>443</v>
      </c>
      <c r="E284" s="58" t="s">
        <v>449</v>
      </c>
      <c r="F284" s="45">
        <v>1699</v>
      </c>
      <c r="G284" s="45">
        <v>1299</v>
      </c>
      <c r="H284" s="45">
        <v>1299</v>
      </c>
      <c r="I284" s="45">
        <v>1299</v>
      </c>
      <c r="J284" s="45">
        <v>1199</v>
      </c>
      <c r="K284" s="45">
        <v>1149</v>
      </c>
      <c r="L284" s="45">
        <v>1149</v>
      </c>
      <c r="M284" s="45">
        <v>1199</v>
      </c>
      <c r="N284" s="45">
        <v>1149</v>
      </c>
      <c r="O284" s="54">
        <v>1049</v>
      </c>
      <c r="P284" s="46">
        <v>1049</v>
      </c>
      <c r="Q284" s="46">
        <v>999</v>
      </c>
      <c r="R284" s="54">
        <v>1049</v>
      </c>
      <c r="S284" s="46">
        <v>1049</v>
      </c>
      <c r="T284" s="45">
        <v>999</v>
      </c>
      <c r="U284" s="45">
        <v>999</v>
      </c>
      <c r="V284" s="45">
        <v>999</v>
      </c>
      <c r="W284" s="45">
        <v>999</v>
      </c>
      <c r="X284" s="45">
        <v>999</v>
      </c>
      <c r="Y284" s="45">
        <v>899</v>
      </c>
      <c r="Z284" s="45">
        <v>899</v>
      </c>
      <c r="AA284" s="45">
        <v>899</v>
      </c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7"/>
      <c r="AW284" s="48" t="s">
        <v>67</v>
      </c>
      <c r="AX284" s="49" t="s">
        <v>68</v>
      </c>
      <c r="AY284" s="55">
        <f t="shared" si="20"/>
        <v>26.239799999999999</v>
      </c>
      <c r="AZ284" s="55">
        <f t="shared" si="21"/>
        <v>23.6418</v>
      </c>
      <c r="BA284" s="56">
        <f t="shared" si="22"/>
        <v>13.3797</v>
      </c>
    </row>
    <row r="285" spans="1:53" ht="22.5" customHeight="1">
      <c r="A285" s="57" t="s">
        <v>247</v>
      </c>
      <c r="B285" s="42" t="s">
        <v>64</v>
      </c>
      <c r="C285" s="43">
        <v>4017360</v>
      </c>
      <c r="D285" s="59" t="s">
        <v>443</v>
      </c>
      <c r="E285" s="58" t="s">
        <v>450</v>
      </c>
      <c r="F285" s="45">
        <v>1699</v>
      </c>
      <c r="G285" s="45">
        <v>1299</v>
      </c>
      <c r="H285" s="45">
        <v>1299</v>
      </c>
      <c r="I285" s="45">
        <v>1299</v>
      </c>
      <c r="J285" s="45">
        <v>1199</v>
      </c>
      <c r="K285" s="45">
        <v>1149</v>
      </c>
      <c r="L285" s="45">
        <v>1149</v>
      </c>
      <c r="M285" s="45">
        <v>1199</v>
      </c>
      <c r="N285" s="45">
        <v>1149</v>
      </c>
      <c r="O285" s="54">
        <v>1049</v>
      </c>
      <c r="P285" s="46">
        <v>1049</v>
      </c>
      <c r="Q285" s="46">
        <v>999</v>
      </c>
      <c r="R285" s="54">
        <v>1049</v>
      </c>
      <c r="S285" s="46">
        <v>1049</v>
      </c>
      <c r="T285" s="45">
        <v>999</v>
      </c>
      <c r="U285" s="45">
        <v>999</v>
      </c>
      <c r="V285" s="45">
        <v>999</v>
      </c>
      <c r="W285" s="45">
        <v>999</v>
      </c>
      <c r="X285" s="45">
        <v>999</v>
      </c>
      <c r="Y285" s="45">
        <v>899</v>
      </c>
      <c r="Z285" s="45">
        <v>899</v>
      </c>
      <c r="AA285" s="45">
        <v>899</v>
      </c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7"/>
      <c r="AW285" s="48" t="s">
        <v>67</v>
      </c>
      <c r="AX285" s="49" t="s">
        <v>68</v>
      </c>
      <c r="AY285" s="55">
        <f t="shared" si="20"/>
        <v>26.239799999999999</v>
      </c>
      <c r="AZ285" s="55">
        <f t="shared" si="21"/>
        <v>23.6418</v>
      </c>
      <c r="BA285" s="56">
        <f t="shared" si="22"/>
        <v>13.3797</v>
      </c>
    </row>
    <row r="286" spans="1:53" ht="22.5" customHeight="1">
      <c r="A286" s="57" t="s">
        <v>247</v>
      </c>
      <c r="B286" s="42" t="s">
        <v>64</v>
      </c>
      <c r="C286" s="43">
        <v>4017352</v>
      </c>
      <c r="D286" s="59" t="s">
        <v>443</v>
      </c>
      <c r="E286" s="58" t="s">
        <v>451</v>
      </c>
      <c r="F286" s="45">
        <v>1699</v>
      </c>
      <c r="G286" s="45">
        <v>1299</v>
      </c>
      <c r="H286" s="45">
        <v>1299</v>
      </c>
      <c r="I286" s="45">
        <v>1299</v>
      </c>
      <c r="J286" s="45">
        <v>1199</v>
      </c>
      <c r="K286" s="45">
        <v>1149</v>
      </c>
      <c r="L286" s="45">
        <v>1149</v>
      </c>
      <c r="M286" s="45">
        <v>1199</v>
      </c>
      <c r="N286" s="45">
        <v>1149</v>
      </c>
      <c r="O286" s="54">
        <v>1049</v>
      </c>
      <c r="P286" s="46">
        <v>1049</v>
      </c>
      <c r="Q286" s="46">
        <v>999</v>
      </c>
      <c r="R286" s="54">
        <v>1049</v>
      </c>
      <c r="S286" s="46">
        <v>1049</v>
      </c>
      <c r="T286" s="45">
        <v>999</v>
      </c>
      <c r="U286" s="45">
        <v>999</v>
      </c>
      <c r="V286" s="45">
        <v>999</v>
      </c>
      <c r="W286" s="45">
        <v>999</v>
      </c>
      <c r="X286" s="45">
        <v>999</v>
      </c>
      <c r="Y286" s="45">
        <v>899</v>
      </c>
      <c r="Z286" s="45">
        <v>899</v>
      </c>
      <c r="AA286" s="45">
        <v>899</v>
      </c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7"/>
      <c r="AW286" s="48" t="s">
        <v>67</v>
      </c>
      <c r="AX286" s="49" t="s">
        <v>68</v>
      </c>
      <c r="AY286" s="55">
        <f t="shared" si="20"/>
        <v>26.239799999999999</v>
      </c>
      <c r="AZ286" s="55">
        <f t="shared" si="21"/>
        <v>23.6418</v>
      </c>
      <c r="BA286" s="56">
        <f t="shared" si="22"/>
        <v>13.3797</v>
      </c>
    </row>
    <row r="287" spans="1:53" ht="22.5" customHeight="1">
      <c r="A287" s="57" t="s">
        <v>247</v>
      </c>
      <c r="B287" s="42" t="s">
        <v>64</v>
      </c>
      <c r="C287" s="43">
        <v>4017359</v>
      </c>
      <c r="D287" s="59" t="s">
        <v>452</v>
      </c>
      <c r="E287" s="58" t="s">
        <v>453</v>
      </c>
      <c r="F287" s="45">
        <v>1849</v>
      </c>
      <c r="G287" s="45">
        <v>1599</v>
      </c>
      <c r="H287" s="45">
        <v>1599</v>
      </c>
      <c r="I287" s="45">
        <v>1599</v>
      </c>
      <c r="J287" s="45">
        <v>1499</v>
      </c>
      <c r="K287" s="45">
        <v>1499</v>
      </c>
      <c r="L287" s="45">
        <v>1499</v>
      </c>
      <c r="M287" s="45">
        <v>1499</v>
      </c>
      <c r="N287" s="45">
        <v>1499</v>
      </c>
      <c r="O287" s="54">
        <v>1399</v>
      </c>
      <c r="P287" s="46">
        <v>1349</v>
      </c>
      <c r="Q287" s="46">
        <v>1299</v>
      </c>
      <c r="R287" s="54">
        <v>1399</v>
      </c>
      <c r="S287" s="45">
        <v>1349</v>
      </c>
      <c r="T287" s="45">
        <v>1299</v>
      </c>
      <c r="U287" s="45">
        <v>1299</v>
      </c>
      <c r="V287" s="45">
        <v>1299</v>
      </c>
      <c r="W287" s="45">
        <v>1299</v>
      </c>
      <c r="X287" s="54">
        <v>1299</v>
      </c>
      <c r="Y287" s="54">
        <v>1299</v>
      </c>
      <c r="Z287" s="54">
        <v>1299</v>
      </c>
      <c r="AA287" s="54">
        <v>1299</v>
      </c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7"/>
      <c r="AW287" s="48" t="s">
        <v>67</v>
      </c>
      <c r="AX287" s="49" t="s">
        <v>68</v>
      </c>
      <c r="AY287" s="55">
        <f t="shared" si="20"/>
        <v>32.299799999999998</v>
      </c>
      <c r="AZ287" s="55">
        <f t="shared" si="21"/>
        <v>29.101800000000001</v>
      </c>
      <c r="BA287" s="56">
        <f t="shared" si="22"/>
        <v>16.4697</v>
      </c>
    </row>
    <row r="288" spans="1:53" ht="22.5" customHeight="1">
      <c r="A288" s="57" t="s">
        <v>247</v>
      </c>
      <c r="B288" s="42" t="s">
        <v>64</v>
      </c>
      <c r="C288" s="43">
        <v>4017366</v>
      </c>
      <c r="D288" s="59" t="s">
        <v>452</v>
      </c>
      <c r="E288" s="58" t="s">
        <v>454</v>
      </c>
      <c r="F288" s="45">
        <v>1849</v>
      </c>
      <c r="G288" s="45">
        <v>1599</v>
      </c>
      <c r="H288" s="45">
        <v>1599</v>
      </c>
      <c r="I288" s="45">
        <v>1599</v>
      </c>
      <c r="J288" s="45">
        <v>1499</v>
      </c>
      <c r="K288" s="45">
        <v>1499</v>
      </c>
      <c r="L288" s="45">
        <v>1499</v>
      </c>
      <c r="M288" s="45">
        <v>1499</v>
      </c>
      <c r="N288" s="45">
        <v>1499</v>
      </c>
      <c r="O288" s="54">
        <v>1399</v>
      </c>
      <c r="P288" s="46">
        <v>1349</v>
      </c>
      <c r="Q288" s="46">
        <v>1299</v>
      </c>
      <c r="R288" s="54">
        <v>1399</v>
      </c>
      <c r="S288" s="45">
        <v>1349</v>
      </c>
      <c r="T288" s="45">
        <v>1299</v>
      </c>
      <c r="U288" s="45">
        <v>1299</v>
      </c>
      <c r="V288" s="45">
        <v>1299</v>
      </c>
      <c r="W288" s="45">
        <v>1299</v>
      </c>
      <c r="X288" s="54">
        <v>1299</v>
      </c>
      <c r="Y288" s="54">
        <v>1299</v>
      </c>
      <c r="Z288" s="54">
        <v>1299</v>
      </c>
      <c r="AA288" s="54">
        <v>1299</v>
      </c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7"/>
      <c r="AW288" s="48" t="s">
        <v>67</v>
      </c>
      <c r="AX288" s="49" t="s">
        <v>68</v>
      </c>
      <c r="AY288" s="55">
        <f t="shared" si="20"/>
        <v>32.299799999999998</v>
      </c>
      <c r="AZ288" s="55">
        <f t="shared" si="21"/>
        <v>29.101800000000001</v>
      </c>
      <c r="BA288" s="56">
        <f t="shared" si="22"/>
        <v>16.4697</v>
      </c>
    </row>
    <row r="289" spans="1:53" ht="22.5" customHeight="1">
      <c r="A289" s="57" t="s">
        <v>247</v>
      </c>
      <c r="B289" s="42" t="s">
        <v>64</v>
      </c>
      <c r="C289" s="43">
        <v>4017379</v>
      </c>
      <c r="D289" s="59" t="s">
        <v>452</v>
      </c>
      <c r="E289" s="58" t="s">
        <v>455</v>
      </c>
      <c r="F289" s="45">
        <v>1849</v>
      </c>
      <c r="G289" s="45">
        <v>1599</v>
      </c>
      <c r="H289" s="45">
        <v>1599</v>
      </c>
      <c r="I289" s="45">
        <v>1599</v>
      </c>
      <c r="J289" s="45">
        <v>1499</v>
      </c>
      <c r="K289" s="45">
        <v>1499</v>
      </c>
      <c r="L289" s="45">
        <v>1499</v>
      </c>
      <c r="M289" s="45">
        <v>1499</v>
      </c>
      <c r="N289" s="45">
        <v>1499</v>
      </c>
      <c r="O289" s="54">
        <v>1399</v>
      </c>
      <c r="P289" s="46">
        <v>1349</v>
      </c>
      <c r="Q289" s="46">
        <v>1299</v>
      </c>
      <c r="R289" s="54">
        <v>1399</v>
      </c>
      <c r="S289" s="45">
        <v>1349</v>
      </c>
      <c r="T289" s="45">
        <v>1299</v>
      </c>
      <c r="U289" s="45">
        <v>1299</v>
      </c>
      <c r="V289" s="45">
        <v>1299</v>
      </c>
      <c r="W289" s="45">
        <v>1299</v>
      </c>
      <c r="X289" s="54">
        <v>1299</v>
      </c>
      <c r="Y289" s="54">
        <v>1299</v>
      </c>
      <c r="Z289" s="54">
        <v>1299</v>
      </c>
      <c r="AA289" s="54">
        <v>1299</v>
      </c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7"/>
      <c r="AW289" s="48" t="s">
        <v>67</v>
      </c>
      <c r="AX289" s="49" t="s">
        <v>68</v>
      </c>
      <c r="AY289" s="55">
        <f t="shared" si="20"/>
        <v>32.299799999999998</v>
      </c>
      <c r="AZ289" s="55">
        <f t="shared" si="21"/>
        <v>29.101800000000001</v>
      </c>
      <c r="BA289" s="56">
        <f t="shared" si="22"/>
        <v>16.4697</v>
      </c>
    </row>
    <row r="290" spans="1:53" ht="22.5" customHeight="1">
      <c r="A290" s="57" t="s">
        <v>247</v>
      </c>
      <c r="B290" s="42" t="s">
        <v>64</v>
      </c>
      <c r="C290" s="43">
        <v>4017385</v>
      </c>
      <c r="D290" s="59" t="s">
        <v>452</v>
      </c>
      <c r="E290" s="58" t="s">
        <v>456</v>
      </c>
      <c r="F290" s="45">
        <v>1849</v>
      </c>
      <c r="G290" s="45">
        <v>1599</v>
      </c>
      <c r="H290" s="45">
        <v>1599</v>
      </c>
      <c r="I290" s="45">
        <v>1599</v>
      </c>
      <c r="J290" s="45">
        <v>1499</v>
      </c>
      <c r="K290" s="45">
        <v>1499</v>
      </c>
      <c r="L290" s="45">
        <v>1499</v>
      </c>
      <c r="M290" s="45">
        <v>1499</v>
      </c>
      <c r="N290" s="45">
        <v>1499</v>
      </c>
      <c r="O290" s="54">
        <v>1399</v>
      </c>
      <c r="P290" s="46">
        <v>1349</v>
      </c>
      <c r="Q290" s="46">
        <v>1299</v>
      </c>
      <c r="R290" s="54">
        <v>1399</v>
      </c>
      <c r="S290" s="45">
        <v>1349</v>
      </c>
      <c r="T290" s="45">
        <v>1299</v>
      </c>
      <c r="U290" s="45">
        <v>1299</v>
      </c>
      <c r="V290" s="45">
        <v>1299</v>
      </c>
      <c r="W290" s="45">
        <v>1299</v>
      </c>
      <c r="X290" s="54">
        <v>1299</v>
      </c>
      <c r="Y290" s="54">
        <v>1299</v>
      </c>
      <c r="Z290" s="54">
        <v>1299</v>
      </c>
      <c r="AA290" s="54">
        <v>1299</v>
      </c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7"/>
      <c r="AW290" s="48" t="s">
        <v>67</v>
      </c>
      <c r="AX290" s="49" t="s">
        <v>68</v>
      </c>
      <c r="AY290" s="55">
        <f t="shared" si="20"/>
        <v>32.299799999999998</v>
      </c>
      <c r="AZ290" s="55">
        <f t="shared" si="21"/>
        <v>29.101800000000001</v>
      </c>
      <c r="BA290" s="56">
        <f t="shared" si="22"/>
        <v>16.4697</v>
      </c>
    </row>
    <row r="291" spans="1:53" ht="22.5" customHeight="1">
      <c r="A291" s="57" t="s">
        <v>247</v>
      </c>
      <c r="B291" s="42" t="s">
        <v>64</v>
      </c>
      <c r="C291" s="43">
        <v>4017372</v>
      </c>
      <c r="D291" s="59" t="s">
        <v>452</v>
      </c>
      <c r="E291" s="58" t="s">
        <v>457</v>
      </c>
      <c r="F291" s="45">
        <v>1849</v>
      </c>
      <c r="G291" s="45">
        <v>1599</v>
      </c>
      <c r="H291" s="45">
        <v>1599</v>
      </c>
      <c r="I291" s="45">
        <v>1599</v>
      </c>
      <c r="J291" s="45">
        <v>1499</v>
      </c>
      <c r="K291" s="45">
        <v>1499</v>
      </c>
      <c r="L291" s="45">
        <v>1499</v>
      </c>
      <c r="M291" s="45">
        <v>1499</v>
      </c>
      <c r="N291" s="45">
        <v>1499</v>
      </c>
      <c r="O291" s="54">
        <v>1399</v>
      </c>
      <c r="P291" s="46">
        <v>1349</v>
      </c>
      <c r="Q291" s="46">
        <v>1299</v>
      </c>
      <c r="R291" s="54">
        <v>1399</v>
      </c>
      <c r="S291" s="45">
        <v>1349</v>
      </c>
      <c r="T291" s="45">
        <v>1299</v>
      </c>
      <c r="U291" s="45">
        <v>1299</v>
      </c>
      <c r="V291" s="45">
        <v>1299</v>
      </c>
      <c r="W291" s="45">
        <v>1299</v>
      </c>
      <c r="X291" s="54">
        <v>1299</v>
      </c>
      <c r="Y291" s="54">
        <v>1299</v>
      </c>
      <c r="Z291" s="54">
        <v>1299</v>
      </c>
      <c r="AA291" s="54">
        <v>1299</v>
      </c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7"/>
      <c r="AW291" s="48" t="s">
        <v>67</v>
      </c>
      <c r="AX291" s="49" t="s">
        <v>68</v>
      </c>
      <c r="AY291" s="55">
        <f t="shared" si="20"/>
        <v>32.299799999999998</v>
      </c>
      <c r="AZ291" s="55">
        <f t="shared" si="21"/>
        <v>29.101800000000001</v>
      </c>
      <c r="BA291" s="56">
        <f t="shared" si="22"/>
        <v>16.4697</v>
      </c>
    </row>
    <row r="292" spans="1:53" ht="22.5" customHeight="1">
      <c r="A292" s="57" t="s">
        <v>247</v>
      </c>
      <c r="B292" s="42" t="s">
        <v>64</v>
      </c>
      <c r="C292" s="43">
        <v>4014679</v>
      </c>
      <c r="D292" s="58" t="s">
        <v>458</v>
      </c>
      <c r="E292" s="58" t="s">
        <v>459</v>
      </c>
      <c r="F292" s="45">
        <v>799</v>
      </c>
      <c r="G292" s="45">
        <v>599</v>
      </c>
      <c r="H292" s="45">
        <v>599</v>
      </c>
      <c r="I292" s="45">
        <v>599</v>
      </c>
      <c r="J292" s="45">
        <f t="shared" ref="J292:J325" si="24">M292</f>
        <v>499</v>
      </c>
      <c r="K292" s="45">
        <f t="shared" ref="K292:L300" si="25">M292</f>
        <v>499</v>
      </c>
      <c r="L292" s="45">
        <f t="shared" si="25"/>
        <v>499</v>
      </c>
      <c r="M292" s="45">
        <v>499</v>
      </c>
      <c r="N292" s="45">
        <v>499</v>
      </c>
      <c r="O292" s="45">
        <f t="shared" si="23"/>
        <v>449</v>
      </c>
      <c r="P292" s="46">
        <f t="shared" si="23"/>
        <v>449</v>
      </c>
      <c r="Q292" s="46">
        <f t="shared" si="23"/>
        <v>449</v>
      </c>
      <c r="R292" s="45">
        <v>449</v>
      </c>
      <c r="S292" s="45">
        <v>449</v>
      </c>
      <c r="T292" s="45">
        <v>449</v>
      </c>
      <c r="U292" s="45">
        <v>449</v>
      </c>
      <c r="V292" s="45">
        <v>449</v>
      </c>
      <c r="W292" s="45">
        <v>449</v>
      </c>
      <c r="X292" s="45">
        <v>449</v>
      </c>
      <c r="Y292" s="45">
        <v>449</v>
      </c>
      <c r="Z292" s="45">
        <v>449</v>
      </c>
      <c r="AA292" s="45">
        <v>449</v>
      </c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7"/>
      <c r="AW292" s="48" t="s">
        <v>67</v>
      </c>
      <c r="AX292" s="49" t="s">
        <v>68</v>
      </c>
      <c r="AY292" s="50">
        <f t="shared" si="20"/>
        <v>12.0998</v>
      </c>
      <c r="AZ292" s="50">
        <f t="shared" si="21"/>
        <v>10.9018</v>
      </c>
      <c r="BA292" s="51">
        <f t="shared" si="22"/>
        <v>6.1696999999999997</v>
      </c>
    </row>
    <row r="293" spans="1:53" ht="22.5" customHeight="1">
      <c r="A293" s="57" t="s">
        <v>247</v>
      </c>
      <c r="B293" s="42" t="s">
        <v>64</v>
      </c>
      <c r="C293" s="43">
        <v>4015250</v>
      </c>
      <c r="D293" s="58" t="s">
        <v>460</v>
      </c>
      <c r="E293" s="58" t="s">
        <v>461</v>
      </c>
      <c r="F293" s="45">
        <v>1299</v>
      </c>
      <c r="G293" s="45">
        <v>1099</v>
      </c>
      <c r="H293" s="45">
        <v>1299</v>
      </c>
      <c r="I293" s="45">
        <v>1299</v>
      </c>
      <c r="J293" s="45">
        <v>769</v>
      </c>
      <c r="K293" s="45">
        <v>769</v>
      </c>
      <c r="L293" s="45">
        <v>769</v>
      </c>
      <c r="M293" s="45">
        <v>769</v>
      </c>
      <c r="N293" s="45">
        <v>769</v>
      </c>
      <c r="O293" s="45">
        <v>769</v>
      </c>
      <c r="P293" s="45">
        <v>769</v>
      </c>
      <c r="Q293" s="45">
        <v>769</v>
      </c>
      <c r="R293" s="45">
        <v>769</v>
      </c>
      <c r="S293" s="45">
        <v>769</v>
      </c>
      <c r="T293" s="45">
        <v>769</v>
      </c>
      <c r="U293" s="45">
        <v>769</v>
      </c>
      <c r="V293" s="45">
        <v>769</v>
      </c>
      <c r="W293" s="45">
        <v>769</v>
      </c>
      <c r="X293" s="45">
        <v>769</v>
      </c>
      <c r="Y293" s="45">
        <v>769</v>
      </c>
      <c r="Z293" s="45">
        <v>769</v>
      </c>
      <c r="AA293" s="45">
        <v>769</v>
      </c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7"/>
      <c r="AW293" s="48" t="s">
        <v>67</v>
      </c>
      <c r="AX293" s="49" t="s">
        <v>68</v>
      </c>
      <c r="AY293" s="50">
        <f t="shared" si="20"/>
        <v>26.239799999999999</v>
      </c>
      <c r="AZ293" s="50">
        <f t="shared" si="21"/>
        <v>23.6418</v>
      </c>
      <c r="BA293" s="51">
        <f t="shared" si="22"/>
        <v>13.3797</v>
      </c>
    </row>
    <row r="294" spans="1:53" ht="22.5" customHeight="1">
      <c r="A294" s="57" t="s">
        <v>247</v>
      </c>
      <c r="B294" s="42" t="s">
        <v>64</v>
      </c>
      <c r="C294" s="43">
        <v>4015251</v>
      </c>
      <c r="D294" s="58" t="s">
        <v>460</v>
      </c>
      <c r="E294" s="58" t="s">
        <v>462</v>
      </c>
      <c r="F294" s="45">
        <v>1299</v>
      </c>
      <c r="G294" s="45">
        <v>1099</v>
      </c>
      <c r="H294" s="45">
        <v>1299</v>
      </c>
      <c r="I294" s="45">
        <v>1299</v>
      </c>
      <c r="J294" s="45">
        <v>769</v>
      </c>
      <c r="K294" s="45">
        <v>769</v>
      </c>
      <c r="L294" s="45">
        <v>769</v>
      </c>
      <c r="M294" s="45">
        <v>769</v>
      </c>
      <c r="N294" s="45">
        <v>769</v>
      </c>
      <c r="O294" s="45">
        <v>769</v>
      </c>
      <c r="P294" s="45">
        <v>769</v>
      </c>
      <c r="Q294" s="45">
        <v>769</v>
      </c>
      <c r="R294" s="45">
        <v>769</v>
      </c>
      <c r="S294" s="45">
        <v>769</v>
      </c>
      <c r="T294" s="45">
        <v>769</v>
      </c>
      <c r="U294" s="45">
        <v>769</v>
      </c>
      <c r="V294" s="45">
        <v>769</v>
      </c>
      <c r="W294" s="45">
        <v>769</v>
      </c>
      <c r="X294" s="45">
        <v>769</v>
      </c>
      <c r="Y294" s="45">
        <v>769</v>
      </c>
      <c r="Z294" s="45">
        <v>769</v>
      </c>
      <c r="AA294" s="45">
        <v>769</v>
      </c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7"/>
      <c r="AW294" s="48" t="s">
        <v>67</v>
      </c>
      <c r="AX294" s="49" t="s">
        <v>68</v>
      </c>
      <c r="AY294" s="50">
        <f t="shared" si="20"/>
        <v>26.239799999999999</v>
      </c>
      <c r="AZ294" s="50">
        <f t="shared" si="21"/>
        <v>23.6418</v>
      </c>
      <c r="BA294" s="51">
        <f t="shared" si="22"/>
        <v>13.3797</v>
      </c>
    </row>
    <row r="295" spans="1:53" ht="22.5" customHeight="1">
      <c r="A295" s="57" t="s">
        <v>247</v>
      </c>
      <c r="B295" s="42" t="s">
        <v>64</v>
      </c>
      <c r="C295" s="43">
        <v>4016092</v>
      </c>
      <c r="D295" s="58" t="s">
        <v>463</v>
      </c>
      <c r="E295" s="58" t="s">
        <v>464</v>
      </c>
      <c r="F295" s="45">
        <v>1199</v>
      </c>
      <c r="G295" s="45">
        <v>999</v>
      </c>
      <c r="H295" s="45">
        <v>1199</v>
      </c>
      <c r="I295" s="45">
        <v>1199</v>
      </c>
      <c r="J295" s="45">
        <v>699</v>
      </c>
      <c r="K295" s="45">
        <v>699</v>
      </c>
      <c r="L295" s="45">
        <v>699</v>
      </c>
      <c r="M295" s="45">
        <v>699</v>
      </c>
      <c r="N295" s="45">
        <v>699</v>
      </c>
      <c r="O295" s="45">
        <v>699</v>
      </c>
      <c r="P295" s="45">
        <v>699</v>
      </c>
      <c r="Q295" s="45">
        <v>699</v>
      </c>
      <c r="R295" s="45">
        <v>699</v>
      </c>
      <c r="S295" s="45">
        <v>699</v>
      </c>
      <c r="T295" s="45">
        <v>699</v>
      </c>
      <c r="U295" s="45">
        <v>699</v>
      </c>
      <c r="V295" s="45">
        <v>699</v>
      </c>
      <c r="W295" s="45">
        <v>699</v>
      </c>
      <c r="X295" s="45">
        <v>699</v>
      </c>
      <c r="Y295" s="45">
        <v>699</v>
      </c>
      <c r="Z295" s="45">
        <v>699</v>
      </c>
      <c r="AA295" s="45">
        <v>699</v>
      </c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7"/>
      <c r="AW295" s="48" t="s">
        <v>67</v>
      </c>
      <c r="AX295" s="49" t="s">
        <v>68</v>
      </c>
      <c r="AY295" s="50">
        <f t="shared" si="20"/>
        <v>24.219799999999999</v>
      </c>
      <c r="AZ295" s="50">
        <f t="shared" si="21"/>
        <v>21.8218</v>
      </c>
      <c r="BA295" s="51">
        <f t="shared" si="22"/>
        <v>12.3497</v>
      </c>
    </row>
    <row r="296" spans="1:53" ht="22.5" customHeight="1">
      <c r="A296" s="57" t="s">
        <v>247</v>
      </c>
      <c r="B296" s="42" t="s">
        <v>64</v>
      </c>
      <c r="C296" s="43">
        <v>4016095</v>
      </c>
      <c r="D296" s="58" t="s">
        <v>463</v>
      </c>
      <c r="E296" s="58" t="s">
        <v>465</v>
      </c>
      <c r="F296" s="45">
        <v>1199</v>
      </c>
      <c r="G296" s="45">
        <v>999</v>
      </c>
      <c r="H296" s="45">
        <v>1199</v>
      </c>
      <c r="I296" s="45">
        <v>1199</v>
      </c>
      <c r="J296" s="45">
        <v>699</v>
      </c>
      <c r="K296" s="45">
        <v>699</v>
      </c>
      <c r="L296" s="45">
        <v>699</v>
      </c>
      <c r="M296" s="45">
        <v>699</v>
      </c>
      <c r="N296" s="45">
        <v>699</v>
      </c>
      <c r="O296" s="45">
        <v>699</v>
      </c>
      <c r="P296" s="45">
        <v>699</v>
      </c>
      <c r="Q296" s="45">
        <v>699</v>
      </c>
      <c r="R296" s="45">
        <v>699</v>
      </c>
      <c r="S296" s="45">
        <v>699</v>
      </c>
      <c r="T296" s="45">
        <v>699</v>
      </c>
      <c r="U296" s="45">
        <v>699</v>
      </c>
      <c r="V296" s="45">
        <v>699</v>
      </c>
      <c r="W296" s="45">
        <v>699</v>
      </c>
      <c r="X296" s="45">
        <v>699</v>
      </c>
      <c r="Y296" s="45">
        <v>699</v>
      </c>
      <c r="Z296" s="45">
        <v>699</v>
      </c>
      <c r="AA296" s="45">
        <v>699</v>
      </c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7"/>
      <c r="AW296" s="48" t="s">
        <v>67</v>
      </c>
      <c r="AX296" s="49" t="s">
        <v>68</v>
      </c>
      <c r="AY296" s="50">
        <f t="shared" si="20"/>
        <v>24.219799999999999</v>
      </c>
      <c r="AZ296" s="50">
        <f t="shared" si="21"/>
        <v>21.8218</v>
      </c>
      <c r="BA296" s="51">
        <f t="shared" si="22"/>
        <v>12.3497</v>
      </c>
    </row>
    <row r="297" spans="1:53" ht="22.5" customHeight="1">
      <c r="A297" s="57" t="s">
        <v>247</v>
      </c>
      <c r="B297" s="42" t="s">
        <v>64</v>
      </c>
      <c r="C297" s="43">
        <v>4014161</v>
      </c>
      <c r="D297" s="58" t="s">
        <v>466</v>
      </c>
      <c r="E297" s="58" t="s">
        <v>467</v>
      </c>
      <c r="F297" s="45">
        <v>2699</v>
      </c>
      <c r="G297" s="45">
        <v>699</v>
      </c>
      <c r="H297" s="45">
        <v>699</v>
      </c>
      <c r="I297" s="45">
        <v>699</v>
      </c>
      <c r="J297" s="45">
        <f t="shared" si="24"/>
        <v>599</v>
      </c>
      <c r="K297" s="45">
        <f t="shared" si="25"/>
        <v>599</v>
      </c>
      <c r="L297" s="45">
        <f t="shared" si="25"/>
        <v>599</v>
      </c>
      <c r="M297" s="45">
        <v>599</v>
      </c>
      <c r="N297" s="45">
        <v>599</v>
      </c>
      <c r="O297" s="45">
        <f t="shared" ref="O297:Q321" si="26">R297</f>
        <v>549</v>
      </c>
      <c r="P297" s="46">
        <f t="shared" si="26"/>
        <v>499</v>
      </c>
      <c r="Q297" s="46">
        <f t="shared" si="26"/>
        <v>399</v>
      </c>
      <c r="R297" s="45">
        <v>549</v>
      </c>
      <c r="S297" s="45">
        <v>499</v>
      </c>
      <c r="T297" s="45">
        <v>399</v>
      </c>
      <c r="U297" s="45">
        <v>399</v>
      </c>
      <c r="V297" s="45">
        <v>399</v>
      </c>
      <c r="W297" s="45">
        <v>399</v>
      </c>
      <c r="X297" s="45">
        <v>399</v>
      </c>
      <c r="Y297" s="45">
        <v>399</v>
      </c>
      <c r="Z297" s="45">
        <v>399</v>
      </c>
      <c r="AA297" s="45">
        <v>399</v>
      </c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7"/>
      <c r="AW297" s="48" t="s">
        <v>67</v>
      </c>
      <c r="AX297" s="49" t="s">
        <v>68</v>
      </c>
      <c r="AY297" s="50">
        <f t="shared" si="20"/>
        <v>14.1198</v>
      </c>
      <c r="AZ297" s="50">
        <f t="shared" si="21"/>
        <v>12.7218</v>
      </c>
      <c r="BA297" s="51">
        <f t="shared" si="22"/>
        <v>7.1997</v>
      </c>
    </row>
    <row r="298" spans="1:53" ht="22.5" customHeight="1">
      <c r="A298" s="57" t="s">
        <v>247</v>
      </c>
      <c r="B298" s="42" t="s">
        <v>64</v>
      </c>
      <c r="C298" s="43">
        <v>4015441</v>
      </c>
      <c r="D298" s="58" t="s">
        <v>468</v>
      </c>
      <c r="E298" s="58" t="s">
        <v>469</v>
      </c>
      <c r="F298" s="45">
        <v>1599</v>
      </c>
      <c r="G298" s="45">
        <v>1299</v>
      </c>
      <c r="H298" s="45">
        <v>1299</v>
      </c>
      <c r="I298" s="45">
        <v>1299</v>
      </c>
      <c r="J298" s="45">
        <f t="shared" si="24"/>
        <v>999</v>
      </c>
      <c r="K298" s="45">
        <f t="shared" si="25"/>
        <v>999</v>
      </c>
      <c r="L298" s="45">
        <f t="shared" si="25"/>
        <v>999</v>
      </c>
      <c r="M298" s="45">
        <v>999</v>
      </c>
      <c r="N298" s="45">
        <v>999</v>
      </c>
      <c r="O298" s="45">
        <f t="shared" si="26"/>
        <v>899</v>
      </c>
      <c r="P298" s="46">
        <f t="shared" si="26"/>
        <v>799</v>
      </c>
      <c r="Q298" s="46">
        <f t="shared" si="26"/>
        <v>699</v>
      </c>
      <c r="R298" s="45">
        <v>899</v>
      </c>
      <c r="S298" s="45">
        <v>799</v>
      </c>
      <c r="T298" s="45">
        <v>699</v>
      </c>
      <c r="U298" s="45">
        <v>699</v>
      </c>
      <c r="V298" s="45">
        <v>699</v>
      </c>
      <c r="W298" s="45">
        <v>699</v>
      </c>
      <c r="X298" s="45">
        <v>649</v>
      </c>
      <c r="Y298" s="45">
        <v>599</v>
      </c>
      <c r="Z298" s="45">
        <v>599</v>
      </c>
      <c r="AA298" s="45">
        <v>579</v>
      </c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7"/>
      <c r="AW298" s="48" t="s">
        <v>67</v>
      </c>
      <c r="AX298" s="49" t="s">
        <v>68</v>
      </c>
      <c r="AY298" s="50">
        <f t="shared" si="20"/>
        <v>26.239799999999999</v>
      </c>
      <c r="AZ298" s="50">
        <f t="shared" si="21"/>
        <v>23.6418</v>
      </c>
      <c r="BA298" s="51">
        <f t="shared" si="22"/>
        <v>13.3797</v>
      </c>
    </row>
    <row r="299" spans="1:53" ht="22.5" customHeight="1">
      <c r="A299" s="57" t="s">
        <v>247</v>
      </c>
      <c r="B299" s="42" t="s">
        <v>64</v>
      </c>
      <c r="C299" s="43">
        <v>4015447</v>
      </c>
      <c r="D299" s="58" t="s">
        <v>468</v>
      </c>
      <c r="E299" s="58" t="s">
        <v>470</v>
      </c>
      <c r="F299" s="45">
        <v>1599</v>
      </c>
      <c r="G299" s="45">
        <v>1299</v>
      </c>
      <c r="H299" s="45">
        <v>1299</v>
      </c>
      <c r="I299" s="45">
        <v>1299</v>
      </c>
      <c r="J299" s="45">
        <f t="shared" si="24"/>
        <v>999</v>
      </c>
      <c r="K299" s="45">
        <f t="shared" si="25"/>
        <v>999</v>
      </c>
      <c r="L299" s="45">
        <f t="shared" si="25"/>
        <v>999</v>
      </c>
      <c r="M299" s="45">
        <v>999</v>
      </c>
      <c r="N299" s="45">
        <v>999</v>
      </c>
      <c r="O299" s="45">
        <f t="shared" si="26"/>
        <v>899</v>
      </c>
      <c r="P299" s="46">
        <f t="shared" si="26"/>
        <v>799</v>
      </c>
      <c r="Q299" s="46">
        <f t="shared" si="26"/>
        <v>699</v>
      </c>
      <c r="R299" s="45">
        <v>899</v>
      </c>
      <c r="S299" s="45">
        <v>799</v>
      </c>
      <c r="T299" s="45">
        <v>699</v>
      </c>
      <c r="U299" s="45">
        <v>699</v>
      </c>
      <c r="V299" s="45">
        <v>699</v>
      </c>
      <c r="W299" s="45">
        <v>699</v>
      </c>
      <c r="X299" s="45">
        <v>649</v>
      </c>
      <c r="Y299" s="45">
        <v>599</v>
      </c>
      <c r="Z299" s="45">
        <v>599</v>
      </c>
      <c r="AA299" s="45">
        <v>579</v>
      </c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7"/>
      <c r="AW299" s="48" t="s">
        <v>67</v>
      </c>
      <c r="AX299" s="49" t="s">
        <v>68</v>
      </c>
      <c r="AY299" s="50">
        <f t="shared" si="20"/>
        <v>26.239799999999999</v>
      </c>
      <c r="AZ299" s="50">
        <f t="shared" si="21"/>
        <v>23.6418</v>
      </c>
      <c r="BA299" s="51">
        <f t="shared" si="22"/>
        <v>13.3797</v>
      </c>
    </row>
    <row r="300" spans="1:53" ht="22.5" customHeight="1">
      <c r="A300" s="57" t="s">
        <v>247</v>
      </c>
      <c r="B300" s="42" t="s">
        <v>64</v>
      </c>
      <c r="C300" s="43">
        <v>4015915</v>
      </c>
      <c r="D300" s="58" t="s">
        <v>468</v>
      </c>
      <c r="E300" s="58" t="s">
        <v>471</v>
      </c>
      <c r="F300" s="45">
        <v>1599</v>
      </c>
      <c r="G300" s="45">
        <v>1299</v>
      </c>
      <c r="H300" s="45">
        <v>1299</v>
      </c>
      <c r="I300" s="45">
        <v>1299</v>
      </c>
      <c r="J300" s="45">
        <f t="shared" si="24"/>
        <v>999</v>
      </c>
      <c r="K300" s="45">
        <f t="shared" si="25"/>
        <v>999</v>
      </c>
      <c r="L300" s="45">
        <f t="shared" si="25"/>
        <v>999</v>
      </c>
      <c r="M300" s="45">
        <v>999</v>
      </c>
      <c r="N300" s="45">
        <v>999</v>
      </c>
      <c r="O300" s="45">
        <f t="shared" si="26"/>
        <v>899</v>
      </c>
      <c r="P300" s="46">
        <f t="shared" si="26"/>
        <v>799</v>
      </c>
      <c r="Q300" s="46">
        <f t="shared" si="26"/>
        <v>699</v>
      </c>
      <c r="R300" s="45">
        <v>899</v>
      </c>
      <c r="S300" s="45">
        <v>799</v>
      </c>
      <c r="T300" s="45">
        <v>699</v>
      </c>
      <c r="U300" s="45">
        <v>699</v>
      </c>
      <c r="V300" s="45">
        <v>699</v>
      </c>
      <c r="W300" s="45">
        <v>699</v>
      </c>
      <c r="X300" s="45">
        <v>649</v>
      </c>
      <c r="Y300" s="45">
        <v>599</v>
      </c>
      <c r="Z300" s="45">
        <v>599</v>
      </c>
      <c r="AA300" s="45">
        <v>579</v>
      </c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7"/>
      <c r="AW300" s="48" t="s">
        <v>67</v>
      </c>
      <c r="AX300" s="49" t="s">
        <v>68</v>
      </c>
      <c r="AY300" s="50">
        <f t="shared" si="20"/>
        <v>26.239799999999999</v>
      </c>
      <c r="AZ300" s="50">
        <f t="shared" si="21"/>
        <v>23.6418</v>
      </c>
      <c r="BA300" s="51">
        <f t="shared" si="22"/>
        <v>13.3797</v>
      </c>
    </row>
    <row r="301" spans="1:53" ht="22.5" customHeight="1">
      <c r="A301" s="57" t="s">
        <v>247</v>
      </c>
      <c r="B301" s="42" t="s">
        <v>64</v>
      </c>
      <c r="C301" s="43">
        <v>4015935</v>
      </c>
      <c r="D301" s="58" t="s">
        <v>472</v>
      </c>
      <c r="E301" s="58" t="s">
        <v>473</v>
      </c>
      <c r="F301" s="45">
        <v>2999</v>
      </c>
      <c r="G301" s="45">
        <v>1649</v>
      </c>
      <c r="H301" s="45">
        <v>1649</v>
      </c>
      <c r="I301" s="45">
        <v>1649</v>
      </c>
      <c r="J301" s="45">
        <v>1599</v>
      </c>
      <c r="K301" s="45">
        <v>1499</v>
      </c>
      <c r="L301" s="45">
        <v>1499</v>
      </c>
      <c r="M301" s="45">
        <v>1599</v>
      </c>
      <c r="N301" s="45">
        <v>1499</v>
      </c>
      <c r="O301" s="45">
        <v>1399</v>
      </c>
      <c r="P301" s="46">
        <v>1299</v>
      </c>
      <c r="Q301" s="46">
        <v>999</v>
      </c>
      <c r="R301" s="45">
        <v>1399</v>
      </c>
      <c r="S301" s="45">
        <v>1299</v>
      </c>
      <c r="T301" s="45">
        <v>999</v>
      </c>
      <c r="U301" s="45">
        <v>999</v>
      </c>
      <c r="V301" s="45">
        <v>999</v>
      </c>
      <c r="W301" s="45">
        <v>999</v>
      </c>
      <c r="X301" s="45">
        <v>999</v>
      </c>
      <c r="Y301" s="45">
        <v>999</v>
      </c>
      <c r="Z301" s="45">
        <v>999</v>
      </c>
      <c r="AA301" s="45">
        <v>999</v>
      </c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7"/>
      <c r="AW301" s="48" t="s">
        <v>67</v>
      </c>
      <c r="AX301" s="49" t="s">
        <v>68</v>
      </c>
      <c r="AY301" s="50">
        <f t="shared" ref="AY301:AY364" si="27">$H301*AY$11</f>
        <v>33.309799999999996</v>
      </c>
      <c r="AZ301" s="50">
        <f t="shared" ref="AZ301:AZ364" si="28">($H301*AZ$11)</f>
        <v>30.011800000000001</v>
      </c>
      <c r="BA301" s="51">
        <f t="shared" ref="BA301:BA364" si="29">$H301*BA$11</f>
        <v>16.9847</v>
      </c>
    </row>
    <row r="302" spans="1:53" ht="22.5" customHeight="1">
      <c r="A302" s="57" t="s">
        <v>247</v>
      </c>
      <c r="B302" s="42" t="s">
        <v>64</v>
      </c>
      <c r="C302" s="43">
        <v>4016155</v>
      </c>
      <c r="D302" s="58" t="s">
        <v>472</v>
      </c>
      <c r="E302" s="58" t="s">
        <v>474</v>
      </c>
      <c r="F302" s="45">
        <v>2999</v>
      </c>
      <c r="G302" s="45">
        <v>1649</v>
      </c>
      <c r="H302" s="45">
        <v>1649</v>
      </c>
      <c r="I302" s="45">
        <v>1649</v>
      </c>
      <c r="J302" s="45">
        <v>1599</v>
      </c>
      <c r="K302" s="45">
        <v>1499</v>
      </c>
      <c r="L302" s="45">
        <v>1499</v>
      </c>
      <c r="M302" s="45">
        <v>1599</v>
      </c>
      <c r="N302" s="45">
        <v>1499</v>
      </c>
      <c r="O302" s="45">
        <v>1399</v>
      </c>
      <c r="P302" s="46">
        <v>1299</v>
      </c>
      <c r="Q302" s="46">
        <v>999</v>
      </c>
      <c r="R302" s="45">
        <v>1399</v>
      </c>
      <c r="S302" s="45">
        <v>1299</v>
      </c>
      <c r="T302" s="45">
        <v>999</v>
      </c>
      <c r="U302" s="45">
        <v>999</v>
      </c>
      <c r="V302" s="45">
        <v>999</v>
      </c>
      <c r="W302" s="45">
        <v>999</v>
      </c>
      <c r="X302" s="45">
        <v>999</v>
      </c>
      <c r="Y302" s="45">
        <v>999</v>
      </c>
      <c r="Z302" s="45">
        <v>999</v>
      </c>
      <c r="AA302" s="45">
        <v>999</v>
      </c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7"/>
      <c r="AW302" s="48" t="s">
        <v>67</v>
      </c>
      <c r="AX302" s="49" t="s">
        <v>68</v>
      </c>
      <c r="AY302" s="50">
        <f t="shared" si="27"/>
        <v>33.309799999999996</v>
      </c>
      <c r="AZ302" s="50">
        <f t="shared" si="28"/>
        <v>30.011800000000001</v>
      </c>
      <c r="BA302" s="51">
        <f t="shared" si="29"/>
        <v>16.9847</v>
      </c>
    </row>
    <row r="303" spans="1:53" ht="22.5" customHeight="1">
      <c r="A303" s="57" t="s">
        <v>247</v>
      </c>
      <c r="B303" s="42" t="s">
        <v>64</v>
      </c>
      <c r="C303" s="43">
        <v>4015939</v>
      </c>
      <c r="D303" s="58" t="s">
        <v>472</v>
      </c>
      <c r="E303" s="58" t="s">
        <v>475</v>
      </c>
      <c r="F303" s="45">
        <v>2999</v>
      </c>
      <c r="G303" s="45">
        <v>1649</v>
      </c>
      <c r="H303" s="45">
        <v>1649</v>
      </c>
      <c r="I303" s="45">
        <v>1649</v>
      </c>
      <c r="J303" s="45">
        <v>1599</v>
      </c>
      <c r="K303" s="45">
        <v>1499</v>
      </c>
      <c r="L303" s="45">
        <v>1499</v>
      </c>
      <c r="M303" s="45">
        <v>1599</v>
      </c>
      <c r="N303" s="45">
        <v>1499</v>
      </c>
      <c r="O303" s="45">
        <v>1399</v>
      </c>
      <c r="P303" s="46">
        <v>1299</v>
      </c>
      <c r="Q303" s="46">
        <v>999</v>
      </c>
      <c r="R303" s="45">
        <v>1399</v>
      </c>
      <c r="S303" s="45">
        <v>1299</v>
      </c>
      <c r="T303" s="45">
        <v>999</v>
      </c>
      <c r="U303" s="45">
        <v>999</v>
      </c>
      <c r="V303" s="45">
        <v>999</v>
      </c>
      <c r="W303" s="45">
        <v>999</v>
      </c>
      <c r="X303" s="45">
        <v>999</v>
      </c>
      <c r="Y303" s="45">
        <v>999</v>
      </c>
      <c r="Z303" s="45">
        <v>999</v>
      </c>
      <c r="AA303" s="45">
        <v>999</v>
      </c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7"/>
      <c r="AW303" s="48" t="s">
        <v>67</v>
      </c>
      <c r="AX303" s="49" t="s">
        <v>68</v>
      </c>
      <c r="AY303" s="50">
        <f t="shared" si="27"/>
        <v>33.309799999999996</v>
      </c>
      <c r="AZ303" s="50">
        <f t="shared" si="28"/>
        <v>30.011800000000001</v>
      </c>
      <c r="BA303" s="51">
        <f t="shared" si="29"/>
        <v>16.9847</v>
      </c>
    </row>
    <row r="304" spans="1:53" ht="22.5" customHeight="1">
      <c r="A304" s="57" t="s">
        <v>247</v>
      </c>
      <c r="B304" s="42" t="s">
        <v>64</v>
      </c>
      <c r="C304" s="43">
        <v>4016152</v>
      </c>
      <c r="D304" s="58" t="s">
        <v>472</v>
      </c>
      <c r="E304" s="58" t="s">
        <v>476</v>
      </c>
      <c r="F304" s="45">
        <v>2999</v>
      </c>
      <c r="G304" s="45">
        <v>1649</v>
      </c>
      <c r="H304" s="45">
        <v>1649</v>
      </c>
      <c r="I304" s="45">
        <v>1649</v>
      </c>
      <c r="J304" s="45">
        <v>1599</v>
      </c>
      <c r="K304" s="45">
        <v>1499</v>
      </c>
      <c r="L304" s="45">
        <v>1499</v>
      </c>
      <c r="M304" s="45">
        <v>1599</v>
      </c>
      <c r="N304" s="45">
        <v>1499</v>
      </c>
      <c r="O304" s="45">
        <v>1399</v>
      </c>
      <c r="P304" s="46">
        <v>1299</v>
      </c>
      <c r="Q304" s="46">
        <v>999</v>
      </c>
      <c r="R304" s="45">
        <v>1399</v>
      </c>
      <c r="S304" s="45">
        <v>1299</v>
      </c>
      <c r="T304" s="45">
        <v>999</v>
      </c>
      <c r="U304" s="45">
        <v>999</v>
      </c>
      <c r="V304" s="45">
        <v>999</v>
      </c>
      <c r="W304" s="45">
        <v>999</v>
      </c>
      <c r="X304" s="45">
        <v>999</v>
      </c>
      <c r="Y304" s="45">
        <v>999</v>
      </c>
      <c r="Z304" s="45">
        <v>999</v>
      </c>
      <c r="AA304" s="45">
        <v>999</v>
      </c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7"/>
      <c r="AW304" s="48" t="s">
        <v>67</v>
      </c>
      <c r="AX304" s="49" t="s">
        <v>68</v>
      </c>
      <c r="AY304" s="50">
        <f t="shared" si="27"/>
        <v>33.309799999999996</v>
      </c>
      <c r="AZ304" s="50">
        <f t="shared" si="28"/>
        <v>30.011800000000001</v>
      </c>
      <c r="BA304" s="51">
        <f t="shared" si="29"/>
        <v>16.9847</v>
      </c>
    </row>
    <row r="305" spans="1:53" ht="22.5" customHeight="1">
      <c r="A305" s="57" t="s">
        <v>247</v>
      </c>
      <c r="B305" s="42" t="s">
        <v>64</v>
      </c>
      <c r="C305" s="43">
        <v>4016159</v>
      </c>
      <c r="D305" s="58" t="s">
        <v>472</v>
      </c>
      <c r="E305" s="58" t="s">
        <v>477</v>
      </c>
      <c r="F305" s="45">
        <v>2999</v>
      </c>
      <c r="G305" s="45">
        <v>1649</v>
      </c>
      <c r="H305" s="45">
        <v>1649</v>
      </c>
      <c r="I305" s="45">
        <v>1649</v>
      </c>
      <c r="J305" s="45">
        <v>1599</v>
      </c>
      <c r="K305" s="45">
        <v>1499</v>
      </c>
      <c r="L305" s="45">
        <v>1499</v>
      </c>
      <c r="M305" s="45">
        <v>1599</v>
      </c>
      <c r="N305" s="45">
        <v>1499</v>
      </c>
      <c r="O305" s="45">
        <v>1399</v>
      </c>
      <c r="P305" s="46">
        <v>1299</v>
      </c>
      <c r="Q305" s="46">
        <v>999</v>
      </c>
      <c r="R305" s="45">
        <v>1399</v>
      </c>
      <c r="S305" s="45">
        <v>1299</v>
      </c>
      <c r="T305" s="45">
        <v>999</v>
      </c>
      <c r="U305" s="45">
        <v>999</v>
      </c>
      <c r="V305" s="45">
        <v>999</v>
      </c>
      <c r="W305" s="45">
        <v>999</v>
      </c>
      <c r="X305" s="45">
        <v>999</v>
      </c>
      <c r="Y305" s="45">
        <v>999</v>
      </c>
      <c r="Z305" s="45">
        <v>999</v>
      </c>
      <c r="AA305" s="45">
        <v>999</v>
      </c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7"/>
      <c r="AW305" s="48" t="s">
        <v>67</v>
      </c>
      <c r="AX305" s="49" t="s">
        <v>68</v>
      </c>
      <c r="AY305" s="50">
        <f t="shared" si="27"/>
        <v>33.309799999999996</v>
      </c>
      <c r="AZ305" s="50">
        <f t="shared" si="28"/>
        <v>30.011800000000001</v>
      </c>
      <c r="BA305" s="51">
        <f t="shared" si="29"/>
        <v>16.9847</v>
      </c>
    </row>
    <row r="306" spans="1:53" ht="22.5" customHeight="1">
      <c r="A306" s="57" t="s">
        <v>247</v>
      </c>
      <c r="B306" s="42" t="s">
        <v>64</v>
      </c>
      <c r="C306" s="43">
        <v>4016147</v>
      </c>
      <c r="D306" s="58" t="s">
        <v>472</v>
      </c>
      <c r="E306" s="58" t="s">
        <v>478</v>
      </c>
      <c r="F306" s="45">
        <v>2999</v>
      </c>
      <c r="G306" s="45">
        <v>1649</v>
      </c>
      <c r="H306" s="45">
        <v>1649</v>
      </c>
      <c r="I306" s="45">
        <v>1649</v>
      </c>
      <c r="J306" s="45">
        <v>1599</v>
      </c>
      <c r="K306" s="45">
        <v>1499</v>
      </c>
      <c r="L306" s="45">
        <v>1499</v>
      </c>
      <c r="M306" s="45">
        <v>1599</v>
      </c>
      <c r="N306" s="45">
        <v>1499</v>
      </c>
      <c r="O306" s="45">
        <v>1399</v>
      </c>
      <c r="P306" s="46">
        <v>1299</v>
      </c>
      <c r="Q306" s="46">
        <v>999</v>
      </c>
      <c r="R306" s="45">
        <v>1399</v>
      </c>
      <c r="S306" s="45">
        <v>1299</v>
      </c>
      <c r="T306" s="45">
        <v>999</v>
      </c>
      <c r="U306" s="45">
        <v>999</v>
      </c>
      <c r="V306" s="45">
        <v>999</v>
      </c>
      <c r="W306" s="45">
        <v>999</v>
      </c>
      <c r="X306" s="45">
        <v>999</v>
      </c>
      <c r="Y306" s="45">
        <v>999</v>
      </c>
      <c r="Z306" s="45">
        <v>999</v>
      </c>
      <c r="AA306" s="45">
        <v>999</v>
      </c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7"/>
      <c r="AW306" s="48" t="s">
        <v>67</v>
      </c>
      <c r="AX306" s="49" t="s">
        <v>68</v>
      </c>
      <c r="AY306" s="50">
        <f t="shared" si="27"/>
        <v>33.309799999999996</v>
      </c>
      <c r="AZ306" s="50">
        <f t="shared" si="28"/>
        <v>30.011800000000001</v>
      </c>
      <c r="BA306" s="51">
        <f t="shared" si="29"/>
        <v>16.9847</v>
      </c>
    </row>
    <row r="307" spans="1:53" ht="22.5" customHeight="1">
      <c r="A307" s="57" t="s">
        <v>247</v>
      </c>
      <c r="B307" s="42" t="s">
        <v>64</v>
      </c>
      <c r="C307" s="43">
        <v>4016974</v>
      </c>
      <c r="D307" s="58" t="s">
        <v>479</v>
      </c>
      <c r="E307" s="58" t="s">
        <v>480</v>
      </c>
      <c r="F307" s="45">
        <v>3099</v>
      </c>
      <c r="G307" s="46">
        <v>1849</v>
      </c>
      <c r="H307" s="46">
        <v>1849</v>
      </c>
      <c r="I307" s="46">
        <v>1849</v>
      </c>
      <c r="J307" s="46">
        <v>1799</v>
      </c>
      <c r="K307" s="46">
        <v>1599</v>
      </c>
      <c r="L307" s="46">
        <v>1599</v>
      </c>
      <c r="M307" s="46">
        <v>1799</v>
      </c>
      <c r="N307" s="46">
        <v>1599</v>
      </c>
      <c r="O307" s="46">
        <v>1549</v>
      </c>
      <c r="P307" s="46">
        <v>1499</v>
      </c>
      <c r="Q307" s="46">
        <v>1299</v>
      </c>
      <c r="R307" s="46">
        <v>1549</v>
      </c>
      <c r="S307" s="46">
        <v>1499</v>
      </c>
      <c r="T307" s="46">
        <v>1299</v>
      </c>
      <c r="U307" s="46">
        <v>1299</v>
      </c>
      <c r="V307" s="46">
        <v>1299</v>
      </c>
      <c r="W307" s="46">
        <v>1299</v>
      </c>
      <c r="X307" s="46">
        <v>1299</v>
      </c>
      <c r="Y307" s="46">
        <v>1299</v>
      </c>
      <c r="Z307" s="46">
        <v>1299</v>
      </c>
      <c r="AA307" s="46">
        <v>1299</v>
      </c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7"/>
      <c r="AW307" s="48" t="s">
        <v>67</v>
      </c>
      <c r="AX307" s="49" t="s">
        <v>68</v>
      </c>
      <c r="AY307" s="50">
        <f t="shared" si="27"/>
        <v>37.349800000000002</v>
      </c>
      <c r="AZ307" s="50">
        <f t="shared" si="28"/>
        <v>33.651800000000001</v>
      </c>
      <c r="BA307" s="51">
        <f t="shared" si="29"/>
        <v>19.044699999999999</v>
      </c>
    </row>
    <row r="308" spans="1:53" ht="22.5" customHeight="1">
      <c r="A308" s="57" t="s">
        <v>247</v>
      </c>
      <c r="B308" s="42" t="s">
        <v>64</v>
      </c>
      <c r="C308" s="43">
        <v>4016989</v>
      </c>
      <c r="D308" s="58" t="s">
        <v>479</v>
      </c>
      <c r="E308" s="58" t="s">
        <v>481</v>
      </c>
      <c r="F308" s="45">
        <v>3099</v>
      </c>
      <c r="G308" s="46">
        <v>1849</v>
      </c>
      <c r="H308" s="46">
        <v>1849</v>
      </c>
      <c r="I308" s="46">
        <v>1849</v>
      </c>
      <c r="J308" s="46">
        <v>1799</v>
      </c>
      <c r="K308" s="46">
        <v>1599</v>
      </c>
      <c r="L308" s="46">
        <v>1599</v>
      </c>
      <c r="M308" s="46">
        <v>1799</v>
      </c>
      <c r="N308" s="46">
        <v>1599</v>
      </c>
      <c r="O308" s="46">
        <v>1549</v>
      </c>
      <c r="P308" s="46">
        <v>1499</v>
      </c>
      <c r="Q308" s="46">
        <v>1299</v>
      </c>
      <c r="R308" s="46">
        <v>1549</v>
      </c>
      <c r="S308" s="46">
        <v>1499</v>
      </c>
      <c r="T308" s="46">
        <v>1299</v>
      </c>
      <c r="U308" s="46">
        <v>1299</v>
      </c>
      <c r="V308" s="46">
        <v>1299</v>
      </c>
      <c r="W308" s="46">
        <v>1299</v>
      </c>
      <c r="X308" s="46">
        <v>1299</v>
      </c>
      <c r="Y308" s="46">
        <v>1299</v>
      </c>
      <c r="Z308" s="46">
        <v>1299</v>
      </c>
      <c r="AA308" s="46">
        <v>1299</v>
      </c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7"/>
      <c r="AW308" s="48" t="s">
        <v>67</v>
      </c>
      <c r="AX308" s="49" t="s">
        <v>68</v>
      </c>
      <c r="AY308" s="50">
        <f t="shared" si="27"/>
        <v>37.349800000000002</v>
      </c>
      <c r="AZ308" s="50">
        <f t="shared" si="28"/>
        <v>33.651800000000001</v>
      </c>
      <c r="BA308" s="51">
        <f t="shared" si="29"/>
        <v>19.044699999999999</v>
      </c>
    </row>
    <row r="309" spans="1:53" ht="22.5" customHeight="1">
      <c r="A309" s="57" t="s">
        <v>247</v>
      </c>
      <c r="B309" s="42" t="s">
        <v>64</v>
      </c>
      <c r="C309" s="43">
        <v>4016978</v>
      </c>
      <c r="D309" s="58" t="s">
        <v>479</v>
      </c>
      <c r="E309" s="58" t="s">
        <v>482</v>
      </c>
      <c r="F309" s="45">
        <v>3099</v>
      </c>
      <c r="G309" s="46">
        <v>1849</v>
      </c>
      <c r="H309" s="46">
        <v>1849</v>
      </c>
      <c r="I309" s="46">
        <v>1849</v>
      </c>
      <c r="J309" s="46">
        <v>1799</v>
      </c>
      <c r="K309" s="46">
        <v>1599</v>
      </c>
      <c r="L309" s="46">
        <v>1599</v>
      </c>
      <c r="M309" s="46">
        <v>1799</v>
      </c>
      <c r="N309" s="46">
        <v>1599</v>
      </c>
      <c r="O309" s="46">
        <v>1549</v>
      </c>
      <c r="P309" s="46">
        <v>1499</v>
      </c>
      <c r="Q309" s="46">
        <v>1299</v>
      </c>
      <c r="R309" s="46">
        <v>1549</v>
      </c>
      <c r="S309" s="46">
        <v>1499</v>
      </c>
      <c r="T309" s="46">
        <v>1299</v>
      </c>
      <c r="U309" s="46">
        <v>1299</v>
      </c>
      <c r="V309" s="46">
        <v>1299</v>
      </c>
      <c r="W309" s="46">
        <v>1299</v>
      </c>
      <c r="X309" s="46">
        <v>1299</v>
      </c>
      <c r="Y309" s="46">
        <v>1299</v>
      </c>
      <c r="Z309" s="46">
        <v>1299</v>
      </c>
      <c r="AA309" s="46">
        <v>1299</v>
      </c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7"/>
      <c r="AW309" s="48" t="s">
        <v>67</v>
      </c>
      <c r="AX309" s="49" t="s">
        <v>68</v>
      </c>
      <c r="AY309" s="50">
        <f t="shared" si="27"/>
        <v>37.349800000000002</v>
      </c>
      <c r="AZ309" s="50">
        <f t="shared" si="28"/>
        <v>33.651800000000001</v>
      </c>
      <c r="BA309" s="51">
        <f t="shared" si="29"/>
        <v>19.044699999999999</v>
      </c>
    </row>
    <row r="310" spans="1:53" ht="22.5" customHeight="1">
      <c r="A310" s="57" t="s">
        <v>247</v>
      </c>
      <c r="B310" s="42" t="s">
        <v>64</v>
      </c>
      <c r="C310" s="43">
        <v>4016994</v>
      </c>
      <c r="D310" s="58" t="s">
        <v>479</v>
      </c>
      <c r="E310" s="58" t="s">
        <v>483</v>
      </c>
      <c r="F310" s="45">
        <v>3099</v>
      </c>
      <c r="G310" s="46">
        <v>1849</v>
      </c>
      <c r="H310" s="46">
        <v>1849</v>
      </c>
      <c r="I310" s="46">
        <v>1849</v>
      </c>
      <c r="J310" s="46">
        <v>1799</v>
      </c>
      <c r="K310" s="46">
        <v>1599</v>
      </c>
      <c r="L310" s="46">
        <v>1599</v>
      </c>
      <c r="M310" s="46">
        <v>1799</v>
      </c>
      <c r="N310" s="46">
        <v>1599</v>
      </c>
      <c r="O310" s="46">
        <v>1549</v>
      </c>
      <c r="P310" s="46">
        <v>1499</v>
      </c>
      <c r="Q310" s="46">
        <v>1299</v>
      </c>
      <c r="R310" s="46">
        <v>1549</v>
      </c>
      <c r="S310" s="46">
        <v>1499</v>
      </c>
      <c r="T310" s="46">
        <v>1299</v>
      </c>
      <c r="U310" s="46">
        <v>1299</v>
      </c>
      <c r="V310" s="46">
        <v>1299</v>
      </c>
      <c r="W310" s="46">
        <v>1299</v>
      </c>
      <c r="X310" s="46">
        <v>1299</v>
      </c>
      <c r="Y310" s="46">
        <v>1299</v>
      </c>
      <c r="Z310" s="46">
        <v>1299</v>
      </c>
      <c r="AA310" s="46">
        <v>1299</v>
      </c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7"/>
      <c r="AW310" s="48" t="s">
        <v>67</v>
      </c>
      <c r="AX310" s="49" t="s">
        <v>68</v>
      </c>
      <c r="AY310" s="50">
        <f t="shared" si="27"/>
        <v>37.349800000000002</v>
      </c>
      <c r="AZ310" s="50">
        <f t="shared" si="28"/>
        <v>33.651800000000001</v>
      </c>
      <c r="BA310" s="51">
        <f t="shared" si="29"/>
        <v>19.044699999999999</v>
      </c>
    </row>
    <row r="311" spans="1:53" ht="22.5" customHeight="1">
      <c r="A311" s="57" t="s">
        <v>247</v>
      </c>
      <c r="B311" s="42" t="s">
        <v>64</v>
      </c>
      <c r="C311" s="43">
        <v>4017060</v>
      </c>
      <c r="D311" s="58" t="s">
        <v>479</v>
      </c>
      <c r="E311" s="58" t="s">
        <v>484</v>
      </c>
      <c r="F311" s="45">
        <v>3099</v>
      </c>
      <c r="G311" s="46">
        <v>1849</v>
      </c>
      <c r="H311" s="46">
        <v>1849</v>
      </c>
      <c r="I311" s="46">
        <v>1849</v>
      </c>
      <c r="J311" s="46">
        <v>1799</v>
      </c>
      <c r="K311" s="46">
        <v>1599</v>
      </c>
      <c r="L311" s="46">
        <v>1599</v>
      </c>
      <c r="M311" s="46">
        <v>1799</v>
      </c>
      <c r="N311" s="46">
        <v>1599</v>
      </c>
      <c r="O311" s="46">
        <v>1549</v>
      </c>
      <c r="P311" s="46">
        <v>1499</v>
      </c>
      <c r="Q311" s="46">
        <v>1299</v>
      </c>
      <c r="R311" s="46">
        <v>1549</v>
      </c>
      <c r="S311" s="46">
        <v>1499</v>
      </c>
      <c r="T311" s="46">
        <v>1299</v>
      </c>
      <c r="U311" s="46">
        <v>1299</v>
      </c>
      <c r="V311" s="46">
        <v>1299</v>
      </c>
      <c r="W311" s="46">
        <v>1299</v>
      </c>
      <c r="X311" s="46">
        <v>1299</v>
      </c>
      <c r="Y311" s="46">
        <v>1299</v>
      </c>
      <c r="Z311" s="46">
        <v>1299</v>
      </c>
      <c r="AA311" s="46">
        <v>1299</v>
      </c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7"/>
      <c r="AW311" s="48" t="s">
        <v>67</v>
      </c>
      <c r="AX311" s="49" t="s">
        <v>68</v>
      </c>
      <c r="AY311" s="50">
        <f t="shared" si="27"/>
        <v>37.349800000000002</v>
      </c>
      <c r="AZ311" s="50">
        <f t="shared" si="28"/>
        <v>33.651800000000001</v>
      </c>
      <c r="BA311" s="51">
        <f t="shared" si="29"/>
        <v>19.044699999999999</v>
      </c>
    </row>
    <row r="312" spans="1:53" ht="22.5" customHeight="1">
      <c r="A312" s="57" t="s">
        <v>247</v>
      </c>
      <c r="B312" s="42" t="s">
        <v>64</v>
      </c>
      <c r="C312" s="43">
        <v>4017063</v>
      </c>
      <c r="D312" s="58" t="s">
        <v>479</v>
      </c>
      <c r="E312" s="58" t="s">
        <v>485</v>
      </c>
      <c r="F312" s="45">
        <v>3099</v>
      </c>
      <c r="G312" s="46">
        <v>1849</v>
      </c>
      <c r="H312" s="46">
        <v>1849</v>
      </c>
      <c r="I312" s="46">
        <v>1849</v>
      </c>
      <c r="J312" s="46">
        <v>1799</v>
      </c>
      <c r="K312" s="46">
        <v>1599</v>
      </c>
      <c r="L312" s="46">
        <v>1599</v>
      </c>
      <c r="M312" s="46">
        <v>1799</v>
      </c>
      <c r="N312" s="46">
        <v>1599</v>
      </c>
      <c r="O312" s="46">
        <v>1549</v>
      </c>
      <c r="P312" s="46">
        <v>1499</v>
      </c>
      <c r="Q312" s="46">
        <v>1299</v>
      </c>
      <c r="R312" s="46">
        <v>1549</v>
      </c>
      <c r="S312" s="46">
        <v>1499</v>
      </c>
      <c r="T312" s="46">
        <v>1299</v>
      </c>
      <c r="U312" s="46">
        <v>1299</v>
      </c>
      <c r="V312" s="46">
        <v>1299</v>
      </c>
      <c r="W312" s="46">
        <v>1299</v>
      </c>
      <c r="X312" s="46">
        <v>1299</v>
      </c>
      <c r="Y312" s="46">
        <v>1299</v>
      </c>
      <c r="Z312" s="46">
        <v>1299</v>
      </c>
      <c r="AA312" s="46">
        <v>1299</v>
      </c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7"/>
      <c r="AW312" s="48" t="s">
        <v>67</v>
      </c>
      <c r="AX312" s="49" t="s">
        <v>68</v>
      </c>
      <c r="AY312" s="50">
        <f t="shared" si="27"/>
        <v>37.349800000000002</v>
      </c>
      <c r="AZ312" s="50">
        <f t="shared" si="28"/>
        <v>33.651800000000001</v>
      </c>
      <c r="BA312" s="51">
        <f t="shared" si="29"/>
        <v>19.044699999999999</v>
      </c>
    </row>
    <row r="313" spans="1:53" ht="22.5" customHeight="1">
      <c r="A313" s="57" t="s">
        <v>247</v>
      </c>
      <c r="B313" s="42" t="s">
        <v>64</v>
      </c>
      <c r="C313" s="43">
        <v>4017856</v>
      </c>
      <c r="D313" s="59" t="s">
        <v>486</v>
      </c>
      <c r="E313" s="58" t="s">
        <v>487</v>
      </c>
      <c r="F313" s="45">
        <v>3599</v>
      </c>
      <c r="G313" s="45">
        <v>2199</v>
      </c>
      <c r="H313" s="45">
        <v>2199</v>
      </c>
      <c r="I313" s="45">
        <v>2199</v>
      </c>
      <c r="J313" s="45">
        <v>2099</v>
      </c>
      <c r="K313" s="45">
        <v>2099</v>
      </c>
      <c r="L313" s="45">
        <v>2099</v>
      </c>
      <c r="M313" s="45">
        <v>2099</v>
      </c>
      <c r="N313" s="45">
        <v>2099</v>
      </c>
      <c r="O313" s="45">
        <v>2049</v>
      </c>
      <c r="P313" s="46">
        <v>1999</v>
      </c>
      <c r="Q313" s="53">
        <v>1299</v>
      </c>
      <c r="R313" s="45">
        <v>2049</v>
      </c>
      <c r="S313" s="45">
        <v>1999</v>
      </c>
      <c r="T313" s="54">
        <v>1299</v>
      </c>
      <c r="U313" s="54">
        <v>1299</v>
      </c>
      <c r="V313" s="54">
        <v>1299</v>
      </c>
      <c r="W313" s="54">
        <v>1299</v>
      </c>
      <c r="X313" s="54">
        <v>1299</v>
      </c>
      <c r="Y313" s="54">
        <v>1299</v>
      </c>
      <c r="Z313" s="54">
        <v>1299</v>
      </c>
      <c r="AA313" s="54">
        <v>1299</v>
      </c>
      <c r="AB313" s="45">
        <v>2099</v>
      </c>
      <c r="AC313" s="45">
        <v>2099</v>
      </c>
      <c r="AD313" s="45">
        <v>2099</v>
      </c>
      <c r="AE313" s="45">
        <v>2099</v>
      </c>
      <c r="AF313" s="45">
        <v>2049</v>
      </c>
      <c r="AG313" s="45">
        <v>1999</v>
      </c>
      <c r="AH313" s="54">
        <v>1299</v>
      </c>
      <c r="AI313" s="54">
        <v>1299</v>
      </c>
      <c r="AJ313" s="54">
        <v>1299</v>
      </c>
      <c r="AK313" s="54">
        <v>1299</v>
      </c>
      <c r="AL313" s="54">
        <v>1299</v>
      </c>
      <c r="AM313" s="45"/>
      <c r="AN313" s="45"/>
      <c r="AO313" s="45"/>
      <c r="AP313" s="45"/>
      <c r="AQ313" s="45"/>
      <c r="AR313" s="45"/>
      <c r="AS313" s="45"/>
      <c r="AT313" s="45"/>
      <c r="AU313" s="45"/>
      <c r="AV313" s="47"/>
      <c r="AW313" s="48" t="s">
        <v>67</v>
      </c>
      <c r="AX313" s="49" t="s">
        <v>68</v>
      </c>
      <c r="AY313" s="55">
        <f t="shared" si="27"/>
        <v>44.419799999999995</v>
      </c>
      <c r="AZ313" s="55">
        <f t="shared" si="28"/>
        <v>40.021799999999999</v>
      </c>
      <c r="BA313" s="56">
        <f t="shared" si="29"/>
        <v>22.649699999999999</v>
      </c>
    </row>
    <row r="314" spans="1:53" ht="22.5" customHeight="1">
      <c r="A314" s="57" t="s">
        <v>247</v>
      </c>
      <c r="B314" s="42" t="s">
        <v>64</v>
      </c>
      <c r="C314" s="43">
        <v>4017873</v>
      </c>
      <c r="D314" s="59" t="s">
        <v>486</v>
      </c>
      <c r="E314" s="58" t="s">
        <v>488</v>
      </c>
      <c r="F314" s="45">
        <v>3599</v>
      </c>
      <c r="G314" s="45">
        <v>2199</v>
      </c>
      <c r="H314" s="45">
        <v>2199</v>
      </c>
      <c r="I314" s="45">
        <v>2199</v>
      </c>
      <c r="J314" s="45">
        <v>2099</v>
      </c>
      <c r="K314" s="45">
        <v>2099</v>
      </c>
      <c r="L314" s="45">
        <v>2099</v>
      </c>
      <c r="M314" s="45">
        <v>2099</v>
      </c>
      <c r="N314" s="45">
        <v>2099</v>
      </c>
      <c r="O314" s="45">
        <v>2049</v>
      </c>
      <c r="P314" s="46">
        <v>1999</v>
      </c>
      <c r="Q314" s="53">
        <v>1299</v>
      </c>
      <c r="R314" s="45">
        <v>2049</v>
      </c>
      <c r="S314" s="45">
        <v>1999</v>
      </c>
      <c r="T314" s="54">
        <v>1299</v>
      </c>
      <c r="U314" s="54">
        <v>1299</v>
      </c>
      <c r="V314" s="54">
        <v>1299</v>
      </c>
      <c r="W314" s="54">
        <v>1299</v>
      </c>
      <c r="X314" s="54">
        <v>1299</v>
      </c>
      <c r="Y314" s="54">
        <v>1299</v>
      </c>
      <c r="Z314" s="54">
        <v>1299</v>
      </c>
      <c r="AA314" s="54">
        <v>1299</v>
      </c>
      <c r="AB314" s="45">
        <v>2099</v>
      </c>
      <c r="AC314" s="45">
        <v>2099</v>
      </c>
      <c r="AD314" s="45">
        <v>2099</v>
      </c>
      <c r="AE314" s="45">
        <v>2099</v>
      </c>
      <c r="AF314" s="45">
        <v>2049</v>
      </c>
      <c r="AG314" s="45">
        <v>1999</v>
      </c>
      <c r="AH314" s="54">
        <v>1299</v>
      </c>
      <c r="AI314" s="54">
        <v>1299</v>
      </c>
      <c r="AJ314" s="54">
        <v>1299</v>
      </c>
      <c r="AK314" s="54">
        <v>1299</v>
      </c>
      <c r="AL314" s="54">
        <v>1299</v>
      </c>
      <c r="AM314" s="45"/>
      <c r="AN314" s="45"/>
      <c r="AO314" s="45"/>
      <c r="AP314" s="45"/>
      <c r="AQ314" s="45"/>
      <c r="AR314" s="45"/>
      <c r="AS314" s="45"/>
      <c r="AT314" s="45"/>
      <c r="AU314" s="45"/>
      <c r="AV314" s="47"/>
      <c r="AW314" s="48" t="s">
        <v>67</v>
      </c>
      <c r="AX314" s="49" t="s">
        <v>68</v>
      </c>
      <c r="AY314" s="55">
        <f t="shared" si="27"/>
        <v>44.419799999999995</v>
      </c>
      <c r="AZ314" s="55">
        <f t="shared" si="28"/>
        <v>40.021799999999999</v>
      </c>
      <c r="BA314" s="56">
        <f t="shared" si="29"/>
        <v>22.649699999999999</v>
      </c>
    </row>
    <row r="315" spans="1:53" ht="22.5" customHeight="1">
      <c r="A315" s="57" t="s">
        <v>247</v>
      </c>
      <c r="B315" s="42" t="s">
        <v>64</v>
      </c>
      <c r="C315" s="43">
        <v>4017838</v>
      </c>
      <c r="D315" s="59" t="s">
        <v>486</v>
      </c>
      <c r="E315" s="58" t="s">
        <v>489</v>
      </c>
      <c r="F315" s="45">
        <v>3599</v>
      </c>
      <c r="G315" s="45">
        <v>2199</v>
      </c>
      <c r="H315" s="45">
        <v>2199</v>
      </c>
      <c r="I315" s="45">
        <v>2199</v>
      </c>
      <c r="J315" s="45">
        <v>2099</v>
      </c>
      <c r="K315" s="45">
        <v>2099</v>
      </c>
      <c r="L315" s="45">
        <v>2099</v>
      </c>
      <c r="M315" s="45">
        <v>2099</v>
      </c>
      <c r="N315" s="45">
        <v>2099</v>
      </c>
      <c r="O315" s="45">
        <v>2049</v>
      </c>
      <c r="P315" s="46">
        <v>1999</v>
      </c>
      <c r="Q315" s="53">
        <v>1299</v>
      </c>
      <c r="R315" s="45">
        <v>2049</v>
      </c>
      <c r="S315" s="45">
        <v>1999</v>
      </c>
      <c r="T315" s="54">
        <v>1299</v>
      </c>
      <c r="U315" s="54">
        <v>1299</v>
      </c>
      <c r="V315" s="54">
        <v>1299</v>
      </c>
      <c r="W315" s="54">
        <v>1299</v>
      </c>
      <c r="X315" s="54">
        <v>1299</v>
      </c>
      <c r="Y315" s="54">
        <v>1299</v>
      </c>
      <c r="Z315" s="54">
        <v>1299</v>
      </c>
      <c r="AA315" s="54">
        <v>1299</v>
      </c>
      <c r="AB315" s="45">
        <v>2099</v>
      </c>
      <c r="AC315" s="45">
        <v>2099</v>
      </c>
      <c r="AD315" s="45">
        <v>2099</v>
      </c>
      <c r="AE315" s="45">
        <v>2099</v>
      </c>
      <c r="AF315" s="45">
        <v>2049</v>
      </c>
      <c r="AG315" s="45">
        <v>1999</v>
      </c>
      <c r="AH315" s="54">
        <v>1299</v>
      </c>
      <c r="AI315" s="54">
        <v>1299</v>
      </c>
      <c r="AJ315" s="54">
        <v>1299</v>
      </c>
      <c r="AK315" s="54">
        <v>1299</v>
      </c>
      <c r="AL315" s="54">
        <v>1299</v>
      </c>
      <c r="AM315" s="45"/>
      <c r="AN315" s="45"/>
      <c r="AO315" s="45"/>
      <c r="AP315" s="45"/>
      <c r="AQ315" s="45"/>
      <c r="AR315" s="45"/>
      <c r="AS315" s="45"/>
      <c r="AT315" s="45"/>
      <c r="AU315" s="45"/>
      <c r="AV315" s="47"/>
      <c r="AW315" s="48" t="s">
        <v>67</v>
      </c>
      <c r="AX315" s="49" t="s">
        <v>68</v>
      </c>
      <c r="AY315" s="55">
        <f t="shared" si="27"/>
        <v>44.419799999999995</v>
      </c>
      <c r="AZ315" s="55">
        <f t="shared" si="28"/>
        <v>40.021799999999999</v>
      </c>
      <c r="BA315" s="56">
        <f t="shared" si="29"/>
        <v>22.649699999999999</v>
      </c>
    </row>
    <row r="316" spans="1:53" ht="22.5" customHeight="1">
      <c r="A316" s="57" t="s">
        <v>247</v>
      </c>
      <c r="B316" s="42" t="s">
        <v>64</v>
      </c>
      <c r="C316" s="43">
        <v>4017854</v>
      </c>
      <c r="D316" s="59" t="s">
        <v>486</v>
      </c>
      <c r="E316" s="58" t="s">
        <v>490</v>
      </c>
      <c r="F316" s="45">
        <v>3599</v>
      </c>
      <c r="G316" s="45">
        <v>2199</v>
      </c>
      <c r="H316" s="45">
        <v>2199</v>
      </c>
      <c r="I316" s="45">
        <v>2199</v>
      </c>
      <c r="J316" s="45">
        <v>2099</v>
      </c>
      <c r="K316" s="45">
        <v>2099</v>
      </c>
      <c r="L316" s="45">
        <v>2099</v>
      </c>
      <c r="M316" s="45">
        <v>2099</v>
      </c>
      <c r="N316" s="45">
        <v>2099</v>
      </c>
      <c r="O316" s="45">
        <v>2049</v>
      </c>
      <c r="P316" s="46">
        <v>1999</v>
      </c>
      <c r="Q316" s="53">
        <v>1299</v>
      </c>
      <c r="R316" s="45">
        <v>2049</v>
      </c>
      <c r="S316" s="45">
        <v>1999</v>
      </c>
      <c r="T316" s="54">
        <v>1299</v>
      </c>
      <c r="U316" s="54">
        <v>1299</v>
      </c>
      <c r="V316" s="54">
        <v>1299</v>
      </c>
      <c r="W316" s="54">
        <v>1299</v>
      </c>
      <c r="X316" s="54">
        <v>1299</v>
      </c>
      <c r="Y316" s="54">
        <v>1299</v>
      </c>
      <c r="Z316" s="54">
        <v>1299</v>
      </c>
      <c r="AA316" s="54">
        <v>1299</v>
      </c>
      <c r="AB316" s="45">
        <v>2099</v>
      </c>
      <c r="AC316" s="45">
        <v>2099</v>
      </c>
      <c r="AD316" s="45">
        <v>2099</v>
      </c>
      <c r="AE316" s="45">
        <v>2099</v>
      </c>
      <c r="AF316" s="45">
        <v>2049</v>
      </c>
      <c r="AG316" s="45">
        <v>1999</v>
      </c>
      <c r="AH316" s="54">
        <v>1299</v>
      </c>
      <c r="AI316" s="54">
        <v>1299</v>
      </c>
      <c r="AJ316" s="54">
        <v>1299</v>
      </c>
      <c r="AK316" s="54">
        <v>1299</v>
      </c>
      <c r="AL316" s="54">
        <v>1299</v>
      </c>
      <c r="AM316" s="45"/>
      <c r="AN316" s="45"/>
      <c r="AO316" s="45"/>
      <c r="AP316" s="45"/>
      <c r="AQ316" s="45"/>
      <c r="AR316" s="45"/>
      <c r="AS316" s="45"/>
      <c r="AT316" s="45"/>
      <c r="AU316" s="45"/>
      <c r="AV316" s="47"/>
      <c r="AW316" s="48" t="s">
        <v>67</v>
      </c>
      <c r="AX316" s="49" t="s">
        <v>68</v>
      </c>
      <c r="AY316" s="55">
        <f t="shared" si="27"/>
        <v>44.419799999999995</v>
      </c>
      <c r="AZ316" s="55">
        <f t="shared" si="28"/>
        <v>40.021799999999999</v>
      </c>
      <c r="BA316" s="56">
        <f t="shared" si="29"/>
        <v>22.649699999999999</v>
      </c>
    </row>
    <row r="317" spans="1:53" ht="22.5" customHeight="1">
      <c r="A317" s="57" t="s">
        <v>247</v>
      </c>
      <c r="B317" s="42" t="s">
        <v>64</v>
      </c>
      <c r="C317" s="43">
        <v>4017850</v>
      </c>
      <c r="D317" s="59" t="s">
        <v>486</v>
      </c>
      <c r="E317" s="58" t="s">
        <v>491</v>
      </c>
      <c r="F317" s="45">
        <v>3599</v>
      </c>
      <c r="G317" s="45">
        <v>2199</v>
      </c>
      <c r="H317" s="45">
        <v>2199</v>
      </c>
      <c r="I317" s="45">
        <v>2199</v>
      </c>
      <c r="J317" s="45">
        <v>2099</v>
      </c>
      <c r="K317" s="45">
        <v>2099</v>
      </c>
      <c r="L317" s="45">
        <v>2099</v>
      </c>
      <c r="M317" s="45">
        <v>2099</v>
      </c>
      <c r="N317" s="45">
        <v>2099</v>
      </c>
      <c r="O317" s="45">
        <v>2049</v>
      </c>
      <c r="P317" s="46">
        <v>1999</v>
      </c>
      <c r="Q317" s="53">
        <v>1299</v>
      </c>
      <c r="R317" s="45">
        <v>2049</v>
      </c>
      <c r="S317" s="45">
        <v>1999</v>
      </c>
      <c r="T317" s="54">
        <v>1299</v>
      </c>
      <c r="U317" s="54">
        <v>1299</v>
      </c>
      <c r="V317" s="54">
        <v>1299</v>
      </c>
      <c r="W317" s="54">
        <v>1299</v>
      </c>
      <c r="X317" s="54">
        <v>1299</v>
      </c>
      <c r="Y317" s="54">
        <v>1299</v>
      </c>
      <c r="Z317" s="54">
        <v>1299</v>
      </c>
      <c r="AA317" s="54">
        <v>1299</v>
      </c>
      <c r="AB317" s="45">
        <v>2099</v>
      </c>
      <c r="AC317" s="45">
        <v>2099</v>
      </c>
      <c r="AD317" s="45">
        <v>2099</v>
      </c>
      <c r="AE317" s="45">
        <v>2099</v>
      </c>
      <c r="AF317" s="45">
        <v>2049</v>
      </c>
      <c r="AG317" s="45">
        <v>1999</v>
      </c>
      <c r="AH317" s="54">
        <v>1299</v>
      </c>
      <c r="AI317" s="54">
        <v>1299</v>
      </c>
      <c r="AJ317" s="54">
        <v>1299</v>
      </c>
      <c r="AK317" s="54">
        <v>1299</v>
      </c>
      <c r="AL317" s="54">
        <v>1299</v>
      </c>
      <c r="AM317" s="45"/>
      <c r="AN317" s="45"/>
      <c r="AO317" s="45"/>
      <c r="AP317" s="45"/>
      <c r="AQ317" s="45"/>
      <c r="AR317" s="45"/>
      <c r="AS317" s="45"/>
      <c r="AT317" s="45"/>
      <c r="AU317" s="45"/>
      <c r="AV317" s="47"/>
      <c r="AW317" s="48" t="s">
        <v>67</v>
      </c>
      <c r="AX317" s="49" t="s">
        <v>68</v>
      </c>
      <c r="AY317" s="55">
        <f t="shared" si="27"/>
        <v>44.419799999999995</v>
      </c>
      <c r="AZ317" s="55">
        <f t="shared" si="28"/>
        <v>40.021799999999999</v>
      </c>
      <c r="BA317" s="56">
        <f t="shared" si="29"/>
        <v>22.649699999999999</v>
      </c>
    </row>
    <row r="318" spans="1:53" ht="22.5" customHeight="1">
      <c r="A318" s="57" t="s">
        <v>247</v>
      </c>
      <c r="B318" s="42" t="s">
        <v>64</v>
      </c>
      <c r="C318" s="43">
        <v>4017869</v>
      </c>
      <c r="D318" s="59" t="s">
        <v>486</v>
      </c>
      <c r="E318" s="58" t="s">
        <v>492</v>
      </c>
      <c r="F318" s="45">
        <v>3599</v>
      </c>
      <c r="G318" s="45">
        <v>2199</v>
      </c>
      <c r="H318" s="45">
        <v>2199</v>
      </c>
      <c r="I318" s="45">
        <v>2199</v>
      </c>
      <c r="J318" s="45">
        <v>2099</v>
      </c>
      <c r="K318" s="45">
        <v>2099</v>
      </c>
      <c r="L318" s="45">
        <v>2099</v>
      </c>
      <c r="M318" s="45">
        <v>2099</v>
      </c>
      <c r="N318" s="45">
        <v>2099</v>
      </c>
      <c r="O318" s="45">
        <v>2049</v>
      </c>
      <c r="P318" s="46">
        <v>1999</v>
      </c>
      <c r="Q318" s="53">
        <v>1299</v>
      </c>
      <c r="R318" s="45">
        <v>2049</v>
      </c>
      <c r="S318" s="45">
        <v>1999</v>
      </c>
      <c r="T318" s="54">
        <v>1299</v>
      </c>
      <c r="U318" s="54">
        <v>1299</v>
      </c>
      <c r="V318" s="54">
        <v>1299</v>
      </c>
      <c r="W318" s="54">
        <v>1299</v>
      </c>
      <c r="X318" s="54">
        <v>1299</v>
      </c>
      <c r="Y318" s="54">
        <v>1299</v>
      </c>
      <c r="Z318" s="54">
        <v>1299</v>
      </c>
      <c r="AA318" s="54">
        <v>1299</v>
      </c>
      <c r="AB318" s="45">
        <v>2099</v>
      </c>
      <c r="AC318" s="45">
        <v>2099</v>
      </c>
      <c r="AD318" s="45">
        <v>2099</v>
      </c>
      <c r="AE318" s="45">
        <v>2099</v>
      </c>
      <c r="AF318" s="45">
        <v>2049</v>
      </c>
      <c r="AG318" s="45">
        <v>1999</v>
      </c>
      <c r="AH318" s="54">
        <v>1299</v>
      </c>
      <c r="AI318" s="54">
        <v>1299</v>
      </c>
      <c r="AJ318" s="54">
        <v>1299</v>
      </c>
      <c r="AK318" s="54">
        <v>1299</v>
      </c>
      <c r="AL318" s="54">
        <v>1299</v>
      </c>
      <c r="AM318" s="45"/>
      <c r="AN318" s="45"/>
      <c r="AO318" s="45"/>
      <c r="AP318" s="45"/>
      <c r="AQ318" s="45"/>
      <c r="AR318" s="45"/>
      <c r="AS318" s="45"/>
      <c r="AT318" s="45"/>
      <c r="AU318" s="45"/>
      <c r="AV318" s="47"/>
      <c r="AW318" s="48" t="s">
        <v>67</v>
      </c>
      <c r="AX318" s="49" t="s">
        <v>68</v>
      </c>
      <c r="AY318" s="55">
        <f t="shared" si="27"/>
        <v>44.419799999999995</v>
      </c>
      <c r="AZ318" s="55">
        <f t="shared" si="28"/>
        <v>40.021799999999999</v>
      </c>
      <c r="BA318" s="56">
        <f t="shared" si="29"/>
        <v>22.649699999999999</v>
      </c>
    </row>
    <row r="319" spans="1:53" ht="22.5" customHeight="1">
      <c r="A319" s="57" t="s">
        <v>247</v>
      </c>
      <c r="B319" s="42" t="s">
        <v>64</v>
      </c>
      <c r="C319" s="43">
        <v>4014478</v>
      </c>
      <c r="D319" s="58" t="s">
        <v>493</v>
      </c>
      <c r="E319" s="58" t="s">
        <v>494</v>
      </c>
      <c r="F319" s="45">
        <v>899</v>
      </c>
      <c r="G319" s="45">
        <v>599</v>
      </c>
      <c r="H319" s="45">
        <v>599</v>
      </c>
      <c r="I319" s="45">
        <v>599</v>
      </c>
      <c r="J319" s="45">
        <f t="shared" si="24"/>
        <v>499</v>
      </c>
      <c r="K319" s="45">
        <f t="shared" ref="K319:L325" si="30">M319</f>
        <v>499</v>
      </c>
      <c r="L319" s="45">
        <f t="shared" si="30"/>
        <v>499</v>
      </c>
      <c r="M319" s="45">
        <v>499</v>
      </c>
      <c r="N319" s="45">
        <v>499</v>
      </c>
      <c r="O319" s="45">
        <f t="shared" si="26"/>
        <v>449</v>
      </c>
      <c r="P319" s="46">
        <f t="shared" si="26"/>
        <v>449</v>
      </c>
      <c r="Q319" s="46">
        <f t="shared" si="26"/>
        <v>449</v>
      </c>
      <c r="R319" s="45">
        <v>449</v>
      </c>
      <c r="S319" s="45">
        <v>449</v>
      </c>
      <c r="T319" s="45">
        <v>449</v>
      </c>
      <c r="U319" s="45">
        <v>449</v>
      </c>
      <c r="V319" s="45">
        <v>449</v>
      </c>
      <c r="W319" s="45">
        <v>449</v>
      </c>
      <c r="X319" s="45">
        <v>449</v>
      </c>
      <c r="Y319" s="45">
        <v>449</v>
      </c>
      <c r="Z319" s="45">
        <v>449</v>
      </c>
      <c r="AA319" s="45">
        <v>449</v>
      </c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7"/>
      <c r="AW319" s="48" t="s">
        <v>67</v>
      </c>
      <c r="AX319" s="49" t="s">
        <v>68</v>
      </c>
      <c r="AY319" s="50">
        <f t="shared" si="27"/>
        <v>12.0998</v>
      </c>
      <c r="AZ319" s="50">
        <f t="shared" si="28"/>
        <v>10.9018</v>
      </c>
      <c r="BA319" s="51">
        <f t="shared" si="29"/>
        <v>6.1696999999999997</v>
      </c>
    </row>
    <row r="320" spans="1:53" ht="22.5" customHeight="1">
      <c r="A320" s="57" t="s">
        <v>247</v>
      </c>
      <c r="B320" s="42" t="s">
        <v>64</v>
      </c>
      <c r="C320" s="43">
        <v>4014480</v>
      </c>
      <c r="D320" s="58" t="s">
        <v>493</v>
      </c>
      <c r="E320" s="58" t="s">
        <v>495</v>
      </c>
      <c r="F320" s="45">
        <v>899</v>
      </c>
      <c r="G320" s="45">
        <v>599</v>
      </c>
      <c r="H320" s="45">
        <v>599</v>
      </c>
      <c r="I320" s="45">
        <v>599</v>
      </c>
      <c r="J320" s="45">
        <f t="shared" si="24"/>
        <v>499</v>
      </c>
      <c r="K320" s="45">
        <f t="shared" si="30"/>
        <v>499</v>
      </c>
      <c r="L320" s="45">
        <f t="shared" si="30"/>
        <v>499</v>
      </c>
      <c r="M320" s="45">
        <v>499</v>
      </c>
      <c r="N320" s="45">
        <v>499</v>
      </c>
      <c r="O320" s="45">
        <f t="shared" si="26"/>
        <v>449</v>
      </c>
      <c r="P320" s="46">
        <f t="shared" si="26"/>
        <v>449</v>
      </c>
      <c r="Q320" s="46">
        <f t="shared" si="26"/>
        <v>449</v>
      </c>
      <c r="R320" s="45">
        <v>449</v>
      </c>
      <c r="S320" s="45">
        <v>449</v>
      </c>
      <c r="T320" s="45">
        <v>449</v>
      </c>
      <c r="U320" s="45">
        <v>449</v>
      </c>
      <c r="V320" s="45">
        <v>449</v>
      </c>
      <c r="W320" s="45">
        <v>449</v>
      </c>
      <c r="X320" s="45">
        <v>449</v>
      </c>
      <c r="Y320" s="45">
        <v>449</v>
      </c>
      <c r="Z320" s="45">
        <v>449</v>
      </c>
      <c r="AA320" s="45">
        <v>449</v>
      </c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7"/>
      <c r="AW320" s="48" t="s">
        <v>67</v>
      </c>
      <c r="AX320" s="49" t="s">
        <v>68</v>
      </c>
      <c r="AY320" s="50">
        <f t="shared" si="27"/>
        <v>12.0998</v>
      </c>
      <c r="AZ320" s="50">
        <f t="shared" si="28"/>
        <v>10.9018</v>
      </c>
      <c r="BA320" s="51">
        <f t="shared" si="29"/>
        <v>6.1696999999999997</v>
      </c>
    </row>
    <row r="321" spans="1:53" ht="22.5" customHeight="1">
      <c r="A321" s="57" t="s">
        <v>247</v>
      </c>
      <c r="B321" s="42" t="s">
        <v>64</v>
      </c>
      <c r="C321" s="43">
        <v>4014519</v>
      </c>
      <c r="D321" s="58" t="s">
        <v>493</v>
      </c>
      <c r="E321" s="58" t="s">
        <v>496</v>
      </c>
      <c r="F321" s="45">
        <v>899</v>
      </c>
      <c r="G321" s="45">
        <v>599</v>
      </c>
      <c r="H321" s="45">
        <v>599</v>
      </c>
      <c r="I321" s="45">
        <v>599</v>
      </c>
      <c r="J321" s="45">
        <f t="shared" si="24"/>
        <v>499</v>
      </c>
      <c r="K321" s="45">
        <f t="shared" si="30"/>
        <v>499</v>
      </c>
      <c r="L321" s="45">
        <f t="shared" si="30"/>
        <v>499</v>
      </c>
      <c r="M321" s="45">
        <v>499</v>
      </c>
      <c r="N321" s="45">
        <v>499</v>
      </c>
      <c r="O321" s="45">
        <f t="shared" si="26"/>
        <v>449</v>
      </c>
      <c r="P321" s="46">
        <f t="shared" si="26"/>
        <v>449</v>
      </c>
      <c r="Q321" s="46">
        <f t="shared" si="26"/>
        <v>449</v>
      </c>
      <c r="R321" s="45">
        <v>449</v>
      </c>
      <c r="S321" s="45">
        <v>449</v>
      </c>
      <c r="T321" s="45">
        <v>449</v>
      </c>
      <c r="U321" s="45">
        <v>449</v>
      </c>
      <c r="V321" s="45">
        <v>449</v>
      </c>
      <c r="W321" s="45">
        <v>449</v>
      </c>
      <c r="X321" s="45">
        <v>449</v>
      </c>
      <c r="Y321" s="45">
        <v>449</v>
      </c>
      <c r="Z321" s="45">
        <v>449</v>
      </c>
      <c r="AA321" s="45">
        <v>449</v>
      </c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7"/>
      <c r="AW321" s="48" t="s">
        <v>67</v>
      </c>
      <c r="AX321" s="49" t="s">
        <v>68</v>
      </c>
      <c r="AY321" s="50">
        <f t="shared" si="27"/>
        <v>12.0998</v>
      </c>
      <c r="AZ321" s="50">
        <f t="shared" si="28"/>
        <v>10.9018</v>
      </c>
      <c r="BA321" s="51">
        <f t="shared" si="29"/>
        <v>6.1696999999999997</v>
      </c>
    </row>
    <row r="322" spans="1:53" ht="22.5" customHeight="1">
      <c r="A322" s="57" t="s">
        <v>247</v>
      </c>
      <c r="B322" s="42" t="s">
        <v>64</v>
      </c>
      <c r="C322" s="43">
        <v>4015472</v>
      </c>
      <c r="D322" s="58" t="s">
        <v>497</v>
      </c>
      <c r="E322" s="58" t="s">
        <v>498</v>
      </c>
      <c r="F322" s="45">
        <v>3199</v>
      </c>
      <c r="G322" s="45">
        <v>1899</v>
      </c>
      <c r="H322" s="45">
        <v>1899</v>
      </c>
      <c r="I322" s="45">
        <v>1899</v>
      </c>
      <c r="J322" s="45">
        <f t="shared" si="24"/>
        <v>1699</v>
      </c>
      <c r="K322" s="45">
        <f t="shared" si="30"/>
        <v>1699</v>
      </c>
      <c r="L322" s="45">
        <f t="shared" si="30"/>
        <v>1699</v>
      </c>
      <c r="M322" s="45">
        <v>1699</v>
      </c>
      <c r="N322" s="45">
        <v>1699</v>
      </c>
      <c r="O322" s="45">
        <f t="shared" ref="O322:Q325" si="31">R322</f>
        <v>1649</v>
      </c>
      <c r="P322" s="46">
        <f t="shared" si="31"/>
        <v>1499</v>
      </c>
      <c r="Q322" s="46">
        <f t="shared" si="31"/>
        <v>1299</v>
      </c>
      <c r="R322" s="45">
        <v>1649</v>
      </c>
      <c r="S322" s="45">
        <v>1499</v>
      </c>
      <c r="T322" s="45">
        <v>1299</v>
      </c>
      <c r="U322" s="45">
        <v>1299</v>
      </c>
      <c r="V322" s="45">
        <v>1299</v>
      </c>
      <c r="W322" s="45">
        <v>1299</v>
      </c>
      <c r="X322" s="45">
        <v>1199</v>
      </c>
      <c r="Y322" s="45">
        <v>999</v>
      </c>
      <c r="Z322" s="45">
        <v>999</v>
      </c>
      <c r="AA322" s="45">
        <v>949</v>
      </c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7"/>
      <c r="AW322" s="48" t="s">
        <v>67</v>
      </c>
      <c r="AX322" s="49" t="s">
        <v>68</v>
      </c>
      <c r="AY322" s="50">
        <f t="shared" si="27"/>
        <v>38.3598</v>
      </c>
      <c r="AZ322" s="50">
        <f t="shared" si="28"/>
        <v>34.561800000000005</v>
      </c>
      <c r="BA322" s="51">
        <f t="shared" si="29"/>
        <v>19.559699999999999</v>
      </c>
    </row>
    <row r="323" spans="1:53" ht="22.5" customHeight="1">
      <c r="A323" s="57" t="s">
        <v>247</v>
      </c>
      <c r="B323" s="42" t="s">
        <v>64</v>
      </c>
      <c r="C323" s="43">
        <v>4015478</v>
      </c>
      <c r="D323" s="58" t="s">
        <v>497</v>
      </c>
      <c r="E323" s="58" t="s">
        <v>499</v>
      </c>
      <c r="F323" s="45">
        <v>3199</v>
      </c>
      <c r="G323" s="45">
        <v>1899</v>
      </c>
      <c r="H323" s="45">
        <v>1899</v>
      </c>
      <c r="I323" s="45">
        <v>1899</v>
      </c>
      <c r="J323" s="45">
        <f t="shared" si="24"/>
        <v>1699</v>
      </c>
      <c r="K323" s="45">
        <f t="shared" si="30"/>
        <v>1699</v>
      </c>
      <c r="L323" s="45">
        <f t="shared" si="30"/>
        <v>1699</v>
      </c>
      <c r="M323" s="45">
        <v>1699</v>
      </c>
      <c r="N323" s="45">
        <v>1699</v>
      </c>
      <c r="O323" s="45">
        <f t="shared" si="31"/>
        <v>1649</v>
      </c>
      <c r="P323" s="46">
        <f t="shared" si="31"/>
        <v>1499</v>
      </c>
      <c r="Q323" s="46">
        <f t="shared" si="31"/>
        <v>1299</v>
      </c>
      <c r="R323" s="45">
        <v>1649</v>
      </c>
      <c r="S323" s="45">
        <v>1499</v>
      </c>
      <c r="T323" s="45">
        <v>1299</v>
      </c>
      <c r="U323" s="45">
        <v>1299</v>
      </c>
      <c r="V323" s="45">
        <v>1299</v>
      </c>
      <c r="W323" s="45">
        <v>1299</v>
      </c>
      <c r="X323" s="45">
        <v>1199</v>
      </c>
      <c r="Y323" s="45">
        <v>999</v>
      </c>
      <c r="Z323" s="45">
        <v>999</v>
      </c>
      <c r="AA323" s="45">
        <v>949</v>
      </c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7"/>
      <c r="AW323" s="48" t="s">
        <v>67</v>
      </c>
      <c r="AX323" s="49" t="s">
        <v>68</v>
      </c>
      <c r="AY323" s="50">
        <f t="shared" si="27"/>
        <v>38.3598</v>
      </c>
      <c r="AZ323" s="50">
        <f t="shared" si="28"/>
        <v>34.561800000000005</v>
      </c>
      <c r="BA323" s="51">
        <f t="shared" si="29"/>
        <v>19.559699999999999</v>
      </c>
    </row>
    <row r="324" spans="1:53" ht="22.5" customHeight="1">
      <c r="A324" s="57" t="s">
        <v>247</v>
      </c>
      <c r="B324" s="42" t="s">
        <v>64</v>
      </c>
      <c r="C324" s="43">
        <v>4015481</v>
      </c>
      <c r="D324" s="58" t="s">
        <v>497</v>
      </c>
      <c r="E324" s="58" t="s">
        <v>500</v>
      </c>
      <c r="F324" s="45">
        <v>3199</v>
      </c>
      <c r="G324" s="45">
        <v>1899</v>
      </c>
      <c r="H324" s="45">
        <v>1899</v>
      </c>
      <c r="I324" s="45">
        <v>1899</v>
      </c>
      <c r="J324" s="45">
        <f t="shared" si="24"/>
        <v>1699</v>
      </c>
      <c r="K324" s="45">
        <f t="shared" si="30"/>
        <v>1699</v>
      </c>
      <c r="L324" s="45">
        <f t="shared" si="30"/>
        <v>1699</v>
      </c>
      <c r="M324" s="45">
        <v>1699</v>
      </c>
      <c r="N324" s="45">
        <v>1699</v>
      </c>
      <c r="O324" s="45">
        <f t="shared" si="31"/>
        <v>1649</v>
      </c>
      <c r="P324" s="46">
        <f t="shared" si="31"/>
        <v>1499</v>
      </c>
      <c r="Q324" s="46">
        <f t="shared" si="31"/>
        <v>1299</v>
      </c>
      <c r="R324" s="45">
        <v>1649</v>
      </c>
      <c r="S324" s="45">
        <v>1499</v>
      </c>
      <c r="T324" s="45">
        <v>1299</v>
      </c>
      <c r="U324" s="45">
        <v>1299</v>
      </c>
      <c r="V324" s="45">
        <v>1299</v>
      </c>
      <c r="W324" s="45">
        <v>1299</v>
      </c>
      <c r="X324" s="45">
        <v>1199</v>
      </c>
      <c r="Y324" s="45">
        <v>999</v>
      </c>
      <c r="Z324" s="45">
        <v>999</v>
      </c>
      <c r="AA324" s="45">
        <v>949</v>
      </c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7"/>
      <c r="AW324" s="48" t="s">
        <v>67</v>
      </c>
      <c r="AX324" s="49" t="s">
        <v>68</v>
      </c>
      <c r="AY324" s="50">
        <f t="shared" si="27"/>
        <v>38.3598</v>
      </c>
      <c r="AZ324" s="50">
        <f t="shared" si="28"/>
        <v>34.561800000000005</v>
      </c>
      <c r="BA324" s="51">
        <f t="shared" si="29"/>
        <v>19.559699999999999</v>
      </c>
    </row>
    <row r="325" spans="1:53" ht="22.5" customHeight="1">
      <c r="A325" s="57" t="s">
        <v>247</v>
      </c>
      <c r="B325" s="42" t="s">
        <v>64</v>
      </c>
      <c r="C325" s="43">
        <v>4015914</v>
      </c>
      <c r="D325" s="58" t="s">
        <v>497</v>
      </c>
      <c r="E325" s="58" t="s">
        <v>501</v>
      </c>
      <c r="F325" s="45">
        <v>3199</v>
      </c>
      <c r="G325" s="45">
        <v>1899</v>
      </c>
      <c r="H325" s="45">
        <v>1899</v>
      </c>
      <c r="I325" s="45">
        <v>1899</v>
      </c>
      <c r="J325" s="45">
        <f t="shared" si="24"/>
        <v>1699</v>
      </c>
      <c r="K325" s="45">
        <f t="shared" si="30"/>
        <v>1699</v>
      </c>
      <c r="L325" s="45">
        <f t="shared" si="30"/>
        <v>1699</v>
      </c>
      <c r="M325" s="45">
        <v>1699</v>
      </c>
      <c r="N325" s="45">
        <v>1699</v>
      </c>
      <c r="O325" s="45">
        <f t="shared" si="31"/>
        <v>1649</v>
      </c>
      <c r="P325" s="46">
        <f t="shared" si="31"/>
        <v>1499</v>
      </c>
      <c r="Q325" s="46">
        <f t="shared" si="31"/>
        <v>1299</v>
      </c>
      <c r="R325" s="45">
        <v>1649</v>
      </c>
      <c r="S325" s="45">
        <v>1499</v>
      </c>
      <c r="T325" s="45">
        <v>1299</v>
      </c>
      <c r="U325" s="45">
        <v>1299</v>
      </c>
      <c r="V325" s="45">
        <v>1299</v>
      </c>
      <c r="W325" s="45">
        <v>1299</v>
      </c>
      <c r="X325" s="45">
        <v>1199</v>
      </c>
      <c r="Y325" s="45">
        <v>999</v>
      </c>
      <c r="Z325" s="45">
        <v>999</v>
      </c>
      <c r="AA325" s="45">
        <v>949</v>
      </c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7"/>
      <c r="AW325" s="48" t="s">
        <v>67</v>
      </c>
      <c r="AX325" s="49" t="s">
        <v>68</v>
      </c>
      <c r="AY325" s="50">
        <f t="shared" si="27"/>
        <v>38.3598</v>
      </c>
      <c r="AZ325" s="50">
        <f t="shared" si="28"/>
        <v>34.561800000000005</v>
      </c>
      <c r="BA325" s="51">
        <f t="shared" si="29"/>
        <v>19.559699999999999</v>
      </c>
    </row>
    <row r="326" spans="1:53" ht="22.5" customHeight="1">
      <c r="A326" s="57" t="s">
        <v>247</v>
      </c>
      <c r="B326" s="42" t="s">
        <v>64</v>
      </c>
      <c r="C326" s="43">
        <v>4015938</v>
      </c>
      <c r="D326" s="58" t="s">
        <v>502</v>
      </c>
      <c r="E326" s="58" t="s">
        <v>503</v>
      </c>
      <c r="F326" s="45">
        <v>3499</v>
      </c>
      <c r="G326" s="45">
        <v>1999</v>
      </c>
      <c r="H326" s="45">
        <v>1999</v>
      </c>
      <c r="I326" s="45">
        <v>1999</v>
      </c>
      <c r="J326" s="45">
        <v>1899</v>
      </c>
      <c r="K326" s="45">
        <v>1799</v>
      </c>
      <c r="L326" s="45">
        <v>1799</v>
      </c>
      <c r="M326" s="45">
        <v>1899</v>
      </c>
      <c r="N326" s="45">
        <v>1799</v>
      </c>
      <c r="O326" s="45">
        <v>1749</v>
      </c>
      <c r="P326" s="46">
        <v>1699</v>
      </c>
      <c r="Q326" s="46">
        <v>1299</v>
      </c>
      <c r="R326" s="45">
        <v>1749</v>
      </c>
      <c r="S326" s="45">
        <v>1699</v>
      </c>
      <c r="T326" s="45">
        <v>1299</v>
      </c>
      <c r="U326" s="45">
        <v>1299</v>
      </c>
      <c r="V326" s="45">
        <v>1299</v>
      </c>
      <c r="W326" s="45">
        <v>1299</v>
      </c>
      <c r="X326" s="45">
        <v>1299</v>
      </c>
      <c r="Y326" s="45">
        <v>1199</v>
      </c>
      <c r="Z326" s="45">
        <v>1199</v>
      </c>
      <c r="AA326" s="45">
        <v>1199</v>
      </c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7"/>
      <c r="AW326" s="48" t="s">
        <v>67</v>
      </c>
      <c r="AX326" s="49" t="s">
        <v>68</v>
      </c>
      <c r="AY326" s="50">
        <f t="shared" si="27"/>
        <v>40.379799999999996</v>
      </c>
      <c r="AZ326" s="50">
        <f t="shared" si="28"/>
        <v>36.381799999999998</v>
      </c>
      <c r="BA326" s="51">
        <f t="shared" si="29"/>
        <v>20.589700000000001</v>
      </c>
    </row>
    <row r="327" spans="1:53" ht="22.5" customHeight="1">
      <c r="A327" s="57" t="s">
        <v>247</v>
      </c>
      <c r="B327" s="42" t="s">
        <v>64</v>
      </c>
      <c r="C327" s="43">
        <v>4016161</v>
      </c>
      <c r="D327" s="58" t="s">
        <v>502</v>
      </c>
      <c r="E327" s="58" t="s">
        <v>504</v>
      </c>
      <c r="F327" s="45">
        <v>3499</v>
      </c>
      <c r="G327" s="45">
        <v>1999</v>
      </c>
      <c r="H327" s="45">
        <v>1999</v>
      </c>
      <c r="I327" s="45">
        <v>1999</v>
      </c>
      <c r="J327" s="45">
        <v>1899</v>
      </c>
      <c r="K327" s="45">
        <v>1799</v>
      </c>
      <c r="L327" s="45">
        <v>1799</v>
      </c>
      <c r="M327" s="45">
        <v>1899</v>
      </c>
      <c r="N327" s="45">
        <v>1799</v>
      </c>
      <c r="O327" s="45">
        <v>1749</v>
      </c>
      <c r="P327" s="46">
        <v>1699</v>
      </c>
      <c r="Q327" s="46">
        <v>1299</v>
      </c>
      <c r="R327" s="45">
        <v>1749</v>
      </c>
      <c r="S327" s="45">
        <v>1699</v>
      </c>
      <c r="T327" s="45">
        <v>1299</v>
      </c>
      <c r="U327" s="45">
        <v>1299</v>
      </c>
      <c r="V327" s="45">
        <v>1299</v>
      </c>
      <c r="W327" s="45">
        <v>1299</v>
      </c>
      <c r="X327" s="45">
        <v>1299</v>
      </c>
      <c r="Y327" s="45">
        <v>1199</v>
      </c>
      <c r="Z327" s="45">
        <v>1199</v>
      </c>
      <c r="AA327" s="45">
        <v>1199</v>
      </c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7"/>
      <c r="AW327" s="48" t="s">
        <v>67</v>
      </c>
      <c r="AX327" s="49" t="s">
        <v>68</v>
      </c>
      <c r="AY327" s="50">
        <f t="shared" si="27"/>
        <v>40.379799999999996</v>
      </c>
      <c r="AZ327" s="50">
        <f t="shared" si="28"/>
        <v>36.381799999999998</v>
      </c>
      <c r="BA327" s="51">
        <f t="shared" si="29"/>
        <v>20.589700000000001</v>
      </c>
    </row>
    <row r="328" spans="1:53" ht="22.5" customHeight="1">
      <c r="A328" s="57" t="s">
        <v>247</v>
      </c>
      <c r="B328" s="42" t="s">
        <v>64</v>
      </c>
      <c r="C328" s="43">
        <v>4015933</v>
      </c>
      <c r="D328" s="58" t="s">
        <v>502</v>
      </c>
      <c r="E328" s="58" t="s">
        <v>505</v>
      </c>
      <c r="F328" s="45">
        <v>3499</v>
      </c>
      <c r="G328" s="45">
        <v>1999</v>
      </c>
      <c r="H328" s="45">
        <v>1999</v>
      </c>
      <c r="I328" s="45">
        <v>1999</v>
      </c>
      <c r="J328" s="45">
        <v>1899</v>
      </c>
      <c r="K328" s="45">
        <v>1799</v>
      </c>
      <c r="L328" s="45">
        <v>1799</v>
      </c>
      <c r="M328" s="45">
        <v>1899</v>
      </c>
      <c r="N328" s="45">
        <v>1799</v>
      </c>
      <c r="O328" s="45">
        <v>1749</v>
      </c>
      <c r="P328" s="46">
        <v>1699</v>
      </c>
      <c r="Q328" s="46">
        <v>1299</v>
      </c>
      <c r="R328" s="45">
        <v>1749</v>
      </c>
      <c r="S328" s="45">
        <v>1699</v>
      </c>
      <c r="T328" s="45">
        <v>1299</v>
      </c>
      <c r="U328" s="45">
        <v>1299</v>
      </c>
      <c r="V328" s="45">
        <v>1299</v>
      </c>
      <c r="W328" s="45">
        <v>1299</v>
      </c>
      <c r="X328" s="45">
        <v>1299</v>
      </c>
      <c r="Y328" s="45">
        <v>1199</v>
      </c>
      <c r="Z328" s="45">
        <v>1199</v>
      </c>
      <c r="AA328" s="45">
        <v>1199</v>
      </c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7"/>
      <c r="AW328" s="48" t="s">
        <v>67</v>
      </c>
      <c r="AX328" s="49" t="s">
        <v>68</v>
      </c>
      <c r="AY328" s="50">
        <f t="shared" si="27"/>
        <v>40.379799999999996</v>
      </c>
      <c r="AZ328" s="50">
        <f t="shared" si="28"/>
        <v>36.381799999999998</v>
      </c>
      <c r="BA328" s="51">
        <f t="shared" si="29"/>
        <v>20.589700000000001</v>
      </c>
    </row>
    <row r="329" spans="1:53" ht="22.5" customHeight="1">
      <c r="A329" s="57" t="s">
        <v>247</v>
      </c>
      <c r="B329" s="42" t="s">
        <v>64</v>
      </c>
      <c r="C329" s="43">
        <v>4016156</v>
      </c>
      <c r="D329" s="58" t="s">
        <v>502</v>
      </c>
      <c r="E329" s="58" t="s">
        <v>506</v>
      </c>
      <c r="F329" s="45">
        <v>3499</v>
      </c>
      <c r="G329" s="45">
        <v>1999</v>
      </c>
      <c r="H329" s="45">
        <v>1999</v>
      </c>
      <c r="I329" s="45">
        <v>1999</v>
      </c>
      <c r="J329" s="45">
        <v>1899</v>
      </c>
      <c r="K329" s="45">
        <v>1799</v>
      </c>
      <c r="L329" s="45">
        <v>1799</v>
      </c>
      <c r="M329" s="45">
        <v>1899</v>
      </c>
      <c r="N329" s="45">
        <v>1799</v>
      </c>
      <c r="O329" s="45">
        <v>1749</v>
      </c>
      <c r="P329" s="46">
        <v>1699</v>
      </c>
      <c r="Q329" s="46">
        <v>1299</v>
      </c>
      <c r="R329" s="45">
        <v>1749</v>
      </c>
      <c r="S329" s="45">
        <v>1699</v>
      </c>
      <c r="T329" s="45">
        <v>1299</v>
      </c>
      <c r="U329" s="45">
        <v>1299</v>
      </c>
      <c r="V329" s="45">
        <v>1299</v>
      </c>
      <c r="W329" s="45">
        <v>1299</v>
      </c>
      <c r="X329" s="45">
        <v>1299</v>
      </c>
      <c r="Y329" s="45">
        <v>1199</v>
      </c>
      <c r="Z329" s="45">
        <v>1199</v>
      </c>
      <c r="AA329" s="45">
        <v>1199</v>
      </c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7"/>
      <c r="AW329" s="48" t="s">
        <v>67</v>
      </c>
      <c r="AX329" s="49" t="s">
        <v>68</v>
      </c>
      <c r="AY329" s="50">
        <f t="shared" si="27"/>
        <v>40.379799999999996</v>
      </c>
      <c r="AZ329" s="50">
        <f t="shared" si="28"/>
        <v>36.381799999999998</v>
      </c>
      <c r="BA329" s="51">
        <f t="shared" si="29"/>
        <v>20.589700000000001</v>
      </c>
    </row>
    <row r="330" spans="1:53" ht="22.5" customHeight="1">
      <c r="A330" s="57" t="s">
        <v>247</v>
      </c>
      <c r="B330" s="42" t="s">
        <v>64</v>
      </c>
      <c r="C330" s="43">
        <v>4016157</v>
      </c>
      <c r="D330" s="58" t="s">
        <v>502</v>
      </c>
      <c r="E330" s="58" t="s">
        <v>507</v>
      </c>
      <c r="F330" s="45">
        <v>3499</v>
      </c>
      <c r="G330" s="45">
        <v>1999</v>
      </c>
      <c r="H330" s="45">
        <v>1999</v>
      </c>
      <c r="I330" s="45">
        <v>1999</v>
      </c>
      <c r="J330" s="45">
        <v>1899</v>
      </c>
      <c r="K330" s="45">
        <v>1799</v>
      </c>
      <c r="L330" s="45">
        <v>1799</v>
      </c>
      <c r="M330" s="45">
        <v>1899</v>
      </c>
      <c r="N330" s="45">
        <v>1799</v>
      </c>
      <c r="O330" s="45">
        <v>1749</v>
      </c>
      <c r="P330" s="46">
        <v>1699</v>
      </c>
      <c r="Q330" s="46">
        <v>1299</v>
      </c>
      <c r="R330" s="45">
        <v>1749</v>
      </c>
      <c r="S330" s="45">
        <v>1699</v>
      </c>
      <c r="T330" s="45">
        <v>1299</v>
      </c>
      <c r="U330" s="45">
        <v>1299</v>
      </c>
      <c r="V330" s="45">
        <v>1299</v>
      </c>
      <c r="W330" s="45">
        <v>1299</v>
      </c>
      <c r="X330" s="45">
        <v>1299</v>
      </c>
      <c r="Y330" s="45">
        <v>1199</v>
      </c>
      <c r="Z330" s="45">
        <v>1199</v>
      </c>
      <c r="AA330" s="45">
        <v>1199</v>
      </c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7"/>
      <c r="AW330" s="48" t="s">
        <v>67</v>
      </c>
      <c r="AX330" s="49" t="s">
        <v>68</v>
      </c>
      <c r="AY330" s="50">
        <f t="shared" si="27"/>
        <v>40.379799999999996</v>
      </c>
      <c r="AZ330" s="50">
        <f t="shared" si="28"/>
        <v>36.381799999999998</v>
      </c>
      <c r="BA330" s="51">
        <f t="shared" si="29"/>
        <v>20.589700000000001</v>
      </c>
    </row>
    <row r="331" spans="1:53" ht="22.5" customHeight="1">
      <c r="A331" s="57" t="s">
        <v>247</v>
      </c>
      <c r="B331" s="42" t="s">
        <v>64</v>
      </c>
      <c r="C331" s="43">
        <v>4016985</v>
      </c>
      <c r="D331" s="58" t="s">
        <v>508</v>
      </c>
      <c r="E331" s="58" t="s">
        <v>509</v>
      </c>
      <c r="F331" s="45">
        <v>3599</v>
      </c>
      <c r="G331" s="46">
        <v>2669</v>
      </c>
      <c r="H331" s="46">
        <v>2669</v>
      </c>
      <c r="I331" s="46">
        <v>2669</v>
      </c>
      <c r="J331" s="46">
        <v>2599</v>
      </c>
      <c r="K331" s="46">
        <v>1899</v>
      </c>
      <c r="L331" s="46">
        <v>1899</v>
      </c>
      <c r="M331" s="46">
        <v>2599</v>
      </c>
      <c r="N331" s="46">
        <v>1899</v>
      </c>
      <c r="O331" s="46">
        <v>1599</v>
      </c>
      <c r="P331" s="46">
        <v>1499</v>
      </c>
      <c r="Q331" s="46">
        <v>1499</v>
      </c>
      <c r="R331" s="46">
        <v>1799</v>
      </c>
      <c r="S331" s="46">
        <v>1499</v>
      </c>
      <c r="T331" s="46">
        <v>1499</v>
      </c>
      <c r="U331" s="46">
        <v>1499</v>
      </c>
      <c r="V331" s="46">
        <v>1499</v>
      </c>
      <c r="W331" s="46">
        <v>1499</v>
      </c>
      <c r="X331" s="46">
        <v>1399</v>
      </c>
      <c r="Y331" s="46">
        <v>1399</v>
      </c>
      <c r="Z331" s="46">
        <v>1399</v>
      </c>
      <c r="AA331" s="46">
        <v>1399</v>
      </c>
      <c r="AB331" s="45">
        <v>1899</v>
      </c>
      <c r="AC331" s="45">
        <v>1899</v>
      </c>
      <c r="AD331" s="45">
        <v>1899</v>
      </c>
      <c r="AE331" s="45">
        <v>1799</v>
      </c>
      <c r="AF331" s="45">
        <v>1499</v>
      </c>
      <c r="AG331" s="45">
        <v>1499</v>
      </c>
      <c r="AH331" s="45">
        <v>1499</v>
      </c>
      <c r="AI331" s="45">
        <v>1499</v>
      </c>
      <c r="AJ331" s="45">
        <v>1499</v>
      </c>
      <c r="AK331" s="45">
        <v>1499</v>
      </c>
      <c r="AL331" s="45">
        <v>1399</v>
      </c>
      <c r="AM331" s="45"/>
      <c r="AN331" s="45"/>
      <c r="AO331" s="45"/>
      <c r="AP331" s="45"/>
      <c r="AQ331" s="45"/>
      <c r="AR331" s="45"/>
      <c r="AS331" s="45"/>
      <c r="AT331" s="45"/>
      <c r="AU331" s="45"/>
      <c r="AV331" s="47"/>
      <c r="AW331" s="48" t="s">
        <v>67</v>
      </c>
      <c r="AX331" s="49" t="s">
        <v>68</v>
      </c>
      <c r="AY331" s="50">
        <f t="shared" si="27"/>
        <v>53.913799999999995</v>
      </c>
      <c r="AZ331" s="50">
        <f t="shared" si="28"/>
        <v>48.575800000000001</v>
      </c>
      <c r="BA331" s="51">
        <f t="shared" si="29"/>
        <v>27.4907</v>
      </c>
    </row>
    <row r="332" spans="1:53" ht="22.5" customHeight="1">
      <c r="A332" s="57" t="s">
        <v>247</v>
      </c>
      <c r="B332" s="42" t="s">
        <v>64</v>
      </c>
      <c r="C332" s="43">
        <v>4016999</v>
      </c>
      <c r="D332" s="58" t="s">
        <v>508</v>
      </c>
      <c r="E332" s="58" t="s">
        <v>510</v>
      </c>
      <c r="F332" s="45">
        <v>3599</v>
      </c>
      <c r="G332" s="46">
        <v>2669</v>
      </c>
      <c r="H332" s="46">
        <v>2669</v>
      </c>
      <c r="I332" s="46">
        <v>2669</v>
      </c>
      <c r="J332" s="46">
        <v>2599</v>
      </c>
      <c r="K332" s="46">
        <v>1899</v>
      </c>
      <c r="L332" s="46">
        <v>1899</v>
      </c>
      <c r="M332" s="46">
        <v>2599</v>
      </c>
      <c r="N332" s="46">
        <v>1899</v>
      </c>
      <c r="O332" s="46">
        <v>1599</v>
      </c>
      <c r="P332" s="46">
        <v>1499</v>
      </c>
      <c r="Q332" s="46">
        <v>1499</v>
      </c>
      <c r="R332" s="46">
        <v>1799</v>
      </c>
      <c r="S332" s="46">
        <v>1499</v>
      </c>
      <c r="T332" s="46">
        <v>1499</v>
      </c>
      <c r="U332" s="46">
        <v>1499</v>
      </c>
      <c r="V332" s="46">
        <v>1499</v>
      </c>
      <c r="W332" s="46">
        <v>1499</v>
      </c>
      <c r="X332" s="46">
        <v>1399</v>
      </c>
      <c r="Y332" s="46">
        <v>1399</v>
      </c>
      <c r="Z332" s="46">
        <v>1399</v>
      </c>
      <c r="AA332" s="46">
        <v>1399</v>
      </c>
      <c r="AB332" s="45">
        <v>1899</v>
      </c>
      <c r="AC332" s="45">
        <v>1899</v>
      </c>
      <c r="AD332" s="45">
        <v>1899</v>
      </c>
      <c r="AE332" s="45">
        <v>1799</v>
      </c>
      <c r="AF332" s="45">
        <v>1499</v>
      </c>
      <c r="AG332" s="45">
        <v>1499</v>
      </c>
      <c r="AH332" s="45">
        <v>1499</v>
      </c>
      <c r="AI332" s="45">
        <v>1499</v>
      </c>
      <c r="AJ332" s="45">
        <v>1499</v>
      </c>
      <c r="AK332" s="45">
        <v>1499</v>
      </c>
      <c r="AL332" s="45">
        <v>1399</v>
      </c>
      <c r="AM332" s="45"/>
      <c r="AN332" s="45"/>
      <c r="AO332" s="45"/>
      <c r="AP332" s="45"/>
      <c r="AQ332" s="45"/>
      <c r="AR332" s="45"/>
      <c r="AS332" s="45"/>
      <c r="AT332" s="45"/>
      <c r="AU332" s="45"/>
      <c r="AV332" s="47"/>
      <c r="AW332" s="48" t="s">
        <v>67</v>
      </c>
      <c r="AX332" s="49" t="s">
        <v>68</v>
      </c>
      <c r="AY332" s="50">
        <f t="shared" si="27"/>
        <v>53.913799999999995</v>
      </c>
      <c r="AZ332" s="50">
        <f t="shared" si="28"/>
        <v>48.575800000000001</v>
      </c>
      <c r="BA332" s="51">
        <f t="shared" si="29"/>
        <v>27.4907</v>
      </c>
    </row>
    <row r="333" spans="1:53" ht="22.5" customHeight="1">
      <c r="A333" s="57" t="s">
        <v>247</v>
      </c>
      <c r="B333" s="42" t="s">
        <v>64</v>
      </c>
      <c r="C333" s="43">
        <v>4017065</v>
      </c>
      <c r="D333" s="58" t="s">
        <v>508</v>
      </c>
      <c r="E333" s="58" t="s">
        <v>511</v>
      </c>
      <c r="F333" s="45">
        <v>3599</v>
      </c>
      <c r="G333" s="46">
        <v>2669</v>
      </c>
      <c r="H333" s="46">
        <v>2669</v>
      </c>
      <c r="I333" s="46">
        <v>2669</v>
      </c>
      <c r="J333" s="46">
        <v>2599</v>
      </c>
      <c r="K333" s="46">
        <v>1899</v>
      </c>
      <c r="L333" s="46">
        <v>1899</v>
      </c>
      <c r="M333" s="46">
        <v>2599</v>
      </c>
      <c r="N333" s="46">
        <v>1899</v>
      </c>
      <c r="O333" s="46">
        <v>1599</v>
      </c>
      <c r="P333" s="46">
        <v>1499</v>
      </c>
      <c r="Q333" s="46">
        <v>1499</v>
      </c>
      <c r="R333" s="46">
        <v>1799</v>
      </c>
      <c r="S333" s="46">
        <v>1499</v>
      </c>
      <c r="T333" s="46">
        <v>1499</v>
      </c>
      <c r="U333" s="46">
        <v>1499</v>
      </c>
      <c r="V333" s="46">
        <v>1499</v>
      </c>
      <c r="W333" s="46">
        <v>1499</v>
      </c>
      <c r="X333" s="46">
        <v>1399</v>
      </c>
      <c r="Y333" s="46">
        <v>1399</v>
      </c>
      <c r="Z333" s="46">
        <v>1399</v>
      </c>
      <c r="AA333" s="46">
        <v>1399</v>
      </c>
      <c r="AB333" s="45">
        <v>1899</v>
      </c>
      <c r="AC333" s="45">
        <v>1899</v>
      </c>
      <c r="AD333" s="45">
        <v>1899</v>
      </c>
      <c r="AE333" s="45">
        <v>1799</v>
      </c>
      <c r="AF333" s="45">
        <v>1499</v>
      </c>
      <c r="AG333" s="45">
        <v>1499</v>
      </c>
      <c r="AH333" s="45">
        <v>1499</v>
      </c>
      <c r="AI333" s="45">
        <v>1499</v>
      </c>
      <c r="AJ333" s="45">
        <v>1499</v>
      </c>
      <c r="AK333" s="45">
        <v>1499</v>
      </c>
      <c r="AL333" s="45">
        <v>1399</v>
      </c>
      <c r="AM333" s="45"/>
      <c r="AN333" s="45"/>
      <c r="AO333" s="45"/>
      <c r="AP333" s="45"/>
      <c r="AQ333" s="45"/>
      <c r="AR333" s="45"/>
      <c r="AS333" s="45"/>
      <c r="AT333" s="45"/>
      <c r="AU333" s="45"/>
      <c r="AV333" s="47"/>
      <c r="AW333" s="48" t="s">
        <v>67</v>
      </c>
      <c r="AX333" s="49" t="s">
        <v>68</v>
      </c>
      <c r="AY333" s="50">
        <f t="shared" si="27"/>
        <v>53.913799999999995</v>
      </c>
      <c r="AZ333" s="50">
        <f t="shared" si="28"/>
        <v>48.575800000000001</v>
      </c>
      <c r="BA333" s="51">
        <f t="shared" si="29"/>
        <v>27.4907</v>
      </c>
    </row>
    <row r="334" spans="1:53" ht="22.5" customHeight="1">
      <c r="A334" s="57" t="s">
        <v>247</v>
      </c>
      <c r="B334" s="42" t="s">
        <v>64</v>
      </c>
      <c r="C334" s="43">
        <v>4016977</v>
      </c>
      <c r="D334" s="58" t="s">
        <v>508</v>
      </c>
      <c r="E334" s="58" t="s">
        <v>512</v>
      </c>
      <c r="F334" s="45">
        <v>3599</v>
      </c>
      <c r="G334" s="46">
        <v>2669</v>
      </c>
      <c r="H334" s="46">
        <v>2669</v>
      </c>
      <c r="I334" s="46">
        <v>2669</v>
      </c>
      <c r="J334" s="46">
        <v>2599</v>
      </c>
      <c r="K334" s="46">
        <v>1899</v>
      </c>
      <c r="L334" s="46">
        <v>1899</v>
      </c>
      <c r="M334" s="46">
        <v>2599</v>
      </c>
      <c r="N334" s="46">
        <v>1899</v>
      </c>
      <c r="O334" s="46">
        <v>1599</v>
      </c>
      <c r="P334" s="46">
        <v>1499</v>
      </c>
      <c r="Q334" s="46">
        <v>1499</v>
      </c>
      <c r="R334" s="46">
        <v>1799</v>
      </c>
      <c r="S334" s="46">
        <v>1499</v>
      </c>
      <c r="T334" s="46">
        <v>1499</v>
      </c>
      <c r="U334" s="46">
        <v>1499</v>
      </c>
      <c r="V334" s="46">
        <v>1499</v>
      </c>
      <c r="W334" s="46">
        <v>1499</v>
      </c>
      <c r="X334" s="46">
        <v>1399</v>
      </c>
      <c r="Y334" s="46">
        <v>1399</v>
      </c>
      <c r="Z334" s="46">
        <v>1399</v>
      </c>
      <c r="AA334" s="46">
        <v>1399</v>
      </c>
      <c r="AB334" s="45">
        <v>1899</v>
      </c>
      <c r="AC334" s="45">
        <v>1899</v>
      </c>
      <c r="AD334" s="45">
        <v>1899</v>
      </c>
      <c r="AE334" s="45">
        <v>1799</v>
      </c>
      <c r="AF334" s="45">
        <v>1499</v>
      </c>
      <c r="AG334" s="45">
        <v>1499</v>
      </c>
      <c r="AH334" s="45">
        <v>1499</v>
      </c>
      <c r="AI334" s="45">
        <v>1499</v>
      </c>
      <c r="AJ334" s="45">
        <v>1499</v>
      </c>
      <c r="AK334" s="45">
        <v>1499</v>
      </c>
      <c r="AL334" s="45">
        <v>1399</v>
      </c>
      <c r="AM334" s="45"/>
      <c r="AN334" s="45"/>
      <c r="AO334" s="45"/>
      <c r="AP334" s="45"/>
      <c r="AQ334" s="45"/>
      <c r="AR334" s="45"/>
      <c r="AS334" s="45"/>
      <c r="AT334" s="45"/>
      <c r="AU334" s="45"/>
      <c r="AV334" s="47"/>
      <c r="AW334" s="48" t="s">
        <v>67</v>
      </c>
      <c r="AX334" s="49" t="s">
        <v>68</v>
      </c>
      <c r="AY334" s="50">
        <f t="shared" si="27"/>
        <v>53.913799999999995</v>
      </c>
      <c r="AZ334" s="50">
        <f t="shared" si="28"/>
        <v>48.575800000000001</v>
      </c>
      <c r="BA334" s="51">
        <f t="shared" si="29"/>
        <v>27.4907</v>
      </c>
    </row>
    <row r="335" spans="1:53" ht="22.5" customHeight="1">
      <c r="A335" s="57" t="s">
        <v>247</v>
      </c>
      <c r="B335" s="42" t="s">
        <v>64</v>
      </c>
      <c r="C335" s="43">
        <v>4016993</v>
      </c>
      <c r="D335" s="58" t="s">
        <v>508</v>
      </c>
      <c r="E335" s="58" t="s">
        <v>513</v>
      </c>
      <c r="F335" s="45">
        <v>3599</v>
      </c>
      <c r="G335" s="46">
        <v>2669</v>
      </c>
      <c r="H335" s="46">
        <v>2669</v>
      </c>
      <c r="I335" s="46">
        <v>2669</v>
      </c>
      <c r="J335" s="46">
        <v>2599</v>
      </c>
      <c r="K335" s="46">
        <v>1899</v>
      </c>
      <c r="L335" s="46">
        <v>1899</v>
      </c>
      <c r="M335" s="46">
        <v>2599</v>
      </c>
      <c r="N335" s="46">
        <v>1899</v>
      </c>
      <c r="O335" s="46">
        <v>1599</v>
      </c>
      <c r="P335" s="46">
        <v>1499</v>
      </c>
      <c r="Q335" s="46">
        <v>1499</v>
      </c>
      <c r="R335" s="46">
        <v>1799</v>
      </c>
      <c r="S335" s="46">
        <v>1499</v>
      </c>
      <c r="T335" s="46">
        <v>1499</v>
      </c>
      <c r="U335" s="46">
        <v>1499</v>
      </c>
      <c r="V335" s="46">
        <v>1499</v>
      </c>
      <c r="W335" s="46">
        <v>1499</v>
      </c>
      <c r="X335" s="46">
        <v>1399</v>
      </c>
      <c r="Y335" s="46">
        <v>1399</v>
      </c>
      <c r="Z335" s="46">
        <v>1399</v>
      </c>
      <c r="AA335" s="46">
        <v>1399</v>
      </c>
      <c r="AB335" s="45">
        <v>1899</v>
      </c>
      <c r="AC335" s="45">
        <v>1899</v>
      </c>
      <c r="AD335" s="45">
        <v>1899</v>
      </c>
      <c r="AE335" s="45">
        <v>1799</v>
      </c>
      <c r="AF335" s="45">
        <v>1499</v>
      </c>
      <c r="AG335" s="45">
        <v>1499</v>
      </c>
      <c r="AH335" s="45">
        <v>1499</v>
      </c>
      <c r="AI335" s="45">
        <v>1499</v>
      </c>
      <c r="AJ335" s="45">
        <v>1499</v>
      </c>
      <c r="AK335" s="45">
        <v>1499</v>
      </c>
      <c r="AL335" s="45">
        <v>1399</v>
      </c>
      <c r="AM335" s="45"/>
      <c r="AN335" s="45"/>
      <c r="AO335" s="45"/>
      <c r="AP335" s="45"/>
      <c r="AQ335" s="45"/>
      <c r="AR335" s="45"/>
      <c r="AS335" s="45"/>
      <c r="AT335" s="45"/>
      <c r="AU335" s="45"/>
      <c r="AV335" s="47"/>
      <c r="AW335" s="48" t="s">
        <v>67</v>
      </c>
      <c r="AX335" s="49" t="s">
        <v>68</v>
      </c>
      <c r="AY335" s="50">
        <f t="shared" si="27"/>
        <v>53.913799999999995</v>
      </c>
      <c r="AZ335" s="50">
        <f t="shared" si="28"/>
        <v>48.575800000000001</v>
      </c>
      <c r="BA335" s="51">
        <f t="shared" si="29"/>
        <v>27.4907</v>
      </c>
    </row>
    <row r="336" spans="1:53" ht="22.5" customHeight="1">
      <c r="A336" s="57" t="s">
        <v>247</v>
      </c>
      <c r="B336" s="42" t="s">
        <v>64</v>
      </c>
      <c r="C336" s="43">
        <v>4017064</v>
      </c>
      <c r="D336" s="58" t="s">
        <v>508</v>
      </c>
      <c r="E336" s="58" t="s">
        <v>514</v>
      </c>
      <c r="F336" s="45">
        <v>3599</v>
      </c>
      <c r="G336" s="46">
        <v>2669</v>
      </c>
      <c r="H336" s="46">
        <v>2669</v>
      </c>
      <c r="I336" s="46">
        <v>2669</v>
      </c>
      <c r="J336" s="46">
        <v>2599</v>
      </c>
      <c r="K336" s="46">
        <v>1899</v>
      </c>
      <c r="L336" s="46">
        <v>1899</v>
      </c>
      <c r="M336" s="46">
        <v>2599</v>
      </c>
      <c r="N336" s="46">
        <v>1899</v>
      </c>
      <c r="O336" s="46">
        <v>1599</v>
      </c>
      <c r="P336" s="46">
        <v>1499</v>
      </c>
      <c r="Q336" s="46">
        <v>1499</v>
      </c>
      <c r="R336" s="46">
        <v>1799</v>
      </c>
      <c r="S336" s="46">
        <v>1499</v>
      </c>
      <c r="T336" s="46">
        <v>1499</v>
      </c>
      <c r="U336" s="46">
        <v>1499</v>
      </c>
      <c r="V336" s="46">
        <v>1499</v>
      </c>
      <c r="W336" s="46">
        <v>1499</v>
      </c>
      <c r="X336" s="46">
        <v>1399</v>
      </c>
      <c r="Y336" s="46">
        <v>1399</v>
      </c>
      <c r="Z336" s="46">
        <v>1399</v>
      </c>
      <c r="AA336" s="46">
        <v>1399</v>
      </c>
      <c r="AB336" s="45">
        <v>1899</v>
      </c>
      <c r="AC336" s="45">
        <v>1899</v>
      </c>
      <c r="AD336" s="45">
        <v>1899</v>
      </c>
      <c r="AE336" s="45">
        <v>1799</v>
      </c>
      <c r="AF336" s="45">
        <v>1499</v>
      </c>
      <c r="AG336" s="45">
        <v>1499</v>
      </c>
      <c r="AH336" s="45">
        <v>1499</v>
      </c>
      <c r="AI336" s="45">
        <v>1499</v>
      </c>
      <c r="AJ336" s="45">
        <v>1499</v>
      </c>
      <c r="AK336" s="45">
        <v>1499</v>
      </c>
      <c r="AL336" s="45">
        <v>1399</v>
      </c>
      <c r="AM336" s="45"/>
      <c r="AN336" s="45"/>
      <c r="AO336" s="45"/>
      <c r="AP336" s="45"/>
      <c r="AQ336" s="45"/>
      <c r="AR336" s="45"/>
      <c r="AS336" s="45"/>
      <c r="AT336" s="45"/>
      <c r="AU336" s="45"/>
      <c r="AV336" s="47"/>
      <c r="AW336" s="48" t="s">
        <v>67</v>
      </c>
      <c r="AX336" s="49" t="s">
        <v>68</v>
      </c>
      <c r="AY336" s="50">
        <f t="shared" si="27"/>
        <v>53.913799999999995</v>
      </c>
      <c r="AZ336" s="50">
        <f t="shared" si="28"/>
        <v>48.575800000000001</v>
      </c>
      <c r="BA336" s="51">
        <f t="shared" si="29"/>
        <v>27.4907</v>
      </c>
    </row>
    <row r="337" spans="1:53" ht="22.5" customHeight="1">
      <c r="A337" s="57" t="s">
        <v>247</v>
      </c>
      <c r="B337" s="42" t="s">
        <v>64</v>
      </c>
      <c r="C337" s="43">
        <v>4017855</v>
      </c>
      <c r="D337" s="59" t="s">
        <v>515</v>
      </c>
      <c r="E337" s="58" t="s">
        <v>516</v>
      </c>
      <c r="F337" s="45">
        <v>3999</v>
      </c>
      <c r="G337" s="45">
        <v>2799</v>
      </c>
      <c r="H337" s="46">
        <v>2799</v>
      </c>
      <c r="I337" s="46">
        <v>2799</v>
      </c>
      <c r="J337" s="46">
        <v>2699</v>
      </c>
      <c r="K337" s="46">
        <v>2699</v>
      </c>
      <c r="L337" s="46">
        <v>2699</v>
      </c>
      <c r="M337" s="46">
        <v>2699</v>
      </c>
      <c r="N337" s="46">
        <v>2699</v>
      </c>
      <c r="O337" s="45">
        <v>2649</v>
      </c>
      <c r="P337" s="46">
        <v>2599</v>
      </c>
      <c r="Q337" s="53">
        <v>1799</v>
      </c>
      <c r="R337" s="45">
        <v>2649</v>
      </c>
      <c r="S337" s="45">
        <v>2599</v>
      </c>
      <c r="T337" s="54">
        <v>1799</v>
      </c>
      <c r="U337" s="54">
        <v>1799</v>
      </c>
      <c r="V337" s="54">
        <v>1799</v>
      </c>
      <c r="W337" s="54">
        <v>1799</v>
      </c>
      <c r="X337" s="54">
        <v>1799</v>
      </c>
      <c r="Y337" s="54">
        <v>1799</v>
      </c>
      <c r="Z337" s="54">
        <v>1799</v>
      </c>
      <c r="AA337" s="54">
        <v>1799</v>
      </c>
      <c r="AB337" s="45">
        <v>2699</v>
      </c>
      <c r="AC337" s="45">
        <v>2699</v>
      </c>
      <c r="AD337" s="45">
        <v>2699</v>
      </c>
      <c r="AE337" s="45">
        <v>2699</v>
      </c>
      <c r="AF337" s="45">
        <v>2649</v>
      </c>
      <c r="AG337" s="45">
        <v>2599</v>
      </c>
      <c r="AH337" s="54">
        <v>1799</v>
      </c>
      <c r="AI337" s="54">
        <v>1799</v>
      </c>
      <c r="AJ337" s="54">
        <v>1799</v>
      </c>
      <c r="AK337" s="54">
        <v>1799</v>
      </c>
      <c r="AL337" s="54">
        <v>1799</v>
      </c>
      <c r="AM337" s="45"/>
      <c r="AN337" s="45"/>
      <c r="AO337" s="45"/>
      <c r="AP337" s="45"/>
      <c r="AQ337" s="45"/>
      <c r="AR337" s="45"/>
      <c r="AS337" s="45"/>
      <c r="AT337" s="45"/>
      <c r="AU337" s="45"/>
      <c r="AV337" s="47"/>
      <c r="AW337" s="48" t="s">
        <v>67</v>
      </c>
      <c r="AX337" s="49" t="s">
        <v>68</v>
      </c>
      <c r="AY337" s="55">
        <f t="shared" si="27"/>
        <v>56.5398</v>
      </c>
      <c r="AZ337" s="55">
        <f t="shared" si="28"/>
        <v>50.941800000000001</v>
      </c>
      <c r="BA337" s="56">
        <f t="shared" si="29"/>
        <v>28.829699999999999</v>
      </c>
    </row>
    <row r="338" spans="1:53" ht="22.5" customHeight="1">
      <c r="A338" s="57" t="s">
        <v>247</v>
      </c>
      <c r="B338" s="42" t="s">
        <v>64</v>
      </c>
      <c r="C338" s="43">
        <v>4017872</v>
      </c>
      <c r="D338" s="59" t="s">
        <v>515</v>
      </c>
      <c r="E338" s="58" t="s">
        <v>517</v>
      </c>
      <c r="F338" s="45">
        <v>3999</v>
      </c>
      <c r="G338" s="45">
        <v>2799</v>
      </c>
      <c r="H338" s="46">
        <v>2799</v>
      </c>
      <c r="I338" s="46">
        <v>2799</v>
      </c>
      <c r="J338" s="46">
        <v>2699</v>
      </c>
      <c r="K338" s="46">
        <v>2699</v>
      </c>
      <c r="L338" s="46">
        <v>2699</v>
      </c>
      <c r="M338" s="46">
        <v>2699</v>
      </c>
      <c r="N338" s="46">
        <v>2699</v>
      </c>
      <c r="O338" s="45">
        <v>2649</v>
      </c>
      <c r="P338" s="46">
        <v>2599</v>
      </c>
      <c r="Q338" s="53">
        <v>1799</v>
      </c>
      <c r="R338" s="45">
        <v>2649</v>
      </c>
      <c r="S338" s="45">
        <v>2599</v>
      </c>
      <c r="T338" s="54">
        <v>1799</v>
      </c>
      <c r="U338" s="54">
        <v>1799</v>
      </c>
      <c r="V338" s="54">
        <v>1799</v>
      </c>
      <c r="W338" s="54">
        <v>1799</v>
      </c>
      <c r="X338" s="54">
        <v>1799</v>
      </c>
      <c r="Y338" s="54">
        <v>1799</v>
      </c>
      <c r="Z338" s="54">
        <v>1799</v>
      </c>
      <c r="AA338" s="54">
        <v>1799</v>
      </c>
      <c r="AB338" s="45">
        <v>2699</v>
      </c>
      <c r="AC338" s="45">
        <v>2699</v>
      </c>
      <c r="AD338" s="45">
        <v>2699</v>
      </c>
      <c r="AE338" s="45">
        <v>2699</v>
      </c>
      <c r="AF338" s="45">
        <v>2649</v>
      </c>
      <c r="AG338" s="45">
        <v>2599</v>
      </c>
      <c r="AH338" s="54">
        <v>1799</v>
      </c>
      <c r="AI338" s="54">
        <v>1799</v>
      </c>
      <c r="AJ338" s="54">
        <v>1799</v>
      </c>
      <c r="AK338" s="54">
        <v>1799</v>
      </c>
      <c r="AL338" s="54">
        <v>1799</v>
      </c>
      <c r="AM338" s="45"/>
      <c r="AN338" s="45"/>
      <c r="AO338" s="45"/>
      <c r="AP338" s="45"/>
      <c r="AQ338" s="45"/>
      <c r="AR338" s="45"/>
      <c r="AS338" s="45"/>
      <c r="AT338" s="45"/>
      <c r="AU338" s="45"/>
      <c r="AV338" s="47"/>
      <c r="AW338" s="48" t="s">
        <v>67</v>
      </c>
      <c r="AX338" s="49" t="s">
        <v>68</v>
      </c>
      <c r="AY338" s="55">
        <f t="shared" si="27"/>
        <v>56.5398</v>
      </c>
      <c r="AZ338" s="55">
        <f t="shared" si="28"/>
        <v>50.941800000000001</v>
      </c>
      <c r="BA338" s="56">
        <f t="shared" si="29"/>
        <v>28.829699999999999</v>
      </c>
    </row>
    <row r="339" spans="1:53" ht="22.5" customHeight="1">
      <c r="A339" s="57" t="s">
        <v>247</v>
      </c>
      <c r="B339" s="42" t="s">
        <v>64</v>
      </c>
      <c r="C339" s="43">
        <v>4017860</v>
      </c>
      <c r="D339" s="59" t="s">
        <v>515</v>
      </c>
      <c r="E339" s="58" t="s">
        <v>518</v>
      </c>
      <c r="F339" s="45">
        <v>3999</v>
      </c>
      <c r="G339" s="45">
        <v>2799</v>
      </c>
      <c r="H339" s="46">
        <v>2799</v>
      </c>
      <c r="I339" s="46">
        <v>2799</v>
      </c>
      <c r="J339" s="46">
        <v>2699</v>
      </c>
      <c r="K339" s="46">
        <v>2699</v>
      </c>
      <c r="L339" s="46">
        <v>2699</v>
      </c>
      <c r="M339" s="46">
        <v>2699</v>
      </c>
      <c r="N339" s="46">
        <v>2699</v>
      </c>
      <c r="O339" s="45">
        <v>2649</v>
      </c>
      <c r="P339" s="46">
        <v>2599</v>
      </c>
      <c r="Q339" s="53">
        <v>1799</v>
      </c>
      <c r="R339" s="45">
        <v>2649</v>
      </c>
      <c r="S339" s="45">
        <v>2599</v>
      </c>
      <c r="T339" s="54">
        <v>1799</v>
      </c>
      <c r="U339" s="54">
        <v>1799</v>
      </c>
      <c r="V339" s="54">
        <v>1799</v>
      </c>
      <c r="W339" s="54">
        <v>1799</v>
      </c>
      <c r="X339" s="54">
        <v>1799</v>
      </c>
      <c r="Y339" s="54">
        <v>1799</v>
      </c>
      <c r="Z339" s="54">
        <v>1799</v>
      </c>
      <c r="AA339" s="54">
        <v>1799</v>
      </c>
      <c r="AB339" s="45">
        <v>2699</v>
      </c>
      <c r="AC339" s="45">
        <v>2699</v>
      </c>
      <c r="AD339" s="45">
        <v>2699</v>
      </c>
      <c r="AE339" s="45">
        <v>2699</v>
      </c>
      <c r="AF339" s="45">
        <v>2649</v>
      </c>
      <c r="AG339" s="45">
        <v>2599</v>
      </c>
      <c r="AH339" s="54">
        <v>1799</v>
      </c>
      <c r="AI339" s="54">
        <v>1799</v>
      </c>
      <c r="AJ339" s="54">
        <v>1799</v>
      </c>
      <c r="AK339" s="54">
        <v>1799</v>
      </c>
      <c r="AL339" s="54">
        <v>1799</v>
      </c>
      <c r="AM339" s="45"/>
      <c r="AN339" s="45"/>
      <c r="AO339" s="45"/>
      <c r="AP339" s="45"/>
      <c r="AQ339" s="45"/>
      <c r="AR339" s="45"/>
      <c r="AS339" s="45"/>
      <c r="AT339" s="45"/>
      <c r="AU339" s="45"/>
      <c r="AV339" s="47"/>
      <c r="AW339" s="48" t="s">
        <v>67</v>
      </c>
      <c r="AX339" s="49" t="s">
        <v>68</v>
      </c>
      <c r="AY339" s="55">
        <f t="shared" si="27"/>
        <v>56.5398</v>
      </c>
      <c r="AZ339" s="55">
        <f t="shared" si="28"/>
        <v>50.941800000000001</v>
      </c>
      <c r="BA339" s="56">
        <f t="shared" si="29"/>
        <v>28.829699999999999</v>
      </c>
    </row>
    <row r="340" spans="1:53" ht="22.5" customHeight="1">
      <c r="A340" s="57" t="s">
        <v>247</v>
      </c>
      <c r="B340" s="42" t="s">
        <v>64</v>
      </c>
      <c r="C340" s="43">
        <v>4017876</v>
      </c>
      <c r="D340" s="59" t="s">
        <v>515</v>
      </c>
      <c r="E340" s="58" t="s">
        <v>519</v>
      </c>
      <c r="F340" s="45">
        <v>3999</v>
      </c>
      <c r="G340" s="45">
        <v>2799</v>
      </c>
      <c r="H340" s="46">
        <v>2799</v>
      </c>
      <c r="I340" s="46">
        <v>2799</v>
      </c>
      <c r="J340" s="46">
        <v>2699</v>
      </c>
      <c r="K340" s="46">
        <v>2699</v>
      </c>
      <c r="L340" s="46">
        <v>2699</v>
      </c>
      <c r="M340" s="46">
        <v>2699</v>
      </c>
      <c r="N340" s="46">
        <v>2699</v>
      </c>
      <c r="O340" s="45">
        <v>2649</v>
      </c>
      <c r="P340" s="46">
        <v>2599</v>
      </c>
      <c r="Q340" s="53">
        <v>1799</v>
      </c>
      <c r="R340" s="45">
        <v>2649</v>
      </c>
      <c r="S340" s="45">
        <v>2599</v>
      </c>
      <c r="T340" s="54">
        <v>1799</v>
      </c>
      <c r="U340" s="54">
        <v>1799</v>
      </c>
      <c r="V340" s="54">
        <v>1799</v>
      </c>
      <c r="W340" s="54">
        <v>1799</v>
      </c>
      <c r="X340" s="54">
        <v>1799</v>
      </c>
      <c r="Y340" s="54">
        <v>1799</v>
      </c>
      <c r="Z340" s="54">
        <v>1799</v>
      </c>
      <c r="AA340" s="54">
        <v>1799</v>
      </c>
      <c r="AB340" s="45">
        <v>2699</v>
      </c>
      <c r="AC340" s="45">
        <v>2699</v>
      </c>
      <c r="AD340" s="45">
        <v>2699</v>
      </c>
      <c r="AE340" s="45">
        <v>2699</v>
      </c>
      <c r="AF340" s="45">
        <v>2649</v>
      </c>
      <c r="AG340" s="45">
        <v>2599</v>
      </c>
      <c r="AH340" s="54">
        <v>1799</v>
      </c>
      <c r="AI340" s="54">
        <v>1799</v>
      </c>
      <c r="AJ340" s="54">
        <v>1799</v>
      </c>
      <c r="AK340" s="54">
        <v>1799</v>
      </c>
      <c r="AL340" s="54">
        <v>1799</v>
      </c>
      <c r="AM340" s="45"/>
      <c r="AN340" s="45"/>
      <c r="AO340" s="45"/>
      <c r="AP340" s="45"/>
      <c r="AQ340" s="45"/>
      <c r="AR340" s="45"/>
      <c r="AS340" s="45"/>
      <c r="AT340" s="45"/>
      <c r="AU340" s="45"/>
      <c r="AV340" s="47"/>
      <c r="AW340" s="48" t="s">
        <v>67</v>
      </c>
      <c r="AX340" s="49" t="s">
        <v>68</v>
      </c>
      <c r="AY340" s="55">
        <f t="shared" si="27"/>
        <v>56.5398</v>
      </c>
      <c r="AZ340" s="55">
        <f t="shared" si="28"/>
        <v>50.941800000000001</v>
      </c>
      <c r="BA340" s="56">
        <f t="shared" si="29"/>
        <v>28.829699999999999</v>
      </c>
    </row>
    <row r="341" spans="1:53" ht="22.5" customHeight="1">
      <c r="A341" s="57" t="s">
        <v>247</v>
      </c>
      <c r="B341" s="42" t="s">
        <v>64</v>
      </c>
      <c r="C341" s="43">
        <v>4017852</v>
      </c>
      <c r="D341" s="59" t="s">
        <v>515</v>
      </c>
      <c r="E341" s="58" t="s">
        <v>520</v>
      </c>
      <c r="F341" s="45">
        <v>3999</v>
      </c>
      <c r="G341" s="45">
        <v>2799</v>
      </c>
      <c r="H341" s="46">
        <v>2799</v>
      </c>
      <c r="I341" s="46">
        <v>2799</v>
      </c>
      <c r="J341" s="46">
        <v>2699</v>
      </c>
      <c r="K341" s="46">
        <v>2699</v>
      </c>
      <c r="L341" s="46">
        <v>2699</v>
      </c>
      <c r="M341" s="46">
        <v>2699</v>
      </c>
      <c r="N341" s="46">
        <v>2699</v>
      </c>
      <c r="O341" s="45">
        <v>2649</v>
      </c>
      <c r="P341" s="46">
        <v>2599</v>
      </c>
      <c r="Q341" s="53">
        <v>1799</v>
      </c>
      <c r="R341" s="45">
        <v>2649</v>
      </c>
      <c r="S341" s="45">
        <v>2599</v>
      </c>
      <c r="T341" s="54">
        <v>1799</v>
      </c>
      <c r="U341" s="54">
        <v>1799</v>
      </c>
      <c r="V341" s="54">
        <v>1799</v>
      </c>
      <c r="W341" s="54">
        <v>1799</v>
      </c>
      <c r="X341" s="54">
        <v>1799</v>
      </c>
      <c r="Y341" s="54">
        <v>1799</v>
      </c>
      <c r="Z341" s="54">
        <v>1799</v>
      </c>
      <c r="AA341" s="54">
        <v>1799</v>
      </c>
      <c r="AB341" s="45">
        <v>2699</v>
      </c>
      <c r="AC341" s="45">
        <v>2699</v>
      </c>
      <c r="AD341" s="45">
        <v>2699</v>
      </c>
      <c r="AE341" s="45">
        <v>2699</v>
      </c>
      <c r="AF341" s="45">
        <v>2649</v>
      </c>
      <c r="AG341" s="45">
        <v>2599</v>
      </c>
      <c r="AH341" s="54">
        <v>1799</v>
      </c>
      <c r="AI341" s="54">
        <v>1799</v>
      </c>
      <c r="AJ341" s="54">
        <v>1799</v>
      </c>
      <c r="AK341" s="54">
        <v>1799</v>
      </c>
      <c r="AL341" s="54">
        <v>1799</v>
      </c>
      <c r="AM341" s="45"/>
      <c r="AN341" s="45"/>
      <c r="AO341" s="45"/>
      <c r="AP341" s="45"/>
      <c r="AQ341" s="45"/>
      <c r="AR341" s="45"/>
      <c r="AS341" s="45"/>
      <c r="AT341" s="45"/>
      <c r="AU341" s="45"/>
      <c r="AV341" s="47"/>
      <c r="AW341" s="48" t="s">
        <v>67</v>
      </c>
      <c r="AX341" s="49" t="s">
        <v>68</v>
      </c>
      <c r="AY341" s="55">
        <f t="shared" si="27"/>
        <v>56.5398</v>
      </c>
      <c r="AZ341" s="55">
        <f t="shared" si="28"/>
        <v>50.941800000000001</v>
      </c>
      <c r="BA341" s="56">
        <f t="shared" si="29"/>
        <v>28.829699999999999</v>
      </c>
    </row>
    <row r="342" spans="1:53" ht="22.5" customHeight="1">
      <c r="A342" s="57" t="s">
        <v>247</v>
      </c>
      <c r="B342" s="42" t="s">
        <v>64</v>
      </c>
      <c r="C342" s="43">
        <v>4017857</v>
      </c>
      <c r="D342" s="59" t="s">
        <v>515</v>
      </c>
      <c r="E342" s="58" t="s">
        <v>521</v>
      </c>
      <c r="F342" s="45">
        <v>3999</v>
      </c>
      <c r="G342" s="45">
        <v>2799</v>
      </c>
      <c r="H342" s="46">
        <v>2799</v>
      </c>
      <c r="I342" s="46">
        <v>2799</v>
      </c>
      <c r="J342" s="46">
        <v>2699</v>
      </c>
      <c r="K342" s="46">
        <v>2699</v>
      </c>
      <c r="L342" s="46">
        <v>2699</v>
      </c>
      <c r="M342" s="46">
        <v>2699</v>
      </c>
      <c r="N342" s="46">
        <v>2699</v>
      </c>
      <c r="O342" s="45">
        <v>2649</v>
      </c>
      <c r="P342" s="46">
        <v>2599</v>
      </c>
      <c r="Q342" s="53">
        <v>1799</v>
      </c>
      <c r="R342" s="45">
        <v>2649</v>
      </c>
      <c r="S342" s="45">
        <v>2599</v>
      </c>
      <c r="T342" s="54">
        <v>1799</v>
      </c>
      <c r="U342" s="54">
        <v>1799</v>
      </c>
      <c r="V342" s="54">
        <v>1799</v>
      </c>
      <c r="W342" s="54">
        <v>1799</v>
      </c>
      <c r="X342" s="54">
        <v>1799</v>
      </c>
      <c r="Y342" s="54">
        <v>1799</v>
      </c>
      <c r="Z342" s="54">
        <v>1799</v>
      </c>
      <c r="AA342" s="54">
        <v>1799</v>
      </c>
      <c r="AB342" s="45">
        <v>2699</v>
      </c>
      <c r="AC342" s="45">
        <v>2699</v>
      </c>
      <c r="AD342" s="45">
        <v>2699</v>
      </c>
      <c r="AE342" s="45">
        <v>2699</v>
      </c>
      <c r="AF342" s="45">
        <v>2649</v>
      </c>
      <c r="AG342" s="45">
        <v>2599</v>
      </c>
      <c r="AH342" s="54">
        <v>1799</v>
      </c>
      <c r="AI342" s="54">
        <v>1799</v>
      </c>
      <c r="AJ342" s="54">
        <v>1799</v>
      </c>
      <c r="AK342" s="54">
        <v>1799</v>
      </c>
      <c r="AL342" s="54">
        <v>1799</v>
      </c>
      <c r="AM342" s="45"/>
      <c r="AN342" s="45"/>
      <c r="AO342" s="45"/>
      <c r="AP342" s="45"/>
      <c r="AQ342" s="45"/>
      <c r="AR342" s="45"/>
      <c r="AS342" s="45"/>
      <c r="AT342" s="45"/>
      <c r="AU342" s="45"/>
      <c r="AV342" s="47"/>
      <c r="AW342" s="48" t="s">
        <v>67</v>
      </c>
      <c r="AX342" s="49" t="s">
        <v>68</v>
      </c>
      <c r="AY342" s="55">
        <f t="shared" si="27"/>
        <v>56.5398</v>
      </c>
      <c r="AZ342" s="55">
        <f t="shared" si="28"/>
        <v>50.941800000000001</v>
      </c>
      <c r="BA342" s="56">
        <f t="shared" si="29"/>
        <v>28.829699999999999</v>
      </c>
    </row>
    <row r="343" spans="1:53" ht="22.5" customHeight="1">
      <c r="A343" s="57" t="s">
        <v>247</v>
      </c>
      <c r="B343" s="42" t="s">
        <v>64</v>
      </c>
      <c r="C343" s="43">
        <v>4008625</v>
      </c>
      <c r="D343" s="65" t="s">
        <v>522</v>
      </c>
      <c r="E343" s="66" t="s">
        <v>523</v>
      </c>
      <c r="F343" s="45">
        <v>1099</v>
      </c>
      <c r="G343" s="45">
        <v>799</v>
      </c>
      <c r="H343" s="46">
        <v>799</v>
      </c>
      <c r="I343" s="46">
        <v>799</v>
      </c>
      <c r="J343" s="46">
        <f t="shared" ref="J343" si="32">M343</f>
        <v>799</v>
      </c>
      <c r="K343" s="46">
        <f t="shared" ref="K343:L343" si="33">M343</f>
        <v>799</v>
      </c>
      <c r="L343" s="46">
        <f t="shared" si="33"/>
        <v>799</v>
      </c>
      <c r="M343" s="46">
        <v>799</v>
      </c>
      <c r="N343" s="46">
        <v>799</v>
      </c>
      <c r="O343" s="45">
        <f t="shared" ref="O343:Q343" si="34">R343</f>
        <v>699</v>
      </c>
      <c r="P343" s="46">
        <f t="shared" si="34"/>
        <v>579</v>
      </c>
      <c r="Q343" s="46">
        <f t="shared" si="34"/>
        <v>449</v>
      </c>
      <c r="R343" s="45">
        <v>699</v>
      </c>
      <c r="S343" s="45">
        <v>579</v>
      </c>
      <c r="T343" s="45">
        <v>449</v>
      </c>
      <c r="U343" s="45">
        <v>449</v>
      </c>
      <c r="V343" s="45">
        <v>449</v>
      </c>
      <c r="W343" s="45">
        <v>449</v>
      </c>
      <c r="X343" s="45">
        <v>399</v>
      </c>
      <c r="Y343" s="45">
        <v>349</v>
      </c>
      <c r="Z343" s="45">
        <v>349</v>
      </c>
      <c r="AA343" s="45">
        <v>309</v>
      </c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7"/>
      <c r="AW343" s="48" t="s">
        <v>67</v>
      </c>
      <c r="AX343" s="49" t="s">
        <v>253</v>
      </c>
      <c r="AY343" s="50">
        <f t="shared" si="27"/>
        <v>16.139800000000001</v>
      </c>
      <c r="AZ343" s="50">
        <f t="shared" si="28"/>
        <v>14.5418</v>
      </c>
      <c r="BA343" s="51">
        <f t="shared" si="29"/>
        <v>8.2296999999999993</v>
      </c>
    </row>
    <row r="344" spans="1:53" ht="22.5" customHeight="1">
      <c r="A344" s="41" t="s">
        <v>63</v>
      </c>
      <c r="B344" s="42" t="s">
        <v>64</v>
      </c>
      <c r="C344" s="43">
        <v>4015427</v>
      </c>
      <c r="D344" s="58" t="s">
        <v>524</v>
      </c>
      <c r="E344" s="58" t="s">
        <v>525</v>
      </c>
      <c r="F344" s="45">
        <v>2227</v>
      </c>
      <c r="G344" s="45">
        <v>2027</v>
      </c>
      <c r="H344" s="45">
        <v>2227</v>
      </c>
      <c r="I344" s="45">
        <v>2227</v>
      </c>
      <c r="J344" s="45">
        <v>1419</v>
      </c>
      <c r="K344" s="45">
        <v>1419</v>
      </c>
      <c r="L344" s="45">
        <v>1419</v>
      </c>
      <c r="M344" s="45">
        <v>1419</v>
      </c>
      <c r="N344" s="45">
        <v>1419</v>
      </c>
      <c r="O344" s="45">
        <v>1419</v>
      </c>
      <c r="P344" s="45">
        <v>1419</v>
      </c>
      <c r="Q344" s="45">
        <v>1419</v>
      </c>
      <c r="R344" s="45">
        <v>1419</v>
      </c>
      <c r="S344" s="45">
        <v>1419</v>
      </c>
      <c r="T344" s="45">
        <v>1419</v>
      </c>
      <c r="U344" s="45">
        <v>1419</v>
      </c>
      <c r="V344" s="45">
        <v>1419</v>
      </c>
      <c r="W344" s="45">
        <v>1419</v>
      </c>
      <c r="X344" s="45">
        <v>1419</v>
      </c>
      <c r="Y344" s="45">
        <v>1419</v>
      </c>
      <c r="Z344" s="45">
        <v>1419</v>
      </c>
      <c r="AA344" s="45">
        <v>1419</v>
      </c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7"/>
      <c r="AW344" s="48" t="s">
        <v>67</v>
      </c>
      <c r="AX344" s="49" t="s">
        <v>68</v>
      </c>
      <c r="AY344" s="50">
        <f t="shared" si="27"/>
        <v>44.985399999999998</v>
      </c>
      <c r="AZ344" s="50">
        <f t="shared" si="28"/>
        <v>40.531400000000005</v>
      </c>
      <c r="BA344" s="51">
        <f t="shared" si="29"/>
        <v>22.938099999999999</v>
      </c>
    </row>
    <row r="345" spans="1:53" ht="22.5" customHeight="1">
      <c r="A345" s="41" t="s">
        <v>63</v>
      </c>
      <c r="B345" s="42" t="s">
        <v>64</v>
      </c>
      <c r="C345" s="43">
        <v>4015449</v>
      </c>
      <c r="D345" s="58" t="s">
        <v>524</v>
      </c>
      <c r="E345" s="58" t="s">
        <v>526</v>
      </c>
      <c r="F345" s="45">
        <v>2227</v>
      </c>
      <c r="G345" s="45">
        <v>2027</v>
      </c>
      <c r="H345" s="45">
        <v>2227</v>
      </c>
      <c r="I345" s="45">
        <v>2227</v>
      </c>
      <c r="J345" s="45">
        <v>1419</v>
      </c>
      <c r="K345" s="45">
        <v>1419</v>
      </c>
      <c r="L345" s="45">
        <v>1419</v>
      </c>
      <c r="M345" s="45">
        <v>1419</v>
      </c>
      <c r="N345" s="45">
        <v>1419</v>
      </c>
      <c r="O345" s="45">
        <v>1419</v>
      </c>
      <c r="P345" s="45">
        <v>1419</v>
      </c>
      <c r="Q345" s="45">
        <v>1419</v>
      </c>
      <c r="R345" s="45">
        <v>1419</v>
      </c>
      <c r="S345" s="45">
        <v>1419</v>
      </c>
      <c r="T345" s="45">
        <v>1419</v>
      </c>
      <c r="U345" s="45">
        <v>1419</v>
      </c>
      <c r="V345" s="45">
        <v>1419</v>
      </c>
      <c r="W345" s="45">
        <v>1419</v>
      </c>
      <c r="X345" s="45">
        <v>1419</v>
      </c>
      <c r="Y345" s="45">
        <v>1419</v>
      </c>
      <c r="Z345" s="45">
        <v>1419</v>
      </c>
      <c r="AA345" s="45">
        <v>1419</v>
      </c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7"/>
      <c r="AW345" s="48" t="s">
        <v>67</v>
      </c>
      <c r="AX345" s="49" t="s">
        <v>68</v>
      </c>
      <c r="AY345" s="50">
        <f t="shared" si="27"/>
        <v>44.985399999999998</v>
      </c>
      <c r="AZ345" s="50">
        <f t="shared" si="28"/>
        <v>40.531400000000005</v>
      </c>
      <c r="BA345" s="51">
        <f t="shared" si="29"/>
        <v>22.938099999999999</v>
      </c>
    </row>
    <row r="346" spans="1:53" ht="22.5" customHeight="1">
      <c r="A346" s="41" t="s">
        <v>63</v>
      </c>
      <c r="B346" s="42" t="s">
        <v>64</v>
      </c>
      <c r="C346" s="43">
        <v>4015443</v>
      </c>
      <c r="D346" s="58" t="s">
        <v>524</v>
      </c>
      <c r="E346" s="58" t="s">
        <v>527</v>
      </c>
      <c r="F346" s="45">
        <v>2227</v>
      </c>
      <c r="G346" s="45">
        <v>2027</v>
      </c>
      <c r="H346" s="45">
        <v>2227</v>
      </c>
      <c r="I346" s="45">
        <v>2227</v>
      </c>
      <c r="J346" s="45">
        <v>1419</v>
      </c>
      <c r="K346" s="45">
        <v>1419</v>
      </c>
      <c r="L346" s="45">
        <v>1419</v>
      </c>
      <c r="M346" s="45">
        <v>1419</v>
      </c>
      <c r="N346" s="45">
        <v>1419</v>
      </c>
      <c r="O346" s="45">
        <v>1419</v>
      </c>
      <c r="P346" s="45">
        <v>1419</v>
      </c>
      <c r="Q346" s="45">
        <v>1419</v>
      </c>
      <c r="R346" s="45">
        <v>1419</v>
      </c>
      <c r="S346" s="45">
        <v>1419</v>
      </c>
      <c r="T346" s="45">
        <v>1419</v>
      </c>
      <c r="U346" s="45">
        <v>1419</v>
      </c>
      <c r="V346" s="45">
        <v>1419</v>
      </c>
      <c r="W346" s="45">
        <v>1419</v>
      </c>
      <c r="X346" s="45">
        <v>1419</v>
      </c>
      <c r="Y346" s="45">
        <v>1419</v>
      </c>
      <c r="Z346" s="45">
        <v>1419</v>
      </c>
      <c r="AA346" s="45">
        <v>1419</v>
      </c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7"/>
      <c r="AW346" s="48" t="s">
        <v>67</v>
      </c>
      <c r="AX346" s="49" t="s">
        <v>68</v>
      </c>
      <c r="AY346" s="50">
        <f t="shared" si="27"/>
        <v>44.985399999999998</v>
      </c>
      <c r="AZ346" s="50">
        <f t="shared" si="28"/>
        <v>40.531400000000005</v>
      </c>
      <c r="BA346" s="51">
        <f t="shared" si="29"/>
        <v>22.938099999999999</v>
      </c>
    </row>
    <row r="347" spans="1:53" ht="22.5" customHeight="1">
      <c r="A347" s="41" t="s">
        <v>63</v>
      </c>
      <c r="B347" s="42" t="s">
        <v>64</v>
      </c>
      <c r="C347" s="43">
        <v>4014767</v>
      </c>
      <c r="D347" s="58" t="s">
        <v>528</v>
      </c>
      <c r="E347" s="58" t="s">
        <v>529</v>
      </c>
      <c r="F347" s="45">
        <v>2999</v>
      </c>
      <c r="G347" s="45">
        <v>1299</v>
      </c>
      <c r="H347" s="45">
        <v>2399</v>
      </c>
      <c r="I347" s="45">
        <v>2399</v>
      </c>
      <c r="J347" s="45">
        <v>749</v>
      </c>
      <c r="K347" s="45">
        <v>749</v>
      </c>
      <c r="L347" s="45">
        <v>749</v>
      </c>
      <c r="M347" s="45">
        <v>749</v>
      </c>
      <c r="N347" s="45">
        <v>749</v>
      </c>
      <c r="O347" s="45">
        <v>749</v>
      </c>
      <c r="P347" s="46">
        <v>749</v>
      </c>
      <c r="Q347" s="46">
        <v>749</v>
      </c>
      <c r="R347" s="45">
        <v>749</v>
      </c>
      <c r="S347" s="45">
        <v>749</v>
      </c>
      <c r="T347" s="45">
        <v>749</v>
      </c>
      <c r="U347" s="45">
        <v>749</v>
      </c>
      <c r="V347" s="45">
        <v>749</v>
      </c>
      <c r="W347" s="45">
        <v>749</v>
      </c>
      <c r="X347" s="45">
        <v>749</v>
      </c>
      <c r="Y347" s="45">
        <v>749</v>
      </c>
      <c r="Z347" s="45">
        <v>749</v>
      </c>
      <c r="AA347" s="45">
        <v>749</v>
      </c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7"/>
      <c r="AW347" s="48" t="s">
        <v>67</v>
      </c>
      <c r="AX347" s="49" t="s">
        <v>68</v>
      </c>
      <c r="AY347" s="50">
        <f t="shared" si="27"/>
        <v>48.459800000000001</v>
      </c>
      <c r="AZ347" s="50">
        <f t="shared" si="28"/>
        <v>43.661799999999999</v>
      </c>
      <c r="BA347" s="51">
        <f t="shared" si="29"/>
        <v>24.709700000000002</v>
      </c>
    </row>
    <row r="348" spans="1:53" ht="22.5" customHeight="1">
      <c r="A348" s="41" t="s">
        <v>63</v>
      </c>
      <c r="B348" s="42" t="s">
        <v>64</v>
      </c>
      <c r="C348" s="43">
        <v>4014758</v>
      </c>
      <c r="D348" s="58" t="s">
        <v>528</v>
      </c>
      <c r="E348" s="58" t="s">
        <v>530</v>
      </c>
      <c r="F348" s="45">
        <v>2999</v>
      </c>
      <c r="G348" s="45">
        <v>1299</v>
      </c>
      <c r="H348" s="45">
        <v>2399</v>
      </c>
      <c r="I348" s="45">
        <v>2399</v>
      </c>
      <c r="J348" s="45">
        <v>749</v>
      </c>
      <c r="K348" s="45">
        <v>749</v>
      </c>
      <c r="L348" s="45">
        <v>749</v>
      </c>
      <c r="M348" s="45">
        <v>749</v>
      </c>
      <c r="N348" s="45">
        <v>749</v>
      </c>
      <c r="O348" s="45">
        <v>749</v>
      </c>
      <c r="P348" s="46">
        <v>749</v>
      </c>
      <c r="Q348" s="46">
        <v>749</v>
      </c>
      <c r="R348" s="45">
        <v>749</v>
      </c>
      <c r="S348" s="45">
        <v>749</v>
      </c>
      <c r="T348" s="45">
        <v>749</v>
      </c>
      <c r="U348" s="45">
        <v>749</v>
      </c>
      <c r="V348" s="45">
        <v>749</v>
      </c>
      <c r="W348" s="45">
        <v>749</v>
      </c>
      <c r="X348" s="45">
        <v>749</v>
      </c>
      <c r="Y348" s="45">
        <v>749</v>
      </c>
      <c r="Z348" s="45">
        <v>749</v>
      </c>
      <c r="AA348" s="45">
        <v>749</v>
      </c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7"/>
      <c r="AW348" s="48" t="s">
        <v>67</v>
      </c>
      <c r="AX348" s="49" t="s">
        <v>68</v>
      </c>
      <c r="AY348" s="50">
        <f t="shared" si="27"/>
        <v>48.459800000000001</v>
      </c>
      <c r="AZ348" s="50">
        <f t="shared" si="28"/>
        <v>43.661799999999999</v>
      </c>
      <c r="BA348" s="51">
        <f t="shared" si="29"/>
        <v>24.709700000000002</v>
      </c>
    </row>
    <row r="349" spans="1:53" ht="22.5" customHeight="1">
      <c r="A349" s="41" t="s">
        <v>63</v>
      </c>
      <c r="B349" s="42" t="s">
        <v>64</v>
      </c>
      <c r="C349" s="43">
        <v>4014764</v>
      </c>
      <c r="D349" s="58" t="s">
        <v>528</v>
      </c>
      <c r="E349" s="58" t="s">
        <v>531</v>
      </c>
      <c r="F349" s="45">
        <v>2999</v>
      </c>
      <c r="G349" s="45">
        <v>1299</v>
      </c>
      <c r="H349" s="45">
        <v>2399</v>
      </c>
      <c r="I349" s="45">
        <v>2399</v>
      </c>
      <c r="J349" s="45">
        <v>749</v>
      </c>
      <c r="K349" s="45">
        <v>749</v>
      </c>
      <c r="L349" s="45">
        <v>749</v>
      </c>
      <c r="M349" s="45">
        <v>749</v>
      </c>
      <c r="N349" s="45">
        <v>749</v>
      </c>
      <c r="O349" s="45">
        <v>749</v>
      </c>
      <c r="P349" s="46">
        <v>749</v>
      </c>
      <c r="Q349" s="46">
        <v>749</v>
      </c>
      <c r="R349" s="45">
        <v>749</v>
      </c>
      <c r="S349" s="45">
        <v>749</v>
      </c>
      <c r="T349" s="45">
        <v>749</v>
      </c>
      <c r="U349" s="45">
        <v>749</v>
      </c>
      <c r="V349" s="45">
        <v>749</v>
      </c>
      <c r="W349" s="45">
        <v>749</v>
      </c>
      <c r="X349" s="45">
        <v>749</v>
      </c>
      <c r="Y349" s="45">
        <v>749</v>
      </c>
      <c r="Z349" s="45">
        <v>749</v>
      </c>
      <c r="AA349" s="45">
        <v>749</v>
      </c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7"/>
      <c r="AW349" s="48" t="s">
        <v>67</v>
      </c>
      <c r="AX349" s="49" t="s">
        <v>68</v>
      </c>
      <c r="AY349" s="50">
        <f t="shared" si="27"/>
        <v>48.459800000000001</v>
      </c>
      <c r="AZ349" s="50">
        <f t="shared" si="28"/>
        <v>43.661799999999999</v>
      </c>
      <c r="BA349" s="51">
        <f t="shared" si="29"/>
        <v>24.709700000000002</v>
      </c>
    </row>
    <row r="350" spans="1:53" ht="22.5" customHeight="1">
      <c r="A350" s="41" t="s">
        <v>63</v>
      </c>
      <c r="B350" s="42" t="s">
        <v>64</v>
      </c>
      <c r="C350" s="43">
        <v>4014985</v>
      </c>
      <c r="D350" s="58" t="s">
        <v>528</v>
      </c>
      <c r="E350" s="58" t="s">
        <v>532</v>
      </c>
      <c r="F350" s="45">
        <v>2999</v>
      </c>
      <c r="G350" s="45">
        <v>1299</v>
      </c>
      <c r="H350" s="45">
        <v>2399</v>
      </c>
      <c r="I350" s="45">
        <v>2399</v>
      </c>
      <c r="J350" s="45">
        <v>749</v>
      </c>
      <c r="K350" s="45">
        <v>749</v>
      </c>
      <c r="L350" s="45">
        <v>749</v>
      </c>
      <c r="M350" s="45">
        <v>749</v>
      </c>
      <c r="N350" s="45">
        <v>749</v>
      </c>
      <c r="O350" s="45">
        <v>749</v>
      </c>
      <c r="P350" s="46">
        <v>749</v>
      </c>
      <c r="Q350" s="46">
        <v>749</v>
      </c>
      <c r="R350" s="45">
        <v>749</v>
      </c>
      <c r="S350" s="45">
        <v>749</v>
      </c>
      <c r="T350" s="45">
        <v>749</v>
      </c>
      <c r="U350" s="45">
        <v>749</v>
      </c>
      <c r="V350" s="45">
        <v>749</v>
      </c>
      <c r="W350" s="45">
        <v>749</v>
      </c>
      <c r="X350" s="45">
        <v>749</v>
      </c>
      <c r="Y350" s="45">
        <v>749</v>
      </c>
      <c r="Z350" s="45">
        <v>749</v>
      </c>
      <c r="AA350" s="45">
        <v>749</v>
      </c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7"/>
      <c r="AW350" s="48" t="s">
        <v>67</v>
      </c>
      <c r="AX350" s="49" t="s">
        <v>68</v>
      </c>
      <c r="AY350" s="50">
        <f t="shared" si="27"/>
        <v>48.459800000000001</v>
      </c>
      <c r="AZ350" s="50">
        <f t="shared" si="28"/>
        <v>43.661799999999999</v>
      </c>
      <c r="BA350" s="51">
        <f t="shared" si="29"/>
        <v>24.709700000000002</v>
      </c>
    </row>
    <row r="351" spans="1:53" ht="22.5" customHeight="1">
      <c r="A351" s="41" t="s">
        <v>63</v>
      </c>
      <c r="B351" s="42" t="s">
        <v>64</v>
      </c>
      <c r="C351" s="43">
        <v>4014742</v>
      </c>
      <c r="D351" s="58" t="s">
        <v>533</v>
      </c>
      <c r="E351" s="58" t="s">
        <v>534</v>
      </c>
      <c r="F351" s="45">
        <v>2199</v>
      </c>
      <c r="G351" s="45">
        <v>1099</v>
      </c>
      <c r="H351" s="45">
        <v>2199</v>
      </c>
      <c r="I351" s="45">
        <v>2199</v>
      </c>
      <c r="J351" s="45">
        <v>799</v>
      </c>
      <c r="K351" s="45">
        <v>799</v>
      </c>
      <c r="L351" s="45">
        <v>799</v>
      </c>
      <c r="M351" s="45">
        <v>799</v>
      </c>
      <c r="N351" s="45">
        <v>799</v>
      </c>
      <c r="O351" s="45">
        <v>799</v>
      </c>
      <c r="P351" s="46">
        <v>799</v>
      </c>
      <c r="Q351" s="46">
        <v>799</v>
      </c>
      <c r="R351" s="45">
        <v>799</v>
      </c>
      <c r="S351" s="45">
        <v>799</v>
      </c>
      <c r="T351" s="45">
        <v>799</v>
      </c>
      <c r="U351" s="45">
        <v>799</v>
      </c>
      <c r="V351" s="45">
        <v>799</v>
      </c>
      <c r="W351" s="45">
        <v>799</v>
      </c>
      <c r="X351" s="45">
        <v>799</v>
      </c>
      <c r="Y351" s="45">
        <v>799</v>
      </c>
      <c r="Z351" s="45">
        <v>799</v>
      </c>
      <c r="AA351" s="45">
        <v>799</v>
      </c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7"/>
      <c r="AW351" s="48" t="s">
        <v>67</v>
      </c>
      <c r="AX351" s="49" t="s">
        <v>68</v>
      </c>
      <c r="AY351" s="50">
        <f t="shared" si="27"/>
        <v>44.419799999999995</v>
      </c>
      <c r="AZ351" s="50">
        <f t="shared" si="28"/>
        <v>40.021799999999999</v>
      </c>
      <c r="BA351" s="51">
        <f t="shared" si="29"/>
        <v>22.649699999999999</v>
      </c>
    </row>
    <row r="352" spans="1:53" ht="22.5" customHeight="1">
      <c r="A352" s="41" t="s">
        <v>63</v>
      </c>
      <c r="B352" s="42" t="s">
        <v>64</v>
      </c>
      <c r="C352" s="43">
        <v>4014708</v>
      </c>
      <c r="D352" s="58" t="s">
        <v>533</v>
      </c>
      <c r="E352" s="58" t="s">
        <v>535</v>
      </c>
      <c r="F352" s="45">
        <v>2199</v>
      </c>
      <c r="G352" s="45">
        <v>1099</v>
      </c>
      <c r="H352" s="45">
        <v>2199</v>
      </c>
      <c r="I352" s="45">
        <v>2199</v>
      </c>
      <c r="J352" s="45">
        <v>799</v>
      </c>
      <c r="K352" s="45">
        <v>799</v>
      </c>
      <c r="L352" s="45">
        <v>799</v>
      </c>
      <c r="M352" s="45">
        <v>799</v>
      </c>
      <c r="N352" s="45">
        <v>799</v>
      </c>
      <c r="O352" s="45">
        <v>799</v>
      </c>
      <c r="P352" s="46">
        <v>799</v>
      </c>
      <c r="Q352" s="46">
        <v>799</v>
      </c>
      <c r="R352" s="45">
        <v>799</v>
      </c>
      <c r="S352" s="45">
        <v>799</v>
      </c>
      <c r="T352" s="45">
        <v>799</v>
      </c>
      <c r="U352" s="45">
        <v>799</v>
      </c>
      <c r="V352" s="45">
        <v>799</v>
      </c>
      <c r="W352" s="45">
        <v>799</v>
      </c>
      <c r="X352" s="45">
        <v>799</v>
      </c>
      <c r="Y352" s="45">
        <v>799</v>
      </c>
      <c r="Z352" s="45">
        <v>799</v>
      </c>
      <c r="AA352" s="45">
        <v>799</v>
      </c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7"/>
      <c r="AW352" s="48" t="s">
        <v>67</v>
      </c>
      <c r="AX352" s="49" t="s">
        <v>68</v>
      </c>
      <c r="AY352" s="50">
        <f t="shared" si="27"/>
        <v>44.419799999999995</v>
      </c>
      <c r="AZ352" s="50">
        <f t="shared" si="28"/>
        <v>40.021799999999999</v>
      </c>
      <c r="BA352" s="51">
        <f t="shared" si="29"/>
        <v>22.649699999999999</v>
      </c>
    </row>
    <row r="353" spans="1:53" ht="22.5" customHeight="1">
      <c r="A353" s="41" t="s">
        <v>63</v>
      </c>
      <c r="B353" s="42" t="s">
        <v>64</v>
      </c>
      <c r="C353" s="43">
        <v>4015523</v>
      </c>
      <c r="D353" s="58" t="s">
        <v>533</v>
      </c>
      <c r="E353" s="58" t="s">
        <v>536</v>
      </c>
      <c r="F353" s="45">
        <v>2199</v>
      </c>
      <c r="G353" s="45">
        <v>1099</v>
      </c>
      <c r="H353" s="45">
        <v>2199</v>
      </c>
      <c r="I353" s="45">
        <v>2199</v>
      </c>
      <c r="J353" s="45">
        <v>799</v>
      </c>
      <c r="K353" s="45">
        <v>799</v>
      </c>
      <c r="L353" s="45">
        <v>799</v>
      </c>
      <c r="M353" s="45">
        <v>799</v>
      </c>
      <c r="N353" s="45">
        <v>799</v>
      </c>
      <c r="O353" s="45">
        <v>799</v>
      </c>
      <c r="P353" s="46">
        <v>799</v>
      </c>
      <c r="Q353" s="46">
        <v>799</v>
      </c>
      <c r="R353" s="45">
        <v>799</v>
      </c>
      <c r="S353" s="45">
        <v>799</v>
      </c>
      <c r="T353" s="45">
        <v>799</v>
      </c>
      <c r="U353" s="45">
        <v>799</v>
      </c>
      <c r="V353" s="45">
        <v>799</v>
      </c>
      <c r="W353" s="45">
        <v>799</v>
      </c>
      <c r="X353" s="45">
        <v>799</v>
      </c>
      <c r="Y353" s="45">
        <v>799</v>
      </c>
      <c r="Z353" s="45">
        <v>799</v>
      </c>
      <c r="AA353" s="45">
        <v>799</v>
      </c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7"/>
      <c r="AW353" s="48" t="s">
        <v>67</v>
      </c>
      <c r="AX353" s="49" t="s">
        <v>68</v>
      </c>
      <c r="AY353" s="50">
        <f t="shared" si="27"/>
        <v>44.419799999999995</v>
      </c>
      <c r="AZ353" s="50">
        <f t="shared" si="28"/>
        <v>40.021799999999999</v>
      </c>
      <c r="BA353" s="51">
        <f t="shared" si="29"/>
        <v>22.649699999999999</v>
      </c>
    </row>
    <row r="354" spans="1:53" ht="22.5" customHeight="1">
      <c r="A354" s="41" t="s">
        <v>63</v>
      </c>
      <c r="B354" s="42" t="s">
        <v>64</v>
      </c>
      <c r="C354" s="43">
        <v>4015520</v>
      </c>
      <c r="D354" s="58" t="s">
        <v>533</v>
      </c>
      <c r="E354" s="58" t="s">
        <v>537</v>
      </c>
      <c r="F354" s="45">
        <v>2199</v>
      </c>
      <c r="G354" s="45">
        <v>1099</v>
      </c>
      <c r="H354" s="45">
        <v>2199</v>
      </c>
      <c r="I354" s="45">
        <v>2199</v>
      </c>
      <c r="J354" s="45">
        <v>799</v>
      </c>
      <c r="K354" s="45">
        <v>799</v>
      </c>
      <c r="L354" s="45">
        <v>799</v>
      </c>
      <c r="M354" s="45">
        <v>799</v>
      </c>
      <c r="N354" s="45">
        <v>799</v>
      </c>
      <c r="O354" s="45">
        <v>799</v>
      </c>
      <c r="P354" s="46">
        <v>799</v>
      </c>
      <c r="Q354" s="46">
        <v>799</v>
      </c>
      <c r="R354" s="45">
        <v>799</v>
      </c>
      <c r="S354" s="45">
        <v>799</v>
      </c>
      <c r="T354" s="45">
        <v>799</v>
      </c>
      <c r="U354" s="45">
        <v>799</v>
      </c>
      <c r="V354" s="45">
        <v>799</v>
      </c>
      <c r="W354" s="45">
        <v>799</v>
      </c>
      <c r="X354" s="45">
        <v>799</v>
      </c>
      <c r="Y354" s="45">
        <v>799</v>
      </c>
      <c r="Z354" s="45">
        <v>799</v>
      </c>
      <c r="AA354" s="45">
        <v>799</v>
      </c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7"/>
      <c r="AW354" s="48" t="s">
        <v>67</v>
      </c>
      <c r="AX354" s="49" t="s">
        <v>68</v>
      </c>
      <c r="AY354" s="50">
        <f t="shared" si="27"/>
        <v>44.419799999999995</v>
      </c>
      <c r="AZ354" s="50">
        <f t="shared" si="28"/>
        <v>40.021799999999999</v>
      </c>
      <c r="BA354" s="51">
        <f t="shared" si="29"/>
        <v>22.649699999999999</v>
      </c>
    </row>
    <row r="355" spans="1:53" ht="22.5" customHeight="1">
      <c r="A355" s="41" t="s">
        <v>63</v>
      </c>
      <c r="B355" s="42" t="s">
        <v>64</v>
      </c>
      <c r="C355" s="43">
        <v>4014707</v>
      </c>
      <c r="D355" s="58" t="s">
        <v>538</v>
      </c>
      <c r="E355" s="58" t="s">
        <v>539</v>
      </c>
      <c r="F355" s="45">
        <v>6999</v>
      </c>
      <c r="G355" s="45">
        <v>1899</v>
      </c>
      <c r="H355" s="45">
        <v>3499</v>
      </c>
      <c r="I355" s="45">
        <v>3499</v>
      </c>
      <c r="J355" s="45">
        <v>1199</v>
      </c>
      <c r="K355" s="45">
        <v>1199</v>
      </c>
      <c r="L355" s="45">
        <v>1199</v>
      </c>
      <c r="M355" s="45">
        <v>1199</v>
      </c>
      <c r="N355" s="45">
        <v>1199</v>
      </c>
      <c r="O355" s="45">
        <v>1199</v>
      </c>
      <c r="P355" s="46">
        <v>1199</v>
      </c>
      <c r="Q355" s="46">
        <v>1099</v>
      </c>
      <c r="R355" s="45">
        <v>1199</v>
      </c>
      <c r="S355" s="45">
        <v>1199</v>
      </c>
      <c r="T355" s="45">
        <v>1099</v>
      </c>
      <c r="U355" s="45">
        <v>1099</v>
      </c>
      <c r="V355" s="45">
        <v>1099</v>
      </c>
      <c r="W355" s="45">
        <v>1099</v>
      </c>
      <c r="X355" s="45">
        <v>1099</v>
      </c>
      <c r="Y355" s="45">
        <v>1099</v>
      </c>
      <c r="Z355" s="45">
        <v>1099</v>
      </c>
      <c r="AA355" s="45">
        <v>1099</v>
      </c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7"/>
      <c r="AW355" s="48" t="s">
        <v>67</v>
      </c>
      <c r="AX355" s="49" t="s">
        <v>68</v>
      </c>
      <c r="AY355" s="50">
        <f t="shared" si="27"/>
        <v>70.6798</v>
      </c>
      <c r="AZ355" s="50">
        <f t="shared" si="28"/>
        <v>63.681800000000003</v>
      </c>
      <c r="BA355" s="51">
        <f t="shared" si="29"/>
        <v>36.039700000000003</v>
      </c>
    </row>
    <row r="356" spans="1:53" ht="22.5" customHeight="1">
      <c r="A356" s="41" t="s">
        <v>63</v>
      </c>
      <c r="B356" s="42" t="s">
        <v>64</v>
      </c>
      <c r="C356" s="43">
        <v>4014734</v>
      </c>
      <c r="D356" s="58" t="s">
        <v>538</v>
      </c>
      <c r="E356" s="58" t="s">
        <v>540</v>
      </c>
      <c r="F356" s="45">
        <v>6999</v>
      </c>
      <c r="G356" s="45">
        <v>1899</v>
      </c>
      <c r="H356" s="45">
        <v>3499</v>
      </c>
      <c r="I356" s="45">
        <v>3499</v>
      </c>
      <c r="J356" s="45">
        <v>1199</v>
      </c>
      <c r="K356" s="45">
        <v>1199</v>
      </c>
      <c r="L356" s="45">
        <v>1199</v>
      </c>
      <c r="M356" s="45">
        <v>1199</v>
      </c>
      <c r="N356" s="45">
        <v>1199</v>
      </c>
      <c r="O356" s="45">
        <v>1199</v>
      </c>
      <c r="P356" s="46">
        <v>1199</v>
      </c>
      <c r="Q356" s="46">
        <v>1099</v>
      </c>
      <c r="R356" s="45">
        <v>1199</v>
      </c>
      <c r="S356" s="45">
        <v>1199</v>
      </c>
      <c r="T356" s="45">
        <v>1099</v>
      </c>
      <c r="U356" s="45">
        <v>1099</v>
      </c>
      <c r="V356" s="45">
        <v>1099</v>
      </c>
      <c r="W356" s="45">
        <v>1099</v>
      </c>
      <c r="X356" s="45">
        <v>1099</v>
      </c>
      <c r="Y356" s="45">
        <v>1099</v>
      </c>
      <c r="Z356" s="45">
        <v>1099</v>
      </c>
      <c r="AA356" s="45">
        <v>1099</v>
      </c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7"/>
      <c r="AW356" s="48" t="s">
        <v>67</v>
      </c>
      <c r="AX356" s="49" t="s">
        <v>68</v>
      </c>
      <c r="AY356" s="50">
        <f t="shared" si="27"/>
        <v>70.6798</v>
      </c>
      <c r="AZ356" s="50">
        <f t="shared" si="28"/>
        <v>63.681800000000003</v>
      </c>
      <c r="BA356" s="51">
        <f t="shared" si="29"/>
        <v>36.039700000000003</v>
      </c>
    </row>
    <row r="357" spans="1:53" ht="22.5" customHeight="1">
      <c r="A357" s="41" t="s">
        <v>63</v>
      </c>
      <c r="B357" s="42" t="s">
        <v>64</v>
      </c>
      <c r="C357" s="43">
        <v>4015319</v>
      </c>
      <c r="D357" s="58" t="s">
        <v>541</v>
      </c>
      <c r="E357" s="58" t="s">
        <v>542</v>
      </c>
      <c r="F357" s="45">
        <v>5499</v>
      </c>
      <c r="G357" s="45">
        <v>2399</v>
      </c>
      <c r="H357" s="45">
        <v>3899</v>
      </c>
      <c r="I357" s="45">
        <v>3899</v>
      </c>
      <c r="J357" s="45">
        <v>2899</v>
      </c>
      <c r="K357" s="45">
        <v>2799</v>
      </c>
      <c r="L357" s="45">
        <v>2799</v>
      </c>
      <c r="M357" s="45">
        <v>2899</v>
      </c>
      <c r="N357" s="45">
        <v>2899</v>
      </c>
      <c r="O357" s="45">
        <v>2599</v>
      </c>
      <c r="P357" s="46">
        <v>2399</v>
      </c>
      <c r="Q357" s="46">
        <v>1599</v>
      </c>
      <c r="R357" s="45">
        <v>2599</v>
      </c>
      <c r="S357" s="45">
        <v>2399</v>
      </c>
      <c r="T357" s="45">
        <v>1599</v>
      </c>
      <c r="U357" s="45">
        <v>1599</v>
      </c>
      <c r="V357" s="45">
        <v>1599</v>
      </c>
      <c r="W357" s="45">
        <v>1599</v>
      </c>
      <c r="X357" s="45">
        <v>1499</v>
      </c>
      <c r="Y357" s="45">
        <v>1299</v>
      </c>
      <c r="Z357" s="45">
        <v>1299</v>
      </c>
      <c r="AA357" s="45">
        <v>1299</v>
      </c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7"/>
      <c r="AW357" s="48" t="s">
        <v>67</v>
      </c>
      <c r="AX357" s="49" t="s">
        <v>68</v>
      </c>
      <c r="AY357" s="50">
        <f t="shared" si="27"/>
        <v>78.759799999999998</v>
      </c>
      <c r="AZ357" s="50">
        <f t="shared" si="28"/>
        <v>70.961799999999997</v>
      </c>
      <c r="BA357" s="51">
        <f t="shared" si="29"/>
        <v>40.159700000000001</v>
      </c>
    </row>
    <row r="358" spans="1:53" ht="22.5" customHeight="1">
      <c r="A358" s="41" t="s">
        <v>63</v>
      </c>
      <c r="B358" s="42" t="s">
        <v>64</v>
      </c>
      <c r="C358" s="43">
        <v>4015280</v>
      </c>
      <c r="D358" s="58" t="s">
        <v>541</v>
      </c>
      <c r="E358" s="58" t="s">
        <v>543</v>
      </c>
      <c r="F358" s="45">
        <v>5499</v>
      </c>
      <c r="G358" s="45">
        <v>2399</v>
      </c>
      <c r="H358" s="45">
        <v>3899</v>
      </c>
      <c r="I358" s="45">
        <v>3899</v>
      </c>
      <c r="J358" s="45">
        <v>2899</v>
      </c>
      <c r="K358" s="45">
        <v>2799</v>
      </c>
      <c r="L358" s="45">
        <v>2799</v>
      </c>
      <c r="M358" s="45">
        <v>2899</v>
      </c>
      <c r="N358" s="45">
        <v>2899</v>
      </c>
      <c r="O358" s="45">
        <v>2599</v>
      </c>
      <c r="P358" s="46">
        <v>2399</v>
      </c>
      <c r="Q358" s="46">
        <v>1599</v>
      </c>
      <c r="R358" s="45">
        <v>2599</v>
      </c>
      <c r="S358" s="45">
        <v>2399</v>
      </c>
      <c r="T358" s="45">
        <v>1599</v>
      </c>
      <c r="U358" s="45">
        <v>1599</v>
      </c>
      <c r="V358" s="45">
        <v>1599</v>
      </c>
      <c r="W358" s="45">
        <v>1599</v>
      </c>
      <c r="X358" s="45">
        <v>1499</v>
      </c>
      <c r="Y358" s="45">
        <v>1299</v>
      </c>
      <c r="Z358" s="45">
        <v>1299</v>
      </c>
      <c r="AA358" s="45">
        <v>1299</v>
      </c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7"/>
      <c r="AW358" s="48" t="s">
        <v>67</v>
      </c>
      <c r="AX358" s="49" t="s">
        <v>68</v>
      </c>
      <c r="AY358" s="50">
        <f t="shared" si="27"/>
        <v>78.759799999999998</v>
      </c>
      <c r="AZ358" s="50">
        <f t="shared" si="28"/>
        <v>70.961799999999997</v>
      </c>
      <c r="BA358" s="51">
        <f t="shared" si="29"/>
        <v>40.159700000000001</v>
      </c>
    </row>
    <row r="359" spans="1:53" ht="22.5" customHeight="1">
      <c r="A359" s="41" t="s">
        <v>63</v>
      </c>
      <c r="B359" s="42" t="s">
        <v>64</v>
      </c>
      <c r="C359" s="43">
        <v>4015312</v>
      </c>
      <c r="D359" s="58" t="s">
        <v>541</v>
      </c>
      <c r="E359" s="58" t="s">
        <v>544</v>
      </c>
      <c r="F359" s="45">
        <v>5499</v>
      </c>
      <c r="G359" s="45">
        <v>2399</v>
      </c>
      <c r="H359" s="45">
        <v>3899</v>
      </c>
      <c r="I359" s="45">
        <v>3899</v>
      </c>
      <c r="J359" s="45">
        <v>2899</v>
      </c>
      <c r="K359" s="45">
        <v>2799</v>
      </c>
      <c r="L359" s="45">
        <v>2799</v>
      </c>
      <c r="M359" s="45">
        <v>2899</v>
      </c>
      <c r="N359" s="45">
        <v>2899</v>
      </c>
      <c r="O359" s="45">
        <v>2599</v>
      </c>
      <c r="P359" s="46">
        <v>2399</v>
      </c>
      <c r="Q359" s="46">
        <v>1599</v>
      </c>
      <c r="R359" s="45">
        <v>2599</v>
      </c>
      <c r="S359" s="45">
        <v>2399</v>
      </c>
      <c r="T359" s="45">
        <v>1599</v>
      </c>
      <c r="U359" s="45">
        <v>1599</v>
      </c>
      <c r="V359" s="45">
        <v>1599</v>
      </c>
      <c r="W359" s="45">
        <v>1599</v>
      </c>
      <c r="X359" s="45">
        <v>1499</v>
      </c>
      <c r="Y359" s="45">
        <v>1299</v>
      </c>
      <c r="Z359" s="45">
        <v>1299</v>
      </c>
      <c r="AA359" s="45">
        <v>1299</v>
      </c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7"/>
      <c r="AW359" s="48" t="s">
        <v>67</v>
      </c>
      <c r="AX359" s="49" t="s">
        <v>68</v>
      </c>
      <c r="AY359" s="50">
        <f t="shared" si="27"/>
        <v>78.759799999999998</v>
      </c>
      <c r="AZ359" s="50">
        <f t="shared" si="28"/>
        <v>70.961799999999997</v>
      </c>
      <c r="BA359" s="51">
        <f t="shared" si="29"/>
        <v>40.159700000000001</v>
      </c>
    </row>
    <row r="360" spans="1:53" ht="22.5" customHeight="1">
      <c r="A360" s="41" t="s">
        <v>63</v>
      </c>
      <c r="B360" s="42" t="s">
        <v>64</v>
      </c>
      <c r="C360" s="43">
        <v>4015327</v>
      </c>
      <c r="D360" s="58" t="s">
        <v>541</v>
      </c>
      <c r="E360" s="58" t="s">
        <v>545</v>
      </c>
      <c r="F360" s="45">
        <v>5499</v>
      </c>
      <c r="G360" s="45">
        <v>2399</v>
      </c>
      <c r="H360" s="45">
        <v>3899</v>
      </c>
      <c r="I360" s="45">
        <v>3899</v>
      </c>
      <c r="J360" s="45">
        <v>2899</v>
      </c>
      <c r="K360" s="45">
        <v>2799</v>
      </c>
      <c r="L360" s="45">
        <v>2799</v>
      </c>
      <c r="M360" s="45">
        <v>2899</v>
      </c>
      <c r="N360" s="45">
        <v>2899</v>
      </c>
      <c r="O360" s="45">
        <v>2599</v>
      </c>
      <c r="P360" s="46">
        <v>2399</v>
      </c>
      <c r="Q360" s="46">
        <v>1599</v>
      </c>
      <c r="R360" s="45">
        <v>2599</v>
      </c>
      <c r="S360" s="45">
        <v>2399</v>
      </c>
      <c r="T360" s="45">
        <v>1599</v>
      </c>
      <c r="U360" s="45">
        <v>1599</v>
      </c>
      <c r="V360" s="45">
        <v>1599</v>
      </c>
      <c r="W360" s="45">
        <v>1599</v>
      </c>
      <c r="X360" s="45">
        <v>1499</v>
      </c>
      <c r="Y360" s="45">
        <v>1299</v>
      </c>
      <c r="Z360" s="45">
        <v>1299</v>
      </c>
      <c r="AA360" s="45">
        <v>1299</v>
      </c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7"/>
      <c r="AW360" s="48" t="s">
        <v>67</v>
      </c>
      <c r="AX360" s="49" t="s">
        <v>68</v>
      </c>
      <c r="AY360" s="50">
        <f t="shared" si="27"/>
        <v>78.759799999999998</v>
      </c>
      <c r="AZ360" s="50">
        <f t="shared" si="28"/>
        <v>70.961799999999997</v>
      </c>
      <c r="BA360" s="51">
        <f t="shared" si="29"/>
        <v>40.159700000000001</v>
      </c>
    </row>
    <row r="361" spans="1:53" ht="22.5" customHeight="1">
      <c r="A361" s="41" t="s">
        <v>63</v>
      </c>
      <c r="B361" s="42" t="s">
        <v>64</v>
      </c>
      <c r="C361" s="43">
        <v>4015291</v>
      </c>
      <c r="D361" s="58" t="s">
        <v>546</v>
      </c>
      <c r="E361" s="58" t="s">
        <v>547</v>
      </c>
      <c r="F361" s="45">
        <v>6499</v>
      </c>
      <c r="G361" s="45">
        <v>3399</v>
      </c>
      <c r="H361" s="45">
        <v>4999</v>
      </c>
      <c r="I361" s="45">
        <v>4999</v>
      </c>
      <c r="J361" s="45">
        <v>4099</v>
      </c>
      <c r="K361" s="45">
        <v>3999</v>
      </c>
      <c r="L361" s="45">
        <v>3999</v>
      </c>
      <c r="M361" s="45">
        <v>4099</v>
      </c>
      <c r="N361" s="45">
        <v>4099</v>
      </c>
      <c r="O361" s="45">
        <v>3899</v>
      </c>
      <c r="P361" s="46">
        <v>3799</v>
      </c>
      <c r="Q361" s="46">
        <v>3399</v>
      </c>
      <c r="R361" s="45">
        <v>3899</v>
      </c>
      <c r="S361" s="45">
        <v>3799</v>
      </c>
      <c r="T361" s="45">
        <v>3399</v>
      </c>
      <c r="U361" s="45">
        <v>3399</v>
      </c>
      <c r="V361" s="45">
        <v>3399</v>
      </c>
      <c r="W361" s="45">
        <v>3399</v>
      </c>
      <c r="X361" s="45">
        <v>3299</v>
      </c>
      <c r="Y361" s="45">
        <v>2899</v>
      </c>
      <c r="Z361" s="45">
        <v>2899</v>
      </c>
      <c r="AA361" s="45">
        <v>2899</v>
      </c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7"/>
      <c r="AW361" s="48" t="s">
        <v>67</v>
      </c>
      <c r="AX361" s="49" t="s">
        <v>68</v>
      </c>
      <c r="AY361" s="50">
        <f t="shared" si="27"/>
        <v>100.9798</v>
      </c>
      <c r="AZ361" s="50">
        <f t="shared" si="28"/>
        <v>90.981800000000007</v>
      </c>
      <c r="BA361" s="51">
        <f t="shared" si="29"/>
        <v>51.489699999999999</v>
      </c>
    </row>
    <row r="362" spans="1:53" ht="22.5" customHeight="1">
      <c r="A362" s="41" t="s">
        <v>63</v>
      </c>
      <c r="B362" s="42" t="s">
        <v>64</v>
      </c>
      <c r="C362" s="43">
        <v>4015322</v>
      </c>
      <c r="D362" s="58" t="s">
        <v>546</v>
      </c>
      <c r="E362" s="58" t="s">
        <v>548</v>
      </c>
      <c r="F362" s="45">
        <v>6499</v>
      </c>
      <c r="G362" s="45">
        <v>3399</v>
      </c>
      <c r="H362" s="45">
        <v>4999</v>
      </c>
      <c r="I362" s="45">
        <v>4999</v>
      </c>
      <c r="J362" s="45">
        <v>4099</v>
      </c>
      <c r="K362" s="45">
        <v>3999</v>
      </c>
      <c r="L362" s="45">
        <v>3999</v>
      </c>
      <c r="M362" s="45">
        <v>4099</v>
      </c>
      <c r="N362" s="45">
        <v>4099</v>
      </c>
      <c r="O362" s="45">
        <v>3899</v>
      </c>
      <c r="P362" s="46">
        <v>3799</v>
      </c>
      <c r="Q362" s="46">
        <v>3399</v>
      </c>
      <c r="R362" s="45">
        <v>3899</v>
      </c>
      <c r="S362" s="45">
        <v>3799</v>
      </c>
      <c r="T362" s="45">
        <v>3399</v>
      </c>
      <c r="U362" s="45">
        <v>3399</v>
      </c>
      <c r="V362" s="45">
        <v>3399</v>
      </c>
      <c r="W362" s="45">
        <v>3399</v>
      </c>
      <c r="X362" s="45">
        <v>3299</v>
      </c>
      <c r="Y362" s="45">
        <v>2899</v>
      </c>
      <c r="Z362" s="45">
        <v>2899</v>
      </c>
      <c r="AA362" s="45">
        <v>2899</v>
      </c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7"/>
      <c r="AW362" s="48" t="s">
        <v>67</v>
      </c>
      <c r="AX362" s="49" t="s">
        <v>68</v>
      </c>
      <c r="AY362" s="50">
        <f t="shared" si="27"/>
        <v>100.9798</v>
      </c>
      <c r="AZ362" s="50">
        <f t="shared" si="28"/>
        <v>90.981800000000007</v>
      </c>
      <c r="BA362" s="51">
        <f t="shared" si="29"/>
        <v>51.489699999999999</v>
      </c>
    </row>
    <row r="363" spans="1:53" ht="22.5" customHeight="1">
      <c r="A363" s="41" t="s">
        <v>63</v>
      </c>
      <c r="B363" s="42" t="s">
        <v>64</v>
      </c>
      <c r="C363" s="43">
        <v>4015282</v>
      </c>
      <c r="D363" s="58" t="s">
        <v>546</v>
      </c>
      <c r="E363" s="58" t="s">
        <v>549</v>
      </c>
      <c r="F363" s="45">
        <v>6499</v>
      </c>
      <c r="G363" s="45">
        <v>3399</v>
      </c>
      <c r="H363" s="45">
        <v>4999</v>
      </c>
      <c r="I363" s="45">
        <v>4999</v>
      </c>
      <c r="J363" s="45">
        <v>4099</v>
      </c>
      <c r="K363" s="45">
        <v>3999</v>
      </c>
      <c r="L363" s="45">
        <v>3999</v>
      </c>
      <c r="M363" s="45">
        <v>4099</v>
      </c>
      <c r="N363" s="45">
        <v>4099</v>
      </c>
      <c r="O363" s="45">
        <v>3899</v>
      </c>
      <c r="P363" s="46">
        <v>3799</v>
      </c>
      <c r="Q363" s="46">
        <v>3399</v>
      </c>
      <c r="R363" s="45">
        <v>3899</v>
      </c>
      <c r="S363" s="45">
        <v>3799</v>
      </c>
      <c r="T363" s="45">
        <v>3399</v>
      </c>
      <c r="U363" s="45">
        <v>3399</v>
      </c>
      <c r="V363" s="45">
        <v>3399</v>
      </c>
      <c r="W363" s="45">
        <v>3399</v>
      </c>
      <c r="X363" s="45">
        <v>3299</v>
      </c>
      <c r="Y363" s="45">
        <v>2899</v>
      </c>
      <c r="Z363" s="45">
        <v>2899</v>
      </c>
      <c r="AA363" s="45">
        <v>2899</v>
      </c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7"/>
      <c r="AW363" s="48" t="s">
        <v>67</v>
      </c>
      <c r="AX363" s="49" t="s">
        <v>68</v>
      </c>
      <c r="AY363" s="50">
        <f t="shared" si="27"/>
        <v>100.9798</v>
      </c>
      <c r="AZ363" s="50">
        <f t="shared" si="28"/>
        <v>90.981800000000007</v>
      </c>
      <c r="BA363" s="51">
        <f t="shared" si="29"/>
        <v>51.489699999999999</v>
      </c>
    </row>
    <row r="364" spans="1:53" ht="22.5" customHeight="1">
      <c r="A364" s="41" t="s">
        <v>63</v>
      </c>
      <c r="B364" s="42" t="s">
        <v>64</v>
      </c>
      <c r="C364" s="43">
        <v>4015314</v>
      </c>
      <c r="D364" s="58" t="s">
        <v>546</v>
      </c>
      <c r="E364" s="58" t="s">
        <v>550</v>
      </c>
      <c r="F364" s="45">
        <v>6499</v>
      </c>
      <c r="G364" s="45">
        <v>3399</v>
      </c>
      <c r="H364" s="45">
        <v>4999</v>
      </c>
      <c r="I364" s="45">
        <v>4999</v>
      </c>
      <c r="J364" s="45">
        <v>4099</v>
      </c>
      <c r="K364" s="45">
        <v>3999</v>
      </c>
      <c r="L364" s="45">
        <v>3999</v>
      </c>
      <c r="M364" s="45">
        <v>4099</v>
      </c>
      <c r="N364" s="45">
        <v>4099</v>
      </c>
      <c r="O364" s="45">
        <v>3899</v>
      </c>
      <c r="P364" s="46">
        <v>3799</v>
      </c>
      <c r="Q364" s="46">
        <v>3399</v>
      </c>
      <c r="R364" s="45">
        <v>3899</v>
      </c>
      <c r="S364" s="45">
        <v>3799</v>
      </c>
      <c r="T364" s="45">
        <v>3399</v>
      </c>
      <c r="U364" s="45">
        <v>3399</v>
      </c>
      <c r="V364" s="45">
        <v>3399</v>
      </c>
      <c r="W364" s="45">
        <v>3399</v>
      </c>
      <c r="X364" s="45">
        <v>3299</v>
      </c>
      <c r="Y364" s="45">
        <v>2899</v>
      </c>
      <c r="Z364" s="45">
        <v>2899</v>
      </c>
      <c r="AA364" s="45">
        <v>2899</v>
      </c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7"/>
      <c r="AW364" s="48" t="s">
        <v>67</v>
      </c>
      <c r="AX364" s="49" t="s">
        <v>68</v>
      </c>
      <c r="AY364" s="50">
        <f t="shared" si="27"/>
        <v>100.9798</v>
      </c>
      <c r="AZ364" s="50">
        <f t="shared" si="28"/>
        <v>90.981800000000007</v>
      </c>
      <c r="BA364" s="51">
        <f t="shared" si="29"/>
        <v>51.489699999999999</v>
      </c>
    </row>
    <row r="365" spans="1:53" ht="22.5" customHeight="1">
      <c r="A365" s="41" t="s">
        <v>63</v>
      </c>
      <c r="B365" s="42" t="s">
        <v>64</v>
      </c>
      <c r="C365" s="43">
        <v>4015330</v>
      </c>
      <c r="D365" s="58" t="s">
        <v>546</v>
      </c>
      <c r="E365" s="58" t="s">
        <v>551</v>
      </c>
      <c r="F365" s="45">
        <v>6499</v>
      </c>
      <c r="G365" s="45">
        <v>3399</v>
      </c>
      <c r="H365" s="45">
        <v>4999</v>
      </c>
      <c r="I365" s="45">
        <v>4999</v>
      </c>
      <c r="J365" s="45">
        <v>4099</v>
      </c>
      <c r="K365" s="45">
        <v>3999</v>
      </c>
      <c r="L365" s="45">
        <v>3999</v>
      </c>
      <c r="M365" s="45">
        <v>4099</v>
      </c>
      <c r="N365" s="45">
        <v>4099</v>
      </c>
      <c r="O365" s="45">
        <v>3899</v>
      </c>
      <c r="P365" s="46">
        <v>3799</v>
      </c>
      <c r="Q365" s="46">
        <v>3399</v>
      </c>
      <c r="R365" s="45">
        <v>3899</v>
      </c>
      <c r="S365" s="45">
        <v>3799</v>
      </c>
      <c r="T365" s="45">
        <v>3399</v>
      </c>
      <c r="U365" s="45">
        <v>3399</v>
      </c>
      <c r="V365" s="45">
        <v>3399</v>
      </c>
      <c r="W365" s="45">
        <v>3399</v>
      </c>
      <c r="X365" s="45">
        <v>3299</v>
      </c>
      <c r="Y365" s="45">
        <v>2899</v>
      </c>
      <c r="Z365" s="45">
        <v>2899</v>
      </c>
      <c r="AA365" s="45">
        <v>2899</v>
      </c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7"/>
      <c r="AW365" s="48" t="s">
        <v>67</v>
      </c>
      <c r="AX365" s="49" t="s">
        <v>68</v>
      </c>
      <c r="AY365" s="50">
        <f t="shared" ref="AY365:AY428" si="35">$H365*AY$11</f>
        <v>100.9798</v>
      </c>
      <c r="AZ365" s="50">
        <f t="shared" ref="AZ365:AZ428" si="36">($H365*AZ$11)</f>
        <v>90.981800000000007</v>
      </c>
      <c r="BA365" s="51">
        <f t="shared" ref="BA365:BA428" si="37">$H365*BA$11</f>
        <v>51.489699999999999</v>
      </c>
    </row>
    <row r="366" spans="1:53" ht="22.5" customHeight="1">
      <c r="A366" s="41" t="s">
        <v>63</v>
      </c>
      <c r="B366" s="42" t="s">
        <v>64</v>
      </c>
      <c r="C366" s="43">
        <v>4015290</v>
      </c>
      <c r="D366" s="58" t="s">
        <v>552</v>
      </c>
      <c r="E366" s="58" t="s">
        <v>553</v>
      </c>
      <c r="F366" s="45">
        <v>7499</v>
      </c>
      <c r="G366" s="45">
        <v>4399</v>
      </c>
      <c r="H366" s="45">
        <v>5999</v>
      </c>
      <c r="I366" s="45">
        <v>5999</v>
      </c>
      <c r="J366" s="45">
        <v>4999</v>
      </c>
      <c r="K366" s="45">
        <v>4899</v>
      </c>
      <c r="L366" s="45">
        <v>4899</v>
      </c>
      <c r="M366" s="45">
        <v>4999</v>
      </c>
      <c r="N366" s="45">
        <v>4999</v>
      </c>
      <c r="O366" s="45">
        <v>4799</v>
      </c>
      <c r="P366" s="46">
        <v>4699</v>
      </c>
      <c r="Q366" s="46">
        <v>3799</v>
      </c>
      <c r="R366" s="45">
        <v>4799</v>
      </c>
      <c r="S366" s="45">
        <v>4699</v>
      </c>
      <c r="T366" s="45">
        <v>3799</v>
      </c>
      <c r="U366" s="45">
        <v>3799</v>
      </c>
      <c r="V366" s="45">
        <v>3799</v>
      </c>
      <c r="W366" s="45">
        <v>3799</v>
      </c>
      <c r="X366" s="45">
        <v>3699</v>
      </c>
      <c r="Y366" s="45">
        <v>3499</v>
      </c>
      <c r="Z366" s="45">
        <v>3499</v>
      </c>
      <c r="AA366" s="45">
        <v>3499</v>
      </c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7"/>
      <c r="AW366" s="48" t="s">
        <v>67</v>
      </c>
      <c r="AX366" s="49" t="s">
        <v>68</v>
      </c>
      <c r="AY366" s="50">
        <f t="shared" si="35"/>
        <v>121.1798</v>
      </c>
      <c r="AZ366" s="50">
        <f t="shared" si="36"/>
        <v>109.18180000000001</v>
      </c>
      <c r="BA366" s="51">
        <f t="shared" si="37"/>
        <v>61.789700000000003</v>
      </c>
    </row>
    <row r="367" spans="1:53" ht="22.5" customHeight="1">
      <c r="A367" s="41" t="s">
        <v>63</v>
      </c>
      <c r="B367" s="42" t="s">
        <v>64</v>
      </c>
      <c r="C367" s="43">
        <v>4015321</v>
      </c>
      <c r="D367" s="58" t="s">
        <v>552</v>
      </c>
      <c r="E367" s="58" t="s">
        <v>554</v>
      </c>
      <c r="F367" s="45">
        <v>7499</v>
      </c>
      <c r="G367" s="45">
        <v>4399</v>
      </c>
      <c r="H367" s="45">
        <v>5999</v>
      </c>
      <c r="I367" s="45">
        <v>5999</v>
      </c>
      <c r="J367" s="45">
        <v>4999</v>
      </c>
      <c r="K367" s="45">
        <v>4899</v>
      </c>
      <c r="L367" s="45">
        <v>4899</v>
      </c>
      <c r="M367" s="45">
        <v>4999</v>
      </c>
      <c r="N367" s="45">
        <v>4999</v>
      </c>
      <c r="O367" s="45">
        <v>4799</v>
      </c>
      <c r="P367" s="46">
        <v>4699</v>
      </c>
      <c r="Q367" s="46">
        <v>3799</v>
      </c>
      <c r="R367" s="45">
        <v>4799</v>
      </c>
      <c r="S367" s="45">
        <v>4699</v>
      </c>
      <c r="T367" s="45">
        <v>3799</v>
      </c>
      <c r="U367" s="45">
        <v>3799</v>
      </c>
      <c r="V367" s="45">
        <v>3799</v>
      </c>
      <c r="W367" s="45">
        <v>3799</v>
      </c>
      <c r="X367" s="45">
        <v>3699</v>
      </c>
      <c r="Y367" s="45">
        <v>3499</v>
      </c>
      <c r="Z367" s="45">
        <v>3499</v>
      </c>
      <c r="AA367" s="45">
        <v>3499</v>
      </c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7"/>
      <c r="AW367" s="48" t="s">
        <v>67</v>
      </c>
      <c r="AX367" s="49" t="s">
        <v>68</v>
      </c>
      <c r="AY367" s="50">
        <f t="shared" si="35"/>
        <v>121.1798</v>
      </c>
      <c r="AZ367" s="50">
        <f t="shared" si="36"/>
        <v>109.18180000000001</v>
      </c>
      <c r="BA367" s="51">
        <f t="shared" si="37"/>
        <v>61.789700000000003</v>
      </c>
    </row>
    <row r="368" spans="1:53" ht="22.5" customHeight="1">
      <c r="A368" s="41" t="s">
        <v>63</v>
      </c>
      <c r="B368" s="42" t="s">
        <v>64</v>
      </c>
      <c r="C368" s="43">
        <v>4015283</v>
      </c>
      <c r="D368" s="58" t="s">
        <v>552</v>
      </c>
      <c r="E368" s="58" t="s">
        <v>555</v>
      </c>
      <c r="F368" s="45">
        <v>7499</v>
      </c>
      <c r="G368" s="45">
        <v>4399</v>
      </c>
      <c r="H368" s="45">
        <v>5999</v>
      </c>
      <c r="I368" s="45">
        <v>5999</v>
      </c>
      <c r="J368" s="45">
        <v>4999</v>
      </c>
      <c r="K368" s="45">
        <v>4899</v>
      </c>
      <c r="L368" s="45">
        <v>4899</v>
      </c>
      <c r="M368" s="45">
        <v>4999</v>
      </c>
      <c r="N368" s="45">
        <v>4999</v>
      </c>
      <c r="O368" s="45">
        <v>4799</v>
      </c>
      <c r="P368" s="46">
        <v>4699</v>
      </c>
      <c r="Q368" s="46">
        <v>3799</v>
      </c>
      <c r="R368" s="45">
        <v>4799</v>
      </c>
      <c r="S368" s="45">
        <v>4699</v>
      </c>
      <c r="T368" s="45">
        <v>3799</v>
      </c>
      <c r="U368" s="45">
        <v>3799</v>
      </c>
      <c r="V368" s="45">
        <v>3799</v>
      </c>
      <c r="W368" s="45">
        <v>3799</v>
      </c>
      <c r="X368" s="45">
        <v>3699</v>
      </c>
      <c r="Y368" s="45">
        <v>3499</v>
      </c>
      <c r="Z368" s="45">
        <v>3499</v>
      </c>
      <c r="AA368" s="45">
        <v>3499</v>
      </c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7"/>
      <c r="AW368" s="48" t="s">
        <v>67</v>
      </c>
      <c r="AX368" s="49" t="s">
        <v>68</v>
      </c>
      <c r="AY368" s="50">
        <f t="shared" si="35"/>
        <v>121.1798</v>
      </c>
      <c r="AZ368" s="50">
        <f t="shared" si="36"/>
        <v>109.18180000000001</v>
      </c>
      <c r="BA368" s="51">
        <f t="shared" si="37"/>
        <v>61.789700000000003</v>
      </c>
    </row>
    <row r="369" spans="1:53" ht="22.5" customHeight="1">
      <c r="A369" s="41" t="s">
        <v>63</v>
      </c>
      <c r="B369" s="42" t="s">
        <v>64</v>
      </c>
      <c r="C369" s="43">
        <v>4015313</v>
      </c>
      <c r="D369" s="58" t="s">
        <v>552</v>
      </c>
      <c r="E369" s="58" t="s">
        <v>556</v>
      </c>
      <c r="F369" s="45">
        <v>7499</v>
      </c>
      <c r="G369" s="45">
        <v>4399</v>
      </c>
      <c r="H369" s="45">
        <v>5999</v>
      </c>
      <c r="I369" s="45">
        <v>5999</v>
      </c>
      <c r="J369" s="45">
        <v>4999</v>
      </c>
      <c r="K369" s="45">
        <v>4899</v>
      </c>
      <c r="L369" s="45">
        <v>4899</v>
      </c>
      <c r="M369" s="45">
        <v>4999</v>
      </c>
      <c r="N369" s="45">
        <v>4999</v>
      </c>
      <c r="O369" s="45">
        <v>4799</v>
      </c>
      <c r="P369" s="46">
        <v>4699</v>
      </c>
      <c r="Q369" s="46">
        <v>3799</v>
      </c>
      <c r="R369" s="45">
        <v>4799</v>
      </c>
      <c r="S369" s="45">
        <v>4699</v>
      </c>
      <c r="T369" s="45">
        <v>3799</v>
      </c>
      <c r="U369" s="45">
        <v>3799</v>
      </c>
      <c r="V369" s="45">
        <v>3799</v>
      </c>
      <c r="W369" s="45">
        <v>3799</v>
      </c>
      <c r="X369" s="45">
        <v>3699</v>
      </c>
      <c r="Y369" s="45">
        <v>3499</v>
      </c>
      <c r="Z369" s="45">
        <v>3499</v>
      </c>
      <c r="AA369" s="45">
        <v>3499</v>
      </c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7"/>
      <c r="AW369" s="48" t="s">
        <v>67</v>
      </c>
      <c r="AX369" s="49" t="s">
        <v>68</v>
      </c>
      <c r="AY369" s="50">
        <f t="shared" si="35"/>
        <v>121.1798</v>
      </c>
      <c r="AZ369" s="50">
        <f t="shared" si="36"/>
        <v>109.18180000000001</v>
      </c>
      <c r="BA369" s="51">
        <f t="shared" si="37"/>
        <v>61.789700000000003</v>
      </c>
    </row>
    <row r="370" spans="1:53" ht="22.5" customHeight="1">
      <c r="A370" s="41" t="s">
        <v>63</v>
      </c>
      <c r="B370" s="42" t="s">
        <v>64</v>
      </c>
      <c r="C370" s="43">
        <v>4015297</v>
      </c>
      <c r="D370" s="58" t="s">
        <v>552</v>
      </c>
      <c r="E370" s="58" t="s">
        <v>557</v>
      </c>
      <c r="F370" s="45">
        <v>7499</v>
      </c>
      <c r="G370" s="45">
        <v>4399</v>
      </c>
      <c r="H370" s="45">
        <v>5999</v>
      </c>
      <c r="I370" s="45">
        <v>5999</v>
      </c>
      <c r="J370" s="45">
        <v>4999</v>
      </c>
      <c r="K370" s="45">
        <v>4899</v>
      </c>
      <c r="L370" s="45">
        <v>4899</v>
      </c>
      <c r="M370" s="45">
        <v>4999</v>
      </c>
      <c r="N370" s="45">
        <v>4999</v>
      </c>
      <c r="O370" s="45">
        <v>4799</v>
      </c>
      <c r="P370" s="46">
        <v>4699</v>
      </c>
      <c r="Q370" s="46">
        <v>3799</v>
      </c>
      <c r="R370" s="45">
        <v>4799</v>
      </c>
      <c r="S370" s="45">
        <v>4699</v>
      </c>
      <c r="T370" s="45">
        <v>3799</v>
      </c>
      <c r="U370" s="45">
        <v>3799</v>
      </c>
      <c r="V370" s="45">
        <v>3799</v>
      </c>
      <c r="W370" s="45">
        <v>3799</v>
      </c>
      <c r="X370" s="45">
        <v>3699</v>
      </c>
      <c r="Y370" s="45">
        <v>3499</v>
      </c>
      <c r="Z370" s="45">
        <v>3499</v>
      </c>
      <c r="AA370" s="45">
        <v>3499</v>
      </c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7"/>
      <c r="AW370" s="48" t="s">
        <v>67</v>
      </c>
      <c r="AX370" s="49" t="s">
        <v>68</v>
      </c>
      <c r="AY370" s="50">
        <f t="shared" si="35"/>
        <v>121.1798</v>
      </c>
      <c r="AZ370" s="50">
        <f t="shared" si="36"/>
        <v>109.18180000000001</v>
      </c>
      <c r="BA370" s="51">
        <f t="shared" si="37"/>
        <v>61.789700000000003</v>
      </c>
    </row>
    <row r="371" spans="1:53" ht="22.5" customHeight="1">
      <c r="A371" s="41" t="s">
        <v>63</v>
      </c>
      <c r="B371" s="42" t="s">
        <v>64</v>
      </c>
      <c r="C371" s="43">
        <v>4015329</v>
      </c>
      <c r="D371" s="58" t="s">
        <v>552</v>
      </c>
      <c r="E371" s="58" t="s">
        <v>558</v>
      </c>
      <c r="F371" s="45">
        <v>7499</v>
      </c>
      <c r="G371" s="45">
        <v>4399</v>
      </c>
      <c r="H371" s="45">
        <v>5999</v>
      </c>
      <c r="I371" s="45">
        <v>5999</v>
      </c>
      <c r="J371" s="45">
        <v>4999</v>
      </c>
      <c r="K371" s="45">
        <v>4899</v>
      </c>
      <c r="L371" s="45">
        <v>4899</v>
      </c>
      <c r="M371" s="45">
        <v>4999</v>
      </c>
      <c r="N371" s="45">
        <v>4999</v>
      </c>
      <c r="O371" s="45">
        <v>4799</v>
      </c>
      <c r="P371" s="46">
        <v>4699</v>
      </c>
      <c r="Q371" s="46">
        <v>3799</v>
      </c>
      <c r="R371" s="45">
        <v>4799</v>
      </c>
      <c r="S371" s="45">
        <v>4699</v>
      </c>
      <c r="T371" s="45">
        <v>3799</v>
      </c>
      <c r="U371" s="45">
        <v>3799</v>
      </c>
      <c r="V371" s="45">
        <v>3799</v>
      </c>
      <c r="W371" s="45">
        <v>3799</v>
      </c>
      <c r="X371" s="45">
        <v>3699</v>
      </c>
      <c r="Y371" s="45">
        <v>3499</v>
      </c>
      <c r="Z371" s="45">
        <v>3499</v>
      </c>
      <c r="AA371" s="45">
        <v>3499</v>
      </c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7"/>
      <c r="AW371" s="48" t="s">
        <v>67</v>
      </c>
      <c r="AX371" s="49" t="s">
        <v>68</v>
      </c>
      <c r="AY371" s="50">
        <f t="shared" si="35"/>
        <v>121.1798</v>
      </c>
      <c r="AZ371" s="50">
        <f t="shared" si="36"/>
        <v>109.18180000000001</v>
      </c>
      <c r="BA371" s="51">
        <f t="shared" si="37"/>
        <v>61.789700000000003</v>
      </c>
    </row>
    <row r="372" spans="1:53" ht="22.5" customHeight="1">
      <c r="A372" s="41" t="s">
        <v>63</v>
      </c>
      <c r="B372" s="42" t="s">
        <v>64</v>
      </c>
      <c r="C372" s="43">
        <v>4015305</v>
      </c>
      <c r="D372" s="58" t="s">
        <v>552</v>
      </c>
      <c r="E372" s="58" t="s">
        <v>559</v>
      </c>
      <c r="F372" s="45">
        <v>7499</v>
      </c>
      <c r="G372" s="45">
        <v>4399</v>
      </c>
      <c r="H372" s="45">
        <v>5999</v>
      </c>
      <c r="I372" s="45">
        <v>5999</v>
      </c>
      <c r="J372" s="45">
        <v>4999</v>
      </c>
      <c r="K372" s="45">
        <v>4899</v>
      </c>
      <c r="L372" s="45">
        <v>4899</v>
      </c>
      <c r="M372" s="45">
        <v>4999</v>
      </c>
      <c r="N372" s="45">
        <v>4999</v>
      </c>
      <c r="O372" s="45">
        <v>4799</v>
      </c>
      <c r="P372" s="46">
        <v>4699</v>
      </c>
      <c r="Q372" s="46">
        <v>3799</v>
      </c>
      <c r="R372" s="45">
        <v>4799</v>
      </c>
      <c r="S372" s="45">
        <v>4699</v>
      </c>
      <c r="T372" s="45">
        <v>3799</v>
      </c>
      <c r="U372" s="45">
        <v>3799</v>
      </c>
      <c r="V372" s="45">
        <v>3799</v>
      </c>
      <c r="W372" s="45">
        <v>3799</v>
      </c>
      <c r="X372" s="45">
        <v>3699</v>
      </c>
      <c r="Y372" s="45">
        <v>3499</v>
      </c>
      <c r="Z372" s="45">
        <v>3499</v>
      </c>
      <c r="AA372" s="45">
        <v>3499</v>
      </c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7"/>
      <c r="AW372" s="48" t="s">
        <v>67</v>
      </c>
      <c r="AX372" s="49" t="s">
        <v>68</v>
      </c>
      <c r="AY372" s="50">
        <f t="shared" si="35"/>
        <v>121.1798</v>
      </c>
      <c r="AZ372" s="50">
        <f t="shared" si="36"/>
        <v>109.18180000000001</v>
      </c>
      <c r="BA372" s="51">
        <f t="shared" si="37"/>
        <v>61.789700000000003</v>
      </c>
    </row>
    <row r="373" spans="1:53" ht="22.5" customHeight="1">
      <c r="A373" s="41" t="s">
        <v>63</v>
      </c>
      <c r="B373" s="42" t="s">
        <v>64</v>
      </c>
      <c r="C373" s="43">
        <v>4015337</v>
      </c>
      <c r="D373" s="58" t="s">
        <v>552</v>
      </c>
      <c r="E373" s="58" t="s">
        <v>560</v>
      </c>
      <c r="F373" s="45">
        <v>7499</v>
      </c>
      <c r="G373" s="45">
        <v>4399</v>
      </c>
      <c r="H373" s="45">
        <v>5999</v>
      </c>
      <c r="I373" s="45">
        <v>5999</v>
      </c>
      <c r="J373" s="45">
        <v>4999</v>
      </c>
      <c r="K373" s="45">
        <v>4899</v>
      </c>
      <c r="L373" s="45">
        <v>4899</v>
      </c>
      <c r="M373" s="45">
        <v>4999</v>
      </c>
      <c r="N373" s="45">
        <v>4999</v>
      </c>
      <c r="O373" s="45">
        <v>4799</v>
      </c>
      <c r="P373" s="46">
        <v>4699</v>
      </c>
      <c r="Q373" s="46">
        <v>3799</v>
      </c>
      <c r="R373" s="45">
        <v>4799</v>
      </c>
      <c r="S373" s="45">
        <v>4699</v>
      </c>
      <c r="T373" s="45">
        <v>3799</v>
      </c>
      <c r="U373" s="45">
        <v>3799</v>
      </c>
      <c r="V373" s="45">
        <v>3799</v>
      </c>
      <c r="W373" s="45">
        <v>3799</v>
      </c>
      <c r="X373" s="45">
        <v>3699</v>
      </c>
      <c r="Y373" s="45">
        <v>3499</v>
      </c>
      <c r="Z373" s="45">
        <v>3499</v>
      </c>
      <c r="AA373" s="45">
        <v>3499</v>
      </c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7"/>
      <c r="AW373" s="48" t="s">
        <v>67</v>
      </c>
      <c r="AX373" s="49" t="s">
        <v>68</v>
      </c>
      <c r="AY373" s="50">
        <f t="shared" si="35"/>
        <v>121.1798</v>
      </c>
      <c r="AZ373" s="50">
        <f t="shared" si="36"/>
        <v>109.18180000000001</v>
      </c>
      <c r="BA373" s="51">
        <f t="shared" si="37"/>
        <v>61.789700000000003</v>
      </c>
    </row>
    <row r="374" spans="1:53" ht="22.5" customHeight="1">
      <c r="A374" s="41" t="s">
        <v>63</v>
      </c>
      <c r="B374" s="42" t="s">
        <v>64</v>
      </c>
      <c r="C374" s="43">
        <v>4015663</v>
      </c>
      <c r="D374" s="58" t="s">
        <v>561</v>
      </c>
      <c r="E374" s="58" t="s">
        <v>562</v>
      </c>
      <c r="F374" s="45">
        <v>4499</v>
      </c>
      <c r="G374" s="45">
        <v>1699</v>
      </c>
      <c r="H374" s="45">
        <v>2999</v>
      </c>
      <c r="I374" s="45">
        <v>2999</v>
      </c>
      <c r="J374" s="45">
        <v>2799</v>
      </c>
      <c r="K374" s="45">
        <v>2699</v>
      </c>
      <c r="L374" s="45">
        <v>2699</v>
      </c>
      <c r="M374" s="45">
        <v>2799</v>
      </c>
      <c r="N374" s="45">
        <v>2799</v>
      </c>
      <c r="O374" s="45">
        <f t="shared" ref="O374:P376" si="38">R374</f>
        <v>2499</v>
      </c>
      <c r="P374" s="46">
        <f t="shared" si="38"/>
        <v>2299</v>
      </c>
      <c r="Q374" s="46">
        <v>1499</v>
      </c>
      <c r="R374" s="45">
        <v>2499</v>
      </c>
      <c r="S374" s="45">
        <v>2299</v>
      </c>
      <c r="T374" s="45">
        <v>1499</v>
      </c>
      <c r="U374" s="45">
        <v>1499</v>
      </c>
      <c r="V374" s="45">
        <v>1499</v>
      </c>
      <c r="W374" s="45">
        <v>1499</v>
      </c>
      <c r="X374" s="45">
        <v>1399</v>
      </c>
      <c r="Y374" s="45">
        <v>1199</v>
      </c>
      <c r="Z374" s="45">
        <v>1199</v>
      </c>
      <c r="AA374" s="45">
        <v>1199</v>
      </c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7"/>
      <c r="AW374" s="48" t="s">
        <v>67</v>
      </c>
      <c r="AX374" s="49" t="s">
        <v>68</v>
      </c>
      <c r="AY374" s="50">
        <f t="shared" si="35"/>
        <v>60.579799999999999</v>
      </c>
      <c r="AZ374" s="50">
        <f t="shared" si="36"/>
        <v>54.581800000000001</v>
      </c>
      <c r="BA374" s="51">
        <f t="shared" si="37"/>
        <v>30.889700000000001</v>
      </c>
    </row>
    <row r="375" spans="1:53" ht="22.5" customHeight="1">
      <c r="A375" s="41" t="s">
        <v>63</v>
      </c>
      <c r="B375" s="42" t="s">
        <v>64</v>
      </c>
      <c r="C375" s="43">
        <v>4015665</v>
      </c>
      <c r="D375" s="58" t="s">
        <v>561</v>
      </c>
      <c r="E375" s="58" t="s">
        <v>563</v>
      </c>
      <c r="F375" s="45">
        <v>4499</v>
      </c>
      <c r="G375" s="45">
        <v>1699</v>
      </c>
      <c r="H375" s="45">
        <v>2999</v>
      </c>
      <c r="I375" s="45">
        <v>2999</v>
      </c>
      <c r="J375" s="45">
        <v>2799</v>
      </c>
      <c r="K375" s="45">
        <v>2699</v>
      </c>
      <c r="L375" s="45">
        <v>2699</v>
      </c>
      <c r="M375" s="45">
        <v>2799</v>
      </c>
      <c r="N375" s="45">
        <v>2799</v>
      </c>
      <c r="O375" s="45">
        <f t="shared" si="38"/>
        <v>2499</v>
      </c>
      <c r="P375" s="46">
        <f t="shared" si="38"/>
        <v>2299</v>
      </c>
      <c r="Q375" s="46">
        <v>1499</v>
      </c>
      <c r="R375" s="45">
        <v>2499</v>
      </c>
      <c r="S375" s="45">
        <v>2299</v>
      </c>
      <c r="T375" s="45">
        <v>1499</v>
      </c>
      <c r="U375" s="45">
        <v>1499</v>
      </c>
      <c r="V375" s="45">
        <v>1499</v>
      </c>
      <c r="W375" s="45">
        <v>1499</v>
      </c>
      <c r="X375" s="45">
        <v>1399</v>
      </c>
      <c r="Y375" s="45">
        <v>1199</v>
      </c>
      <c r="Z375" s="45">
        <v>1199</v>
      </c>
      <c r="AA375" s="45">
        <v>1199</v>
      </c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7"/>
      <c r="AW375" s="48" t="s">
        <v>67</v>
      </c>
      <c r="AX375" s="49" t="s">
        <v>68</v>
      </c>
      <c r="AY375" s="50">
        <f t="shared" si="35"/>
        <v>60.579799999999999</v>
      </c>
      <c r="AZ375" s="50">
        <f t="shared" si="36"/>
        <v>54.581800000000001</v>
      </c>
      <c r="BA375" s="51">
        <f t="shared" si="37"/>
        <v>30.889700000000001</v>
      </c>
    </row>
    <row r="376" spans="1:53" ht="22.5" customHeight="1">
      <c r="A376" s="41" t="s">
        <v>63</v>
      </c>
      <c r="B376" s="42" t="s">
        <v>64</v>
      </c>
      <c r="C376" s="43">
        <v>4015666</v>
      </c>
      <c r="D376" s="58" t="s">
        <v>561</v>
      </c>
      <c r="E376" s="58" t="s">
        <v>564</v>
      </c>
      <c r="F376" s="45">
        <v>4499</v>
      </c>
      <c r="G376" s="45">
        <v>1699</v>
      </c>
      <c r="H376" s="45">
        <v>2999</v>
      </c>
      <c r="I376" s="45">
        <v>2999</v>
      </c>
      <c r="J376" s="45">
        <v>2799</v>
      </c>
      <c r="K376" s="45">
        <v>2699</v>
      </c>
      <c r="L376" s="45">
        <v>2699</v>
      </c>
      <c r="M376" s="45">
        <v>2799</v>
      </c>
      <c r="N376" s="45">
        <v>2799</v>
      </c>
      <c r="O376" s="45">
        <f t="shared" si="38"/>
        <v>2499</v>
      </c>
      <c r="P376" s="46">
        <f t="shared" si="38"/>
        <v>2299</v>
      </c>
      <c r="Q376" s="46">
        <v>1499</v>
      </c>
      <c r="R376" s="45">
        <v>2499</v>
      </c>
      <c r="S376" s="45">
        <v>2299</v>
      </c>
      <c r="T376" s="45">
        <v>1499</v>
      </c>
      <c r="U376" s="45">
        <v>1499</v>
      </c>
      <c r="V376" s="45">
        <v>1499</v>
      </c>
      <c r="W376" s="45">
        <v>1499</v>
      </c>
      <c r="X376" s="45">
        <v>1399</v>
      </c>
      <c r="Y376" s="45">
        <v>1199</v>
      </c>
      <c r="Z376" s="45">
        <v>1199</v>
      </c>
      <c r="AA376" s="45">
        <v>1199</v>
      </c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7"/>
      <c r="AW376" s="48" t="s">
        <v>67</v>
      </c>
      <c r="AX376" s="49" t="s">
        <v>68</v>
      </c>
      <c r="AY376" s="50">
        <f t="shared" si="35"/>
        <v>60.579799999999999</v>
      </c>
      <c r="AZ376" s="50">
        <f t="shared" si="36"/>
        <v>54.581800000000001</v>
      </c>
      <c r="BA376" s="51">
        <f t="shared" si="37"/>
        <v>30.889700000000001</v>
      </c>
    </row>
    <row r="377" spans="1:53" ht="22.5" customHeight="1">
      <c r="A377" s="41" t="s">
        <v>63</v>
      </c>
      <c r="B377" s="42" t="s">
        <v>64</v>
      </c>
      <c r="C377" s="43">
        <v>4016031</v>
      </c>
      <c r="D377" s="58" t="s">
        <v>565</v>
      </c>
      <c r="E377" s="58" t="s">
        <v>566</v>
      </c>
      <c r="F377" s="45">
        <v>5999</v>
      </c>
      <c r="G377" s="45">
        <v>1399</v>
      </c>
      <c r="H377" s="45">
        <v>1599</v>
      </c>
      <c r="I377" s="45">
        <v>1599</v>
      </c>
      <c r="J377" s="45">
        <v>999</v>
      </c>
      <c r="K377" s="45">
        <v>999</v>
      </c>
      <c r="L377" s="45">
        <v>999</v>
      </c>
      <c r="M377" s="45">
        <v>999</v>
      </c>
      <c r="N377" s="45">
        <v>999</v>
      </c>
      <c r="O377" s="45">
        <v>999</v>
      </c>
      <c r="P377" s="46">
        <v>999</v>
      </c>
      <c r="Q377" s="46">
        <v>999</v>
      </c>
      <c r="R377" s="46">
        <v>999</v>
      </c>
      <c r="S377" s="46">
        <v>999</v>
      </c>
      <c r="T377" s="45">
        <v>999</v>
      </c>
      <c r="U377" s="45">
        <v>999</v>
      </c>
      <c r="V377" s="45">
        <v>999</v>
      </c>
      <c r="W377" s="45">
        <v>999</v>
      </c>
      <c r="X377" s="45">
        <v>999</v>
      </c>
      <c r="Y377" s="45">
        <v>999</v>
      </c>
      <c r="Z377" s="45">
        <v>999</v>
      </c>
      <c r="AA377" s="45">
        <v>999</v>
      </c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7"/>
      <c r="AW377" s="48" t="s">
        <v>67</v>
      </c>
      <c r="AX377" s="49" t="s">
        <v>68</v>
      </c>
      <c r="AY377" s="50">
        <f t="shared" si="35"/>
        <v>32.299799999999998</v>
      </c>
      <c r="AZ377" s="50">
        <f t="shared" si="36"/>
        <v>29.101800000000001</v>
      </c>
      <c r="BA377" s="51">
        <f t="shared" si="37"/>
        <v>16.4697</v>
      </c>
    </row>
    <row r="378" spans="1:53" ht="22.5" customHeight="1">
      <c r="A378" s="41" t="s">
        <v>63</v>
      </c>
      <c r="B378" s="42" t="s">
        <v>64</v>
      </c>
      <c r="C378" s="43">
        <v>4016063</v>
      </c>
      <c r="D378" s="58" t="s">
        <v>565</v>
      </c>
      <c r="E378" s="58" t="s">
        <v>567</v>
      </c>
      <c r="F378" s="45">
        <v>5999</v>
      </c>
      <c r="G378" s="45">
        <v>1399</v>
      </c>
      <c r="H378" s="45">
        <v>1599</v>
      </c>
      <c r="I378" s="45">
        <v>1599</v>
      </c>
      <c r="J378" s="45">
        <v>999</v>
      </c>
      <c r="K378" s="45">
        <v>999</v>
      </c>
      <c r="L378" s="45">
        <v>999</v>
      </c>
      <c r="M378" s="45">
        <v>999</v>
      </c>
      <c r="N378" s="45">
        <v>999</v>
      </c>
      <c r="O378" s="45">
        <v>999</v>
      </c>
      <c r="P378" s="46">
        <v>999</v>
      </c>
      <c r="Q378" s="46">
        <v>999</v>
      </c>
      <c r="R378" s="46">
        <v>999</v>
      </c>
      <c r="S378" s="46">
        <v>999</v>
      </c>
      <c r="T378" s="45">
        <v>999</v>
      </c>
      <c r="U378" s="45">
        <v>999</v>
      </c>
      <c r="V378" s="45">
        <v>999</v>
      </c>
      <c r="W378" s="45">
        <v>999</v>
      </c>
      <c r="X378" s="45">
        <v>999</v>
      </c>
      <c r="Y378" s="45">
        <v>999</v>
      </c>
      <c r="Z378" s="45">
        <v>999</v>
      </c>
      <c r="AA378" s="45">
        <v>999</v>
      </c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7"/>
      <c r="AW378" s="48" t="s">
        <v>67</v>
      </c>
      <c r="AX378" s="49" t="s">
        <v>68</v>
      </c>
      <c r="AY378" s="50">
        <f t="shared" si="35"/>
        <v>32.299799999999998</v>
      </c>
      <c r="AZ378" s="50">
        <f t="shared" si="36"/>
        <v>29.101800000000001</v>
      </c>
      <c r="BA378" s="51">
        <f t="shared" si="37"/>
        <v>16.4697</v>
      </c>
    </row>
    <row r="379" spans="1:53" ht="22.5" customHeight="1">
      <c r="A379" s="41" t="s">
        <v>63</v>
      </c>
      <c r="B379" s="42" t="s">
        <v>64</v>
      </c>
      <c r="C379" s="43">
        <v>4015884</v>
      </c>
      <c r="D379" s="58" t="s">
        <v>565</v>
      </c>
      <c r="E379" s="58" t="s">
        <v>568</v>
      </c>
      <c r="F379" s="45">
        <v>5999</v>
      </c>
      <c r="G379" s="45">
        <v>1399</v>
      </c>
      <c r="H379" s="45">
        <v>1599</v>
      </c>
      <c r="I379" s="45">
        <v>1599</v>
      </c>
      <c r="J379" s="45">
        <v>999</v>
      </c>
      <c r="K379" s="45">
        <v>999</v>
      </c>
      <c r="L379" s="45">
        <v>999</v>
      </c>
      <c r="M379" s="45">
        <v>999</v>
      </c>
      <c r="N379" s="45">
        <v>999</v>
      </c>
      <c r="O379" s="45">
        <v>999</v>
      </c>
      <c r="P379" s="46">
        <v>999</v>
      </c>
      <c r="Q379" s="46">
        <v>999</v>
      </c>
      <c r="R379" s="46">
        <v>999</v>
      </c>
      <c r="S379" s="46">
        <v>999</v>
      </c>
      <c r="T379" s="45">
        <v>999</v>
      </c>
      <c r="U379" s="45">
        <v>999</v>
      </c>
      <c r="V379" s="45">
        <v>999</v>
      </c>
      <c r="W379" s="45">
        <v>999</v>
      </c>
      <c r="X379" s="45">
        <v>999</v>
      </c>
      <c r="Y379" s="45">
        <v>999</v>
      </c>
      <c r="Z379" s="45">
        <v>999</v>
      </c>
      <c r="AA379" s="45">
        <v>999</v>
      </c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7"/>
      <c r="AW379" s="48" t="s">
        <v>67</v>
      </c>
      <c r="AX379" s="49" t="s">
        <v>68</v>
      </c>
      <c r="AY379" s="50">
        <f t="shared" si="35"/>
        <v>32.299799999999998</v>
      </c>
      <c r="AZ379" s="50">
        <f t="shared" si="36"/>
        <v>29.101800000000001</v>
      </c>
      <c r="BA379" s="51">
        <f t="shared" si="37"/>
        <v>16.4697</v>
      </c>
    </row>
    <row r="380" spans="1:53" ht="22.5" customHeight="1">
      <c r="A380" s="41" t="s">
        <v>63</v>
      </c>
      <c r="B380" s="42" t="s">
        <v>64</v>
      </c>
      <c r="C380" s="43">
        <v>4016047</v>
      </c>
      <c r="D380" s="58" t="s">
        <v>565</v>
      </c>
      <c r="E380" s="58" t="s">
        <v>569</v>
      </c>
      <c r="F380" s="45">
        <v>5999</v>
      </c>
      <c r="G380" s="45">
        <v>1399</v>
      </c>
      <c r="H380" s="45">
        <v>1599</v>
      </c>
      <c r="I380" s="45">
        <v>1599</v>
      </c>
      <c r="J380" s="45">
        <v>999</v>
      </c>
      <c r="K380" s="45">
        <v>999</v>
      </c>
      <c r="L380" s="45">
        <v>999</v>
      </c>
      <c r="M380" s="45">
        <v>999</v>
      </c>
      <c r="N380" s="45">
        <v>999</v>
      </c>
      <c r="O380" s="45">
        <v>999</v>
      </c>
      <c r="P380" s="46">
        <v>999</v>
      </c>
      <c r="Q380" s="46">
        <v>999</v>
      </c>
      <c r="R380" s="46">
        <v>999</v>
      </c>
      <c r="S380" s="46">
        <v>999</v>
      </c>
      <c r="T380" s="45">
        <v>999</v>
      </c>
      <c r="U380" s="45">
        <v>999</v>
      </c>
      <c r="V380" s="45">
        <v>999</v>
      </c>
      <c r="W380" s="45">
        <v>999</v>
      </c>
      <c r="X380" s="45">
        <v>999</v>
      </c>
      <c r="Y380" s="45">
        <v>999</v>
      </c>
      <c r="Z380" s="45">
        <v>999</v>
      </c>
      <c r="AA380" s="45">
        <v>999</v>
      </c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7"/>
      <c r="AW380" s="48" t="s">
        <v>67</v>
      </c>
      <c r="AX380" s="49" t="s">
        <v>68</v>
      </c>
      <c r="AY380" s="50">
        <f t="shared" si="35"/>
        <v>32.299799999999998</v>
      </c>
      <c r="AZ380" s="50">
        <f t="shared" si="36"/>
        <v>29.101800000000001</v>
      </c>
      <c r="BA380" s="51">
        <f t="shared" si="37"/>
        <v>16.4697</v>
      </c>
    </row>
    <row r="381" spans="1:53" ht="22.5" customHeight="1">
      <c r="A381" s="41" t="s">
        <v>63</v>
      </c>
      <c r="B381" s="42" t="s">
        <v>64</v>
      </c>
      <c r="C381" s="43">
        <v>4016039</v>
      </c>
      <c r="D381" s="58" t="s">
        <v>565</v>
      </c>
      <c r="E381" s="58" t="s">
        <v>570</v>
      </c>
      <c r="F381" s="45">
        <v>5999</v>
      </c>
      <c r="G381" s="45">
        <v>1399</v>
      </c>
      <c r="H381" s="45">
        <v>1599</v>
      </c>
      <c r="I381" s="45">
        <v>1599</v>
      </c>
      <c r="J381" s="45">
        <v>999</v>
      </c>
      <c r="K381" s="45">
        <v>999</v>
      </c>
      <c r="L381" s="45">
        <v>999</v>
      </c>
      <c r="M381" s="45">
        <v>999</v>
      </c>
      <c r="N381" s="45">
        <v>999</v>
      </c>
      <c r="O381" s="45">
        <v>999</v>
      </c>
      <c r="P381" s="46">
        <v>999</v>
      </c>
      <c r="Q381" s="46">
        <v>999</v>
      </c>
      <c r="R381" s="46">
        <v>999</v>
      </c>
      <c r="S381" s="46">
        <v>999</v>
      </c>
      <c r="T381" s="45">
        <v>999</v>
      </c>
      <c r="U381" s="45">
        <v>999</v>
      </c>
      <c r="V381" s="45">
        <v>999</v>
      </c>
      <c r="W381" s="45">
        <v>999</v>
      </c>
      <c r="X381" s="45">
        <v>999</v>
      </c>
      <c r="Y381" s="45">
        <v>999</v>
      </c>
      <c r="Z381" s="45">
        <v>999</v>
      </c>
      <c r="AA381" s="45">
        <v>999</v>
      </c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7"/>
      <c r="AW381" s="48" t="s">
        <v>67</v>
      </c>
      <c r="AX381" s="49" t="s">
        <v>68</v>
      </c>
      <c r="AY381" s="50">
        <f t="shared" si="35"/>
        <v>32.299799999999998</v>
      </c>
      <c r="AZ381" s="50">
        <f t="shared" si="36"/>
        <v>29.101800000000001</v>
      </c>
      <c r="BA381" s="51">
        <f t="shared" si="37"/>
        <v>16.4697</v>
      </c>
    </row>
    <row r="382" spans="1:53" ht="22.5" customHeight="1">
      <c r="A382" s="41" t="s">
        <v>63</v>
      </c>
      <c r="B382" s="42" t="s">
        <v>64</v>
      </c>
      <c r="C382" s="43">
        <v>4016071</v>
      </c>
      <c r="D382" s="58" t="s">
        <v>565</v>
      </c>
      <c r="E382" s="58" t="s">
        <v>571</v>
      </c>
      <c r="F382" s="45">
        <v>5999</v>
      </c>
      <c r="G382" s="45">
        <v>1399</v>
      </c>
      <c r="H382" s="45">
        <v>1599</v>
      </c>
      <c r="I382" s="45">
        <v>1599</v>
      </c>
      <c r="J382" s="45">
        <v>999</v>
      </c>
      <c r="K382" s="45">
        <v>999</v>
      </c>
      <c r="L382" s="45">
        <v>999</v>
      </c>
      <c r="M382" s="45">
        <v>999</v>
      </c>
      <c r="N382" s="45">
        <v>999</v>
      </c>
      <c r="O382" s="45">
        <v>999</v>
      </c>
      <c r="P382" s="46">
        <v>999</v>
      </c>
      <c r="Q382" s="46">
        <v>999</v>
      </c>
      <c r="R382" s="46">
        <v>999</v>
      </c>
      <c r="S382" s="46">
        <v>999</v>
      </c>
      <c r="T382" s="45">
        <v>999</v>
      </c>
      <c r="U382" s="45">
        <v>999</v>
      </c>
      <c r="V382" s="45">
        <v>999</v>
      </c>
      <c r="W382" s="45">
        <v>999</v>
      </c>
      <c r="X382" s="45">
        <v>999</v>
      </c>
      <c r="Y382" s="45">
        <v>999</v>
      </c>
      <c r="Z382" s="45">
        <v>999</v>
      </c>
      <c r="AA382" s="45">
        <v>999</v>
      </c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7"/>
      <c r="AW382" s="48" t="s">
        <v>67</v>
      </c>
      <c r="AX382" s="49" t="s">
        <v>68</v>
      </c>
      <c r="AY382" s="50">
        <f t="shared" si="35"/>
        <v>32.299799999999998</v>
      </c>
      <c r="AZ382" s="50">
        <f t="shared" si="36"/>
        <v>29.101800000000001</v>
      </c>
      <c r="BA382" s="51">
        <f t="shared" si="37"/>
        <v>16.4697</v>
      </c>
    </row>
    <row r="383" spans="1:53" ht="22.5" customHeight="1">
      <c r="A383" s="41" t="s">
        <v>63</v>
      </c>
      <c r="B383" s="42" t="s">
        <v>64</v>
      </c>
      <c r="C383" s="43">
        <v>4016055</v>
      </c>
      <c r="D383" s="58" t="s">
        <v>565</v>
      </c>
      <c r="E383" s="58" t="s">
        <v>572</v>
      </c>
      <c r="F383" s="45">
        <v>5999</v>
      </c>
      <c r="G383" s="45">
        <v>1399</v>
      </c>
      <c r="H383" s="45">
        <v>1599</v>
      </c>
      <c r="I383" s="45">
        <v>1599</v>
      </c>
      <c r="J383" s="45">
        <v>999</v>
      </c>
      <c r="K383" s="45">
        <v>999</v>
      </c>
      <c r="L383" s="45">
        <v>999</v>
      </c>
      <c r="M383" s="45">
        <v>999</v>
      </c>
      <c r="N383" s="45">
        <v>999</v>
      </c>
      <c r="O383" s="45">
        <v>999</v>
      </c>
      <c r="P383" s="46">
        <v>999</v>
      </c>
      <c r="Q383" s="46">
        <v>999</v>
      </c>
      <c r="R383" s="46">
        <v>999</v>
      </c>
      <c r="S383" s="46">
        <v>999</v>
      </c>
      <c r="T383" s="45">
        <v>999</v>
      </c>
      <c r="U383" s="45">
        <v>999</v>
      </c>
      <c r="V383" s="45">
        <v>999</v>
      </c>
      <c r="W383" s="45">
        <v>999</v>
      </c>
      <c r="X383" s="45">
        <v>999</v>
      </c>
      <c r="Y383" s="45">
        <v>999</v>
      </c>
      <c r="Z383" s="45">
        <v>999</v>
      </c>
      <c r="AA383" s="45">
        <v>999</v>
      </c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7"/>
      <c r="AW383" s="48" t="s">
        <v>67</v>
      </c>
      <c r="AX383" s="49" t="s">
        <v>68</v>
      </c>
      <c r="AY383" s="50">
        <f t="shared" si="35"/>
        <v>32.299799999999998</v>
      </c>
      <c r="AZ383" s="50">
        <f t="shared" si="36"/>
        <v>29.101800000000001</v>
      </c>
      <c r="BA383" s="51">
        <f t="shared" si="37"/>
        <v>16.4697</v>
      </c>
    </row>
    <row r="384" spans="1:53" ht="22.5" customHeight="1">
      <c r="A384" s="41" t="s">
        <v>63</v>
      </c>
      <c r="B384" s="42" t="s">
        <v>64</v>
      </c>
      <c r="C384" s="43">
        <v>4016034</v>
      </c>
      <c r="D384" s="58" t="s">
        <v>573</v>
      </c>
      <c r="E384" s="58" t="s">
        <v>574</v>
      </c>
      <c r="F384" s="45">
        <v>6499</v>
      </c>
      <c r="G384" s="45">
        <v>1699</v>
      </c>
      <c r="H384" s="45">
        <v>1599</v>
      </c>
      <c r="I384" s="45">
        <v>1599</v>
      </c>
      <c r="J384" s="45">
        <v>999</v>
      </c>
      <c r="K384" s="45">
        <v>999</v>
      </c>
      <c r="L384" s="45">
        <v>999</v>
      </c>
      <c r="M384" s="45">
        <v>999</v>
      </c>
      <c r="N384" s="45">
        <v>999</v>
      </c>
      <c r="O384" s="45">
        <v>999</v>
      </c>
      <c r="P384" s="46">
        <v>999</v>
      </c>
      <c r="Q384" s="46">
        <v>999</v>
      </c>
      <c r="R384" s="45">
        <v>999</v>
      </c>
      <c r="S384" s="45">
        <v>999</v>
      </c>
      <c r="T384" s="45">
        <v>999</v>
      </c>
      <c r="U384" s="45">
        <v>999</v>
      </c>
      <c r="V384" s="45">
        <v>999</v>
      </c>
      <c r="W384" s="45">
        <v>999</v>
      </c>
      <c r="X384" s="45">
        <v>999</v>
      </c>
      <c r="Y384" s="45">
        <v>999</v>
      </c>
      <c r="Z384" s="45">
        <v>999</v>
      </c>
      <c r="AA384" s="45">
        <v>999</v>
      </c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7"/>
      <c r="AW384" s="48" t="s">
        <v>67</v>
      </c>
      <c r="AX384" s="49" t="s">
        <v>68</v>
      </c>
      <c r="AY384" s="50">
        <f t="shared" si="35"/>
        <v>32.299799999999998</v>
      </c>
      <c r="AZ384" s="50">
        <f t="shared" si="36"/>
        <v>29.101800000000001</v>
      </c>
      <c r="BA384" s="51">
        <f t="shared" si="37"/>
        <v>16.4697</v>
      </c>
    </row>
    <row r="385" spans="1:53" ht="22.5" customHeight="1">
      <c r="A385" s="41" t="s">
        <v>63</v>
      </c>
      <c r="B385" s="42" t="s">
        <v>64</v>
      </c>
      <c r="C385" s="43">
        <v>4016066</v>
      </c>
      <c r="D385" s="58" t="s">
        <v>573</v>
      </c>
      <c r="E385" s="58" t="s">
        <v>575</v>
      </c>
      <c r="F385" s="45">
        <v>6499</v>
      </c>
      <c r="G385" s="45">
        <v>1699</v>
      </c>
      <c r="H385" s="45">
        <v>1599</v>
      </c>
      <c r="I385" s="45">
        <v>1599</v>
      </c>
      <c r="J385" s="45">
        <v>999</v>
      </c>
      <c r="K385" s="45">
        <v>999</v>
      </c>
      <c r="L385" s="45">
        <v>999</v>
      </c>
      <c r="M385" s="45">
        <v>999</v>
      </c>
      <c r="N385" s="45">
        <v>999</v>
      </c>
      <c r="O385" s="45">
        <v>999</v>
      </c>
      <c r="P385" s="46">
        <v>999</v>
      </c>
      <c r="Q385" s="46">
        <v>999</v>
      </c>
      <c r="R385" s="45">
        <v>999</v>
      </c>
      <c r="S385" s="45">
        <v>999</v>
      </c>
      <c r="T385" s="45">
        <v>999</v>
      </c>
      <c r="U385" s="45">
        <v>999</v>
      </c>
      <c r="V385" s="45">
        <v>999</v>
      </c>
      <c r="W385" s="45">
        <v>999</v>
      </c>
      <c r="X385" s="45">
        <v>999</v>
      </c>
      <c r="Y385" s="45">
        <v>999</v>
      </c>
      <c r="Z385" s="45">
        <v>999</v>
      </c>
      <c r="AA385" s="45">
        <v>999</v>
      </c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7"/>
      <c r="AW385" s="48" t="s">
        <v>67</v>
      </c>
      <c r="AX385" s="49" t="s">
        <v>68</v>
      </c>
      <c r="AY385" s="50">
        <f t="shared" si="35"/>
        <v>32.299799999999998</v>
      </c>
      <c r="AZ385" s="50">
        <f t="shared" si="36"/>
        <v>29.101800000000001</v>
      </c>
      <c r="BA385" s="51">
        <f t="shared" si="37"/>
        <v>16.4697</v>
      </c>
    </row>
    <row r="386" spans="1:53" ht="22.5" customHeight="1">
      <c r="A386" s="41" t="s">
        <v>63</v>
      </c>
      <c r="B386" s="42" t="s">
        <v>64</v>
      </c>
      <c r="C386" s="43">
        <v>4016020</v>
      </c>
      <c r="D386" s="58" t="s">
        <v>573</v>
      </c>
      <c r="E386" s="58" t="s">
        <v>576</v>
      </c>
      <c r="F386" s="45">
        <v>6499</v>
      </c>
      <c r="G386" s="45">
        <v>1699</v>
      </c>
      <c r="H386" s="45">
        <v>1599</v>
      </c>
      <c r="I386" s="45">
        <v>1599</v>
      </c>
      <c r="J386" s="45">
        <v>999</v>
      </c>
      <c r="K386" s="45">
        <v>999</v>
      </c>
      <c r="L386" s="45">
        <v>999</v>
      </c>
      <c r="M386" s="45">
        <v>999</v>
      </c>
      <c r="N386" s="45">
        <v>999</v>
      </c>
      <c r="O386" s="45">
        <v>999</v>
      </c>
      <c r="P386" s="46">
        <v>999</v>
      </c>
      <c r="Q386" s="46">
        <v>999</v>
      </c>
      <c r="R386" s="45">
        <v>999</v>
      </c>
      <c r="S386" s="45">
        <v>999</v>
      </c>
      <c r="T386" s="45">
        <v>999</v>
      </c>
      <c r="U386" s="45">
        <v>999</v>
      </c>
      <c r="V386" s="45">
        <v>999</v>
      </c>
      <c r="W386" s="45">
        <v>999</v>
      </c>
      <c r="X386" s="45">
        <v>999</v>
      </c>
      <c r="Y386" s="45">
        <v>999</v>
      </c>
      <c r="Z386" s="45">
        <v>999</v>
      </c>
      <c r="AA386" s="45">
        <v>999</v>
      </c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7"/>
      <c r="AW386" s="48" t="s">
        <v>67</v>
      </c>
      <c r="AX386" s="49" t="s">
        <v>68</v>
      </c>
      <c r="AY386" s="50">
        <f t="shared" si="35"/>
        <v>32.299799999999998</v>
      </c>
      <c r="AZ386" s="50">
        <f t="shared" si="36"/>
        <v>29.101800000000001</v>
      </c>
      <c r="BA386" s="51">
        <f t="shared" si="37"/>
        <v>16.4697</v>
      </c>
    </row>
    <row r="387" spans="1:53" ht="22.5" customHeight="1">
      <c r="A387" s="41" t="s">
        <v>63</v>
      </c>
      <c r="B387" s="42" t="s">
        <v>64</v>
      </c>
      <c r="C387" s="43">
        <v>4016048</v>
      </c>
      <c r="D387" s="58" t="s">
        <v>573</v>
      </c>
      <c r="E387" s="58" t="s">
        <v>577</v>
      </c>
      <c r="F387" s="45">
        <v>6499</v>
      </c>
      <c r="G387" s="45">
        <v>1699</v>
      </c>
      <c r="H387" s="45">
        <v>1599</v>
      </c>
      <c r="I387" s="45">
        <v>1599</v>
      </c>
      <c r="J387" s="45">
        <v>999</v>
      </c>
      <c r="K387" s="45">
        <v>999</v>
      </c>
      <c r="L387" s="45">
        <v>999</v>
      </c>
      <c r="M387" s="45">
        <v>999</v>
      </c>
      <c r="N387" s="45">
        <v>999</v>
      </c>
      <c r="O387" s="45">
        <v>999</v>
      </c>
      <c r="P387" s="46">
        <v>999</v>
      </c>
      <c r="Q387" s="46">
        <v>999</v>
      </c>
      <c r="R387" s="45">
        <v>999</v>
      </c>
      <c r="S387" s="45">
        <v>999</v>
      </c>
      <c r="T387" s="45">
        <v>999</v>
      </c>
      <c r="U387" s="45">
        <v>999</v>
      </c>
      <c r="V387" s="45">
        <v>999</v>
      </c>
      <c r="W387" s="45">
        <v>999</v>
      </c>
      <c r="X387" s="45">
        <v>999</v>
      </c>
      <c r="Y387" s="45">
        <v>999</v>
      </c>
      <c r="Z387" s="45">
        <v>999</v>
      </c>
      <c r="AA387" s="45">
        <v>999</v>
      </c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7"/>
      <c r="AW387" s="48" t="s">
        <v>67</v>
      </c>
      <c r="AX387" s="49" t="s">
        <v>68</v>
      </c>
      <c r="AY387" s="50">
        <f t="shared" si="35"/>
        <v>32.299799999999998</v>
      </c>
      <c r="AZ387" s="50">
        <f t="shared" si="36"/>
        <v>29.101800000000001</v>
      </c>
      <c r="BA387" s="51">
        <f t="shared" si="37"/>
        <v>16.4697</v>
      </c>
    </row>
    <row r="388" spans="1:53" ht="22.5" customHeight="1">
      <c r="A388" s="41" t="s">
        <v>63</v>
      </c>
      <c r="B388" s="42" t="s">
        <v>64</v>
      </c>
      <c r="C388" s="43">
        <v>4016042</v>
      </c>
      <c r="D388" s="58" t="s">
        <v>573</v>
      </c>
      <c r="E388" s="58" t="s">
        <v>578</v>
      </c>
      <c r="F388" s="45">
        <v>6499</v>
      </c>
      <c r="G388" s="45">
        <v>1699</v>
      </c>
      <c r="H388" s="45">
        <v>1599</v>
      </c>
      <c r="I388" s="45">
        <v>1599</v>
      </c>
      <c r="J388" s="45">
        <v>999</v>
      </c>
      <c r="K388" s="45">
        <v>999</v>
      </c>
      <c r="L388" s="45">
        <v>999</v>
      </c>
      <c r="M388" s="45">
        <v>999</v>
      </c>
      <c r="N388" s="45">
        <v>999</v>
      </c>
      <c r="O388" s="45">
        <v>999</v>
      </c>
      <c r="P388" s="46">
        <v>999</v>
      </c>
      <c r="Q388" s="46">
        <v>999</v>
      </c>
      <c r="R388" s="45">
        <v>999</v>
      </c>
      <c r="S388" s="45">
        <v>999</v>
      </c>
      <c r="T388" s="45">
        <v>999</v>
      </c>
      <c r="U388" s="45">
        <v>999</v>
      </c>
      <c r="V388" s="45">
        <v>999</v>
      </c>
      <c r="W388" s="45">
        <v>999</v>
      </c>
      <c r="X388" s="45">
        <v>999</v>
      </c>
      <c r="Y388" s="45">
        <v>999</v>
      </c>
      <c r="Z388" s="45">
        <v>999</v>
      </c>
      <c r="AA388" s="45">
        <v>999</v>
      </c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7"/>
      <c r="AW388" s="48" t="s">
        <v>67</v>
      </c>
      <c r="AX388" s="49" t="s">
        <v>68</v>
      </c>
      <c r="AY388" s="50">
        <f t="shared" si="35"/>
        <v>32.299799999999998</v>
      </c>
      <c r="AZ388" s="50">
        <f t="shared" si="36"/>
        <v>29.101800000000001</v>
      </c>
      <c r="BA388" s="51">
        <f t="shared" si="37"/>
        <v>16.4697</v>
      </c>
    </row>
    <row r="389" spans="1:53" ht="22.5" customHeight="1">
      <c r="A389" s="41" t="s">
        <v>63</v>
      </c>
      <c r="B389" s="42" t="s">
        <v>64</v>
      </c>
      <c r="C389" s="43">
        <v>4016076</v>
      </c>
      <c r="D389" s="58" t="s">
        <v>573</v>
      </c>
      <c r="E389" s="58" t="s">
        <v>579</v>
      </c>
      <c r="F389" s="45">
        <v>6499</v>
      </c>
      <c r="G389" s="45">
        <v>1699</v>
      </c>
      <c r="H389" s="45">
        <v>1599</v>
      </c>
      <c r="I389" s="45">
        <v>1599</v>
      </c>
      <c r="J389" s="45">
        <v>999</v>
      </c>
      <c r="K389" s="45">
        <v>999</v>
      </c>
      <c r="L389" s="45">
        <v>999</v>
      </c>
      <c r="M389" s="45">
        <v>999</v>
      </c>
      <c r="N389" s="45">
        <v>999</v>
      </c>
      <c r="O389" s="45">
        <v>999</v>
      </c>
      <c r="P389" s="46">
        <v>999</v>
      </c>
      <c r="Q389" s="46">
        <v>999</v>
      </c>
      <c r="R389" s="45">
        <v>999</v>
      </c>
      <c r="S389" s="45">
        <v>999</v>
      </c>
      <c r="T389" s="45">
        <v>999</v>
      </c>
      <c r="U389" s="45">
        <v>999</v>
      </c>
      <c r="V389" s="45">
        <v>999</v>
      </c>
      <c r="W389" s="45">
        <v>999</v>
      </c>
      <c r="X389" s="45">
        <v>999</v>
      </c>
      <c r="Y389" s="45">
        <v>999</v>
      </c>
      <c r="Z389" s="45">
        <v>999</v>
      </c>
      <c r="AA389" s="45">
        <v>999</v>
      </c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7"/>
      <c r="AW389" s="48" t="s">
        <v>67</v>
      </c>
      <c r="AX389" s="49" t="s">
        <v>68</v>
      </c>
      <c r="AY389" s="50">
        <f t="shared" si="35"/>
        <v>32.299799999999998</v>
      </c>
      <c r="AZ389" s="50">
        <f t="shared" si="36"/>
        <v>29.101800000000001</v>
      </c>
      <c r="BA389" s="51">
        <f t="shared" si="37"/>
        <v>16.4697</v>
      </c>
    </row>
    <row r="390" spans="1:53" ht="22.5" customHeight="1">
      <c r="A390" s="41" t="s">
        <v>63</v>
      </c>
      <c r="B390" s="42" t="s">
        <v>64</v>
      </c>
      <c r="C390" s="43">
        <v>4016040</v>
      </c>
      <c r="D390" s="58" t="s">
        <v>580</v>
      </c>
      <c r="E390" s="58" t="s">
        <v>581</v>
      </c>
      <c r="F390" s="45">
        <v>6999</v>
      </c>
      <c r="G390" s="45">
        <v>2899</v>
      </c>
      <c r="H390" s="45">
        <v>1999</v>
      </c>
      <c r="I390" s="45">
        <v>1999</v>
      </c>
      <c r="J390" s="45">
        <v>1499</v>
      </c>
      <c r="K390" s="45">
        <v>1499</v>
      </c>
      <c r="L390" s="45">
        <v>1499</v>
      </c>
      <c r="M390" s="45">
        <v>1499</v>
      </c>
      <c r="N390" s="45">
        <v>1499</v>
      </c>
      <c r="O390" s="45">
        <v>1499</v>
      </c>
      <c r="P390" s="46">
        <v>1499</v>
      </c>
      <c r="Q390" s="46">
        <v>1499</v>
      </c>
      <c r="R390" s="45">
        <v>1499</v>
      </c>
      <c r="S390" s="45">
        <v>1499</v>
      </c>
      <c r="T390" s="45">
        <v>1499</v>
      </c>
      <c r="U390" s="45">
        <v>1499</v>
      </c>
      <c r="V390" s="45">
        <v>1499</v>
      </c>
      <c r="W390" s="45">
        <v>1499</v>
      </c>
      <c r="X390" s="45">
        <v>1499</v>
      </c>
      <c r="Y390" s="45">
        <v>1499</v>
      </c>
      <c r="Z390" s="45">
        <v>1499</v>
      </c>
      <c r="AA390" s="45">
        <v>1499</v>
      </c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7"/>
      <c r="AW390" s="48" t="s">
        <v>67</v>
      </c>
      <c r="AX390" s="49" t="s">
        <v>68</v>
      </c>
      <c r="AY390" s="50">
        <f t="shared" si="35"/>
        <v>40.379799999999996</v>
      </c>
      <c r="AZ390" s="50">
        <f t="shared" si="36"/>
        <v>36.381799999999998</v>
      </c>
      <c r="BA390" s="51">
        <f t="shared" si="37"/>
        <v>20.589700000000001</v>
      </c>
    </row>
    <row r="391" spans="1:53" ht="22.5" customHeight="1">
      <c r="A391" s="41" t="s">
        <v>63</v>
      </c>
      <c r="B391" s="42" t="s">
        <v>64</v>
      </c>
      <c r="C391" s="43">
        <v>4015889</v>
      </c>
      <c r="D391" s="58" t="s">
        <v>580</v>
      </c>
      <c r="E391" s="58" t="s">
        <v>582</v>
      </c>
      <c r="F391" s="45">
        <v>6999</v>
      </c>
      <c r="G391" s="45">
        <v>2899</v>
      </c>
      <c r="H391" s="45">
        <v>1999</v>
      </c>
      <c r="I391" s="45">
        <v>1999</v>
      </c>
      <c r="J391" s="45">
        <v>1499</v>
      </c>
      <c r="K391" s="45">
        <v>1499</v>
      </c>
      <c r="L391" s="45">
        <v>1499</v>
      </c>
      <c r="M391" s="45">
        <v>1499</v>
      </c>
      <c r="N391" s="45">
        <v>1499</v>
      </c>
      <c r="O391" s="45">
        <v>1499</v>
      </c>
      <c r="P391" s="46">
        <v>1499</v>
      </c>
      <c r="Q391" s="46">
        <v>1499</v>
      </c>
      <c r="R391" s="45">
        <v>1499</v>
      </c>
      <c r="S391" s="45">
        <v>1499</v>
      </c>
      <c r="T391" s="45">
        <v>1499</v>
      </c>
      <c r="U391" s="45">
        <v>1499</v>
      </c>
      <c r="V391" s="45">
        <v>1499</v>
      </c>
      <c r="W391" s="45">
        <v>1499</v>
      </c>
      <c r="X391" s="45">
        <v>1499</v>
      </c>
      <c r="Y391" s="45">
        <v>1499</v>
      </c>
      <c r="Z391" s="45">
        <v>1499</v>
      </c>
      <c r="AA391" s="45">
        <v>1499</v>
      </c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7"/>
      <c r="AW391" s="48" t="s">
        <v>67</v>
      </c>
      <c r="AX391" s="49" t="s">
        <v>68</v>
      </c>
      <c r="AY391" s="50">
        <f t="shared" si="35"/>
        <v>40.379799999999996</v>
      </c>
      <c r="AZ391" s="50">
        <f t="shared" si="36"/>
        <v>36.381799999999998</v>
      </c>
      <c r="BA391" s="51">
        <f t="shared" si="37"/>
        <v>20.589700000000001</v>
      </c>
    </row>
    <row r="392" spans="1:53" ht="22.5" customHeight="1">
      <c r="A392" s="41" t="s">
        <v>63</v>
      </c>
      <c r="B392" s="42" t="s">
        <v>64</v>
      </c>
      <c r="C392" s="43">
        <v>4016049</v>
      </c>
      <c r="D392" s="58" t="s">
        <v>580</v>
      </c>
      <c r="E392" s="58" t="s">
        <v>583</v>
      </c>
      <c r="F392" s="45">
        <v>6999</v>
      </c>
      <c r="G392" s="45">
        <v>2899</v>
      </c>
      <c r="H392" s="45">
        <v>1999</v>
      </c>
      <c r="I392" s="45">
        <v>1999</v>
      </c>
      <c r="J392" s="45">
        <v>1499</v>
      </c>
      <c r="K392" s="45">
        <v>1499</v>
      </c>
      <c r="L392" s="45">
        <v>1499</v>
      </c>
      <c r="M392" s="45">
        <v>1499</v>
      </c>
      <c r="N392" s="45">
        <v>1499</v>
      </c>
      <c r="O392" s="45">
        <v>1499</v>
      </c>
      <c r="P392" s="46">
        <v>1499</v>
      </c>
      <c r="Q392" s="46">
        <v>1499</v>
      </c>
      <c r="R392" s="45">
        <v>1499</v>
      </c>
      <c r="S392" s="45">
        <v>1499</v>
      </c>
      <c r="T392" s="45">
        <v>1499</v>
      </c>
      <c r="U392" s="45">
        <v>1499</v>
      </c>
      <c r="V392" s="45">
        <v>1499</v>
      </c>
      <c r="W392" s="45">
        <v>1499</v>
      </c>
      <c r="X392" s="45">
        <v>1499</v>
      </c>
      <c r="Y392" s="45">
        <v>1499</v>
      </c>
      <c r="Z392" s="45">
        <v>1499</v>
      </c>
      <c r="AA392" s="45">
        <v>1499</v>
      </c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7"/>
      <c r="AW392" s="48" t="s">
        <v>67</v>
      </c>
      <c r="AX392" s="49" t="s">
        <v>68</v>
      </c>
      <c r="AY392" s="50">
        <f t="shared" si="35"/>
        <v>40.379799999999996</v>
      </c>
      <c r="AZ392" s="50">
        <f t="shared" si="36"/>
        <v>36.381799999999998</v>
      </c>
      <c r="BA392" s="51">
        <f t="shared" si="37"/>
        <v>20.589700000000001</v>
      </c>
    </row>
    <row r="393" spans="1:53" ht="22.5" customHeight="1">
      <c r="A393" s="41" t="s">
        <v>63</v>
      </c>
      <c r="B393" s="42" t="s">
        <v>64</v>
      </c>
      <c r="C393" s="43">
        <v>4016072</v>
      </c>
      <c r="D393" s="58" t="s">
        <v>580</v>
      </c>
      <c r="E393" s="58" t="s">
        <v>584</v>
      </c>
      <c r="F393" s="45">
        <v>6999</v>
      </c>
      <c r="G393" s="45">
        <v>2899</v>
      </c>
      <c r="H393" s="45">
        <v>1999</v>
      </c>
      <c r="I393" s="45">
        <v>1999</v>
      </c>
      <c r="J393" s="45">
        <v>1499</v>
      </c>
      <c r="K393" s="45">
        <v>1499</v>
      </c>
      <c r="L393" s="45">
        <v>1499</v>
      </c>
      <c r="M393" s="45">
        <v>1499</v>
      </c>
      <c r="N393" s="45">
        <v>1499</v>
      </c>
      <c r="O393" s="45">
        <v>1499</v>
      </c>
      <c r="P393" s="46">
        <v>1499</v>
      </c>
      <c r="Q393" s="46">
        <v>1499</v>
      </c>
      <c r="R393" s="45">
        <v>1499</v>
      </c>
      <c r="S393" s="45">
        <v>1499</v>
      </c>
      <c r="T393" s="45">
        <v>1499</v>
      </c>
      <c r="U393" s="45">
        <v>1499</v>
      </c>
      <c r="V393" s="45">
        <v>1499</v>
      </c>
      <c r="W393" s="45">
        <v>1499</v>
      </c>
      <c r="X393" s="45">
        <v>1499</v>
      </c>
      <c r="Y393" s="45">
        <v>1499</v>
      </c>
      <c r="Z393" s="45">
        <v>1499</v>
      </c>
      <c r="AA393" s="45">
        <v>1499</v>
      </c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7"/>
      <c r="AW393" s="48" t="s">
        <v>67</v>
      </c>
      <c r="AX393" s="49" t="s">
        <v>68</v>
      </c>
      <c r="AY393" s="50">
        <f t="shared" si="35"/>
        <v>40.379799999999996</v>
      </c>
      <c r="AZ393" s="50">
        <f t="shared" si="36"/>
        <v>36.381799999999998</v>
      </c>
      <c r="BA393" s="51">
        <f t="shared" si="37"/>
        <v>20.589700000000001</v>
      </c>
    </row>
    <row r="394" spans="1:53" ht="22.5" customHeight="1">
      <c r="A394" s="41" t="s">
        <v>63</v>
      </c>
      <c r="B394" s="42" t="s">
        <v>64</v>
      </c>
      <c r="C394" s="43">
        <v>4016064</v>
      </c>
      <c r="D394" s="58" t="s">
        <v>580</v>
      </c>
      <c r="E394" s="58" t="s">
        <v>585</v>
      </c>
      <c r="F394" s="45">
        <v>6999</v>
      </c>
      <c r="G394" s="45">
        <v>2899</v>
      </c>
      <c r="H394" s="45">
        <v>1999</v>
      </c>
      <c r="I394" s="45">
        <v>1999</v>
      </c>
      <c r="J394" s="45">
        <v>1499</v>
      </c>
      <c r="K394" s="45">
        <v>1499</v>
      </c>
      <c r="L394" s="45">
        <v>1499</v>
      </c>
      <c r="M394" s="45">
        <v>1499</v>
      </c>
      <c r="N394" s="45">
        <v>1499</v>
      </c>
      <c r="O394" s="45">
        <v>1499</v>
      </c>
      <c r="P394" s="46">
        <v>1499</v>
      </c>
      <c r="Q394" s="46">
        <v>1499</v>
      </c>
      <c r="R394" s="45">
        <v>1499</v>
      </c>
      <c r="S394" s="45">
        <v>1499</v>
      </c>
      <c r="T394" s="45">
        <v>1499</v>
      </c>
      <c r="U394" s="45">
        <v>1499</v>
      </c>
      <c r="V394" s="45">
        <v>1499</v>
      </c>
      <c r="W394" s="45">
        <v>1499</v>
      </c>
      <c r="X394" s="45">
        <v>1499</v>
      </c>
      <c r="Y394" s="45">
        <v>1499</v>
      </c>
      <c r="Z394" s="45">
        <v>1499</v>
      </c>
      <c r="AA394" s="45">
        <v>1499</v>
      </c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7"/>
      <c r="AW394" s="48" t="s">
        <v>67</v>
      </c>
      <c r="AX394" s="49" t="s">
        <v>68</v>
      </c>
      <c r="AY394" s="50">
        <f t="shared" si="35"/>
        <v>40.379799999999996</v>
      </c>
      <c r="AZ394" s="50">
        <f t="shared" si="36"/>
        <v>36.381799999999998</v>
      </c>
      <c r="BA394" s="51">
        <f t="shared" si="37"/>
        <v>20.589700000000001</v>
      </c>
    </row>
    <row r="395" spans="1:53" ht="22.5" customHeight="1">
      <c r="A395" s="41" t="s">
        <v>63</v>
      </c>
      <c r="B395" s="42" t="s">
        <v>64</v>
      </c>
      <c r="C395" s="43">
        <v>4016033</v>
      </c>
      <c r="D395" s="58" t="s">
        <v>580</v>
      </c>
      <c r="E395" s="58" t="s">
        <v>586</v>
      </c>
      <c r="F395" s="45">
        <v>6999</v>
      </c>
      <c r="G395" s="45">
        <v>2899</v>
      </c>
      <c r="H395" s="45">
        <v>1999</v>
      </c>
      <c r="I395" s="45">
        <v>1999</v>
      </c>
      <c r="J395" s="45">
        <v>1499</v>
      </c>
      <c r="K395" s="45">
        <v>1499</v>
      </c>
      <c r="L395" s="45">
        <v>1499</v>
      </c>
      <c r="M395" s="45">
        <v>1499</v>
      </c>
      <c r="N395" s="45">
        <v>1499</v>
      </c>
      <c r="O395" s="45">
        <v>1499</v>
      </c>
      <c r="P395" s="46">
        <v>1499</v>
      </c>
      <c r="Q395" s="46">
        <v>1499</v>
      </c>
      <c r="R395" s="45">
        <v>1499</v>
      </c>
      <c r="S395" s="45">
        <v>1499</v>
      </c>
      <c r="T395" s="45">
        <v>1499</v>
      </c>
      <c r="U395" s="45">
        <v>1499</v>
      </c>
      <c r="V395" s="45">
        <v>1499</v>
      </c>
      <c r="W395" s="45">
        <v>1499</v>
      </c>
      <c r="X395" s="45">
        <v>1499</v>
      </c>
      <c r="Y395" s="45">
        <v>1499</v>
      </c>
      <c r="Z395" s="45">
        <v>1499</v>
      </c>
      <c r="AA395" s="45">
        <v>1499</v>
      </c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7"/>
      <c r="AW395" s="48" t="s">
        <v>67</v>
      </c>
      <c r="AX395" s="49" t="s">
        <v>68</v>
      </c>
      <c r="AY395" s="50">
        <f t="shared" si="35"/>
        <v>40.379799999999996</v>
      </c>
      <c r="AZ395" s="50">
        <f t="shared" si="36"/>
        <v>36.381799999999998</v>
      </c>
      <c r="BA395" s="51">
        <f t="shared" si="37"/>
        <v>20.589700000000001</v>
      </c>
    </row>
    <row r="396" spans="1:53" ht="22.5" customHeight="1">
      <c r="A396" s="41" t="s">
        <v>63</v>
      </c>
      <c r="B396" s="42" t="s">
        <v>64</v>
      </c>
      <c r="C396" s="43">
        <v>4016026</v>
      </c>
      <c r="D396" s="58" t="s">
        <v>580</v>
      </c>
      <c r="E396" s="58" t="s">
        <v>587</v>
      </c>
      <c r="F396" s="45">
        <v>6999</v>
      </c>
      <c r="G396" s="45">
        <v>2899</v>
      </c>
      <c r="H396" s="45">
        <v>1999</v>
      </c>
      <c r="I396" s="45">
        <v>1999</v>
      </c>
      <c r="J396" s="45">
        <v>1499</v>
      </c>
      <c r="K396" s="45">
        <v>1499</v>
      </c>
      <c r="L396" s="45">
        <v>1499</v>
      </c>
      <c r="M396" s="45">
        <v>1499</v>
      </c>
      <c r="N396" s="45">
        <v>1499</v>
      </c>
      <c r="O396" s="45">
        <v>1499</v>
      </c>
      <c r="P396" s="46">
        <v>1499</v>
      </c>
      <c r="Q396" s="46">
        <v>1499</v>
      </c>
      <c r="R396" s="45">
        <v>1499</v>
      </c>
      <c r="S396" s="45">
        <v>1499</v>
      </c>
      <c r="T396" s="45">
        <v>1499</v>
      </c>
      <c r="U396" s="45">
        <v>1499</v>
      </c>
      <c r="V396" s="45">
        <v>1499</v>
      </c>
      <c r="W396" s="45">
        <v>1499</v>
      </c>
      <c r="X396" s="45">
        <v>1499</v>
      </c>
      <c r="Y396" s="45">
        <v>1499</v>
      </c>
      <c r="Z396" s="45">
        <v>1499</v>
      </c>
      <c r="AA396" s="45">
        <v>1499</v>
      </c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7"/>
      <c r="AW396" s="48" t="s">
        <v>67</v>
      </c>
      <c r="AX396" s="49" t="s">
        <v>68</v>
      </c>
      <c r="AY396" s="50">
        <f t="shared" si="35"/>
        <v>40.379799999999996</v>
      </c>
      <c r="AZ396" s="50">
        <f t="shared" si="36"/>
        <v>36.381799999999998</v>
      </c>
      <c r="BA396" s="51">
        <f t="shared" si="37"/>
        <v>20.589700000000001</v>
      </c>
    </row>
    <row r="397" spans="1:53" ht="22.5" customHeight="1">
      <c r="A397" s="41" t="s">
        <v>63</v>
      </c>
      <c r="B397" s="42" t="s">
        <v>64</v>
      </c>
      <c r="C397" s="43">
        <v>4016056</v>
      </c>
      <c r="D397" s="58" t="s">
        <v>580</v>
      </c>
      <c r="E397" s="58" t="s">
        <v>588</v>
      </c>
      <c r="F397" s="45">
        <v>6999</v>
      </c>
      <c r="G397" s="45">
        <v>2899</v>
      </c>
      <c r="H397" s="45">
        <v>1999</v>
      </c>
      <c r="I397" s="45">
        <v>1999</v>
      </c>
      <c r="J397" s="45">
        <v>1499</v>
      </c>
      <c r="K397" s="45">
        <v>1499</v>
      </c>
      <c r="L397" s="45">
        <v>1499</v>
      </c>
      <c r="M397" s="45">
        <v>1499</v>
      </c>
      <c r="N397" s="45">
        <v>1499</v>
      </c>
      <c r="O397" s="45">
        <v>1499</v>
      </c>
      <c r="P397" s="46">
        <v>1499</v>
      </c>
      <c r="Q397" s="46">
        <v>1499</v>
      </c>
      <c r="R397" s="45">
        <v>1499</v>
      </c>
      <c r="S397" s="45">
        <v>1499</v>
      </c>
      <c r="T397" s="45">
        <v>1499</v>
      </c>
      <c r="U397" s="45">
        <v>1499</v>
      </c>
      <c r="V397" s="45">
        <v>1499</v>
      </c>
      <c r="W397" s="45">
        <v>1499</v>
      </c>
      <c r="X397" s="45">
        <v>1499</v>
      </c>
      <c r="Y397" s="45">
        <v>1499</v>
      </c>
      <c r="Z397" s="45">
        <v>1499</v>
      </c>
      <c r="AA397" s="45">
        <v>1499</v>
      </c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7"/>
      <c r="AW397" s="48" t="s">
        <v>67</v>
      </c>
      <c r="AX397" s="49" t="s">
        <v>68</v>
      </c>
      <c r="AY397" s="50">
        <f t="shared" si="35"/>
        <v>40.379799999999996</v>
      </c>
      <c r="AZ397" s="50">
        <f t="shared" si="36"/>
        <v>36.381799999999998</v>
      </c>
      <c r="BA397" s="51">
        <f t="shared" si="37"/>
        <v>20.589700000000001</v>
      </c>
    </row>
    <row r="398" spans="1:53" ht="22.5" customHeight="1">
      <c r="A398" s="41" t="s">
        <v>63</v>
      </c>
      <c r="B398" s="42" t="s">
        <v>64</v>
      </c>
      <c r="C398" s="43">
        <v>4016036</v>
      </c>
      <c r="D398" s="58" t="s">
        <v>589</v>
      </c>
      <c r="E398" s="58" t="s">
        <v>590</v>
      </c>
      <c r="F398" s="45">
        <v>7999</v>
      </c>
      <c r="G398" s="45">
        <v>4499</v>
      </c>
      <c r="H398" s="45">
        <v>1999</v>
      </c>
      <c r="I398" s="45">
        <v>1999</v>
      </c>
      <c r="J398" s="45">
        <v>1499</v>
      </c>
      <c r="K398" s="45">
        <v>1499</v>
      </c>
      <c r="L398" s="45">
        <v>1499</v>
      </c>
      <c r="M398" s="45">
        <v>1499</v>
      </c>
      <c r="N398" s="45">
        <v>1499</v>
      </c>
      <c r="O398" s="45">
        <v>1499</v>
      </c>
      <c r="P398" s="46">
        <v>1499</v>
      </c>
      <c r="Q398" s="46">
        <v>1499</v>
      </c>
      <c r="R398" s="45">
        <v>1499</v>
      </c>
      <c r="S398" s="45">
        <v>1499</v>
      </c>
      <c r="T398" s="45">
        <v>1499</v>
      </c>
      <c r="U398" s="45">
        <v>1499</v>
      </c>
      <c r="V398" s="45">
        <v>1499</v>
      </c>
      <c r="W398" s="45">
        <v>1499</v>
      </c>
      <c r="X398" s="45">
        <v>1499</v>
      </c>
      <c r="Y398" s="45">
        <v>1499</v>
      </c>
      <c r="Z398" s="45">
        <v>1499</v>
      </c>
      <c r="AA398" s="45">
        <v>1499</v>
      </c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7"/>
      <c r="AW398" s="48" t="s">
        <v>67</v>
      </c>
      <c r="AX398" s="49" t="s">
        <v>68</v>
      </c>
      <c r="AY398" s="50">
        <f t="shared" si="35"/>
        <v>40.379799999999996</v>
      </c>
      <c r="AZ398" s="50">
        <f t="shared" si="36"/>
        <v>36.381799999999998</v>
      </c>
      <c r="BA398" s="51">
        <f t="shared" si="37"/>
        <v>20.589700000000001</v>
      </c>
    </row>
    <row r="399" spans="1:53" ht="22.5" customHeight="1">
      <c r="A399" s="41" t="s">
        <v>63</v>
      </c>
      <c r="B399" s="42" t="s">
        <v>64</v>
      </c>
      <c r="C399" s="43">
        <v>4016068</v>
      </c>
      <c r="D399" s="58" t="s">
        <v>589</v>
      </c>
      <c r="E399" s="58" t="s">
        <v>591</v>
      </c>
      <c r="F399" s="45">
        <v>7999</v>
      </c>
      <c r="G399" s="45">
        <v>4499</v>
      </c>
      <c r="H399" s="45">
        <v>1999</v>
      </c>
      <c r="I399" s="45">
        <v>1999</v>
      </c>
      <c r="J399" s="45">
        <v>1499</v>
      </c>
      <c r="K399" s="45">
        <v>1499</v>
      </c>
      <c r="L399" s="45">
        <v>1499</v>
      </c>
      <c r="M399" s="45">
        <v>1499</v>
      </c>
      <c r="N399" s="45">
        <v>1499</v>
      </c>
      <c r="O399" s="45">
        <v>1499</v>
      </c>
      <c r="P399" s="46">
        <v>1499</v>
      </c>
      <c r="Q399" s="46">
        <v>1499</v>
      </c>
      <c r="R399" s="45">
        <v>1499</v>
      </c>
      <c r="S399" s="45">
        <v>1499</v>
      </c>
      <c r="T399" s="45">
        <v>1499</v>
      </c>
      <c r="U399" s="45">
        <v>1499</v>
      </c>
      <c r="V399" s="45">
        <v>1499</v>
      </c>
      <c r="W399" s="45">
        <v>1499</v>
      </c>
      <c r="X399" s="45">
        <v>1499</v>
      </c>
      <c r="Y399" s="45">
        <v>1499</v>
      </c>
      <c r="Z399" s="45">
        <v>1499</v>
      </c>
      <c r="AA399" s="45">
        <v>1499</v>
      </c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7"/>
      <c r="AW399" s="48" t="s">
        <v>67</v>
      </c>
      <c r="AX399" s="49" t="s">
        <v>68</v>
      </c>
      <c r="AY399" s="50">
        <f t="shared" si="35"/>
        <v>40.379799999999996</v>
      </c>
      <c r="AZ399" s="50">
        <f t="shared" si="36"/>
        <v>36.381799999999998</v>
      </c>
      <c r="BA399" s="51">
        <f t="shared" si="37"/>
        <v>20.589700000000001</v>
      </c>
    </row>
    <row r="400" spans="1:53" ht="22.5" customHeight="1">
      <c r="A400" s="41" t="s">
        <v>63</v>
      </c>
      <c r="B400" s="42" t="s">
        <v>64</v>
      </c>
      <c r="C400" s="43">
        <v>4015888</v>
      </c>
      <c r="D400" s="58" t="s">
        <v>589</v>
      </c>
      <c r="E400" s="58" t="s">
        <v>592</v>
      </c>
      <c r="F400" s="45">
        <v>7999</v>
      </c>
      <c r="G400" s="45">
        <v>4499</v>
      </c>
      <c r="H400" s="45">
        <v>1999</v>
      </c>
      <c r="I400" s="45">
        <v>1999</v>
      </c>
      <c r="J400" s="45">
        <v>1499</v>
      </c>
      <c r="K400" s="45">
        <v>1499</v>
      </c>
      <c r="L400" s="45">
        <v>1499</v>
      </c>
      <c r="M400" s="45">
        <v>1499</v>
      </c>
      <c r="N400" s="45">
        <v>1499</v>
      </c>
      <c r="O400" s="45">
        <v>1499</v>
      </c>
      <c r="P400" s="46">
        <v>1499</v>
      </c>
      <c r="Q400" s="46">
        <v>1499</v>
      </c>
      <c r="R400" s="45">
        <v>1499</v>
      </c>
      <c r="S400" s="45">
        <v>1499</v>
      </c>
      <c r="T400" s="45">
        <v>1499</v>
      </c>
      <c r="U400" s="45">
        <v>1499</v>
      </c>
      <c r="V400" s="45">
        <v>1499</v>
      </c>
      <c r="W400" s="45">
        <v>1499</v>
      </c>
      <c r="X400" s="45">
        <v>1499</v>
      </c>
      <c r="Y400" s="45">
        <v>1499</v>
      </c>
      <c r="Z400" s="45">
        <v>1499</v>
      </c>
      <c r="AA400" s="45">
        <v>1499</v>
      </c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7"/>
      <c r="AW400" s="48" t="s">
        <v>67</v>
      </c>
      <c r="AX400" s="49" t="s">
        <v>68</v>
      </c>
      <c r="AY400" s="50">
        <f t="shared" si="35"/>
        <v>40.379799999999996</v>
      </c>
      <c r="AZ400" s="50">
        <f t="shared" si="36"/>
        <v>36.381799999999998</v>
      </c>
      <c r="BA400" s="51">
        <f t="shared" si="37"/>
        <v>20.589700000000001</v>
      </c>
    </row>
    <row r="401" spans="1:53" ht="22.5" customHeight="1">
      <c r="A401" s="41" t="s">
        <v>63</v>
      </c>
      <c r="B401" s="42" t="s">
        <v>64</v>
      </c>
      <c r="C401" s="43">
        <v>4016044</v>
      </c>
      <c r="D401" s="58" t="s">
        <v>589</v>
      </c>
      <c r="E401" s="58" t="s">
        <v>593</v>
      </c>
      <c r="F401" s="45">
        <v>7999</v>
      </c>
      <c r="G401" s="45">
        <v>4499</v>
      </c>
      <c r="H401" s="45">
        <v>1999</v>
      </c>
      <c r="I401" s="45">
        <v>1999</v>
      </c>
      <c r="J401" s="45">
        <v>1499</v>
      </c>
      <c r="K401" s="45">
        <v>1499</v>
      </c>
      <c r="L401" s="45">
        <v>1499</v>
      </c>
      <c r="M401" s="45">
        <v>1499</v>
      </c>
      <c r="N401" s="45">
        <v>1499</v>
      </c>
      <c r="O401" s="45">
        <v>1499</v>
      </c>
      <c r="P401" s="46">
        <v>1499</v>
      </c>
      <c r="Q401" s="46">
        <v>1499</v>
      </c>
      <c r="R401" s="45">
        <v>1499</v>
      </c>
      <c r="S401" s="45">
        <v>1499</v>
      </c>
      <c r="T401" s="45">
        <v>1499</v>
      </c>
      <c r="U401" s="45">
        <v>1499</v>
      </c>
      <c r="V401" s="45">
        <v>1499</v>
      </c>
      <c r="W401" s="45">
        <v>1499</v>
      </c>
      <c r="X401" s="45">
        <v>1499</v>
      </c>
      <c r="Y401" s="45">
        <v>1499</v>
      </c>
      <c r="Z401" s="45">
        <v>1499</v>
      </c>
      <c r="AA401" s="45">
        <v>1499</v>
      </c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7"/>
      <c r="AW401" s="48" t="s">
        <v>67</v>
      </c>
      <c r="AX401" s="49" t="s">
        <v>68</v>
      </c>
      <c r="AY401" s="50">
        <f t="shared" si="35"/>
        <v>40.379799999999996</v>
      </c>
      <c r="AZ401" s="50">
        <f t="shared" si="36"/>
        <v>36.381799999999998</v>
      </c>
      <c r="BA401" s="51">
        <f t="shared" si="37"/>
        <v>20.589700000000001</v>
      </c>
    </row>
    <row r="402" spans="1:53" ht="22.5" customHeight="1">
      <c r="A402" s="41" t="s">
        <v>63</v>
      </c>
      <c r="B402" s="42" t="s">
        <v>64</v>
      </c>
      <c r="C402" s="43">
        <v>4016074</v>
      </c>
      <c r="D402" s="58" t="s">
        <v>589</v>
      </c>
      <c r="E402" s="58" t="s">
        <v>594</v>
      </c>
      <c r="F402" s="45">
        <v>7999</v>
      </c>
      <c r="G402" s="45">
        <v>4499</v>
      </c>
      <c r="H402" s="45">
        <v>1999</v>
      </c>
      <c r="I402" s="45">
        <v>1999</v>
      </c>
      <c r="J402" s="45">
        <v>1499</v>
      </c>
      <c r="K402" s="45">
        <v>1499</v>
      </c>
      <c r="L402" s="45">
        <v>1499</v>
      </c>
      <c r="M402" s="45">
        <v>1499</v>
      </c>
      <c r="N402" s="45">
        <v>1499</v>
      </c>
      <c r="O402" s="45">
        <v>1499</v>
      </c>
      <c r="P402" s="46">
        <v>1499</v>
      </c>
      <c r="Q402" s="46">
        <v>1499</v>
      </c>
      <c r="R402" s="45">
        <v>1499</v>
      </c>
      <c r="S402" s="45">
        <v>1499</v>
      </c>
      <c r="T402" s="45">
        <v>1499</v>
      </c>
      <c r="U402" s="45">
        <v>1499</v>
      </c>
      <c r="V402" s="45">
        <v>1499</v>
      </c>
      <c r="W402" s="45">
        <v>1499</v>
      </c>
      <c r="X402" s="45">
        <v>1499</v>
      </c>
      <c r="Y402" s="45">
        <v>1499</v>
      </c>
      <c r="Z402" s="45">
        <v>1499</v>
      </c>
      <c r="AA402" s="45">
        <v>1499</v>
      </c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7"/>
      <c r="AW402" s="48" t="s">
        <v>67</v>
      </c>
      <c r="AX402" s="49" t="s">
        <v>68</v>
      </c>
      <c r="AY402" s="50">
        <f t="shared" si="35"/>
        <v>40.379799999999996</v>
      </c>
      <c r="AZ402" s="50">
        <f t="shared" si="36"/>
        <v>36.381799999999998</v>
      </c>
      <c r="BA402" s="51">
        <f t="shared" si="37"/>
        <v>20.589700000000001</v>
      </c>
    </row>
    <row r="403" spans="1:53" ht="22.5" customHeight="1">
      <c r="A403" s="41" t="s">
        <v>63</v>
      </c>
      <c r="B403" s="42" t="s">
        <v>64</v>
      </c>
      <c r="C403" s="43">
        <v>4016032</v>
      </c>
      <c r="D403" s="58" t="s">
        <v>595</v>
      </c>
      <c r="E403" s="58" t="s">
        <v>596</v>
      </c>
      <c r="F403" s="45">
        <v>9999</v>
      </c>
      <c r="G403" s="45">
        <v>5399</v>
      </c>
      <c r="H403" s="45">
        <v>2399</v>
      </c>
      <c r="I403" s="45">
        <v>2399</v>
      </c>
      <c r="J403" s="45">
        <v>1999</v>
      </c>
      <c r="K403" s="45">
        <v>1999</v>
      </c>
      <c r="L403" s="45">
        <v>1999</v>
      </c>
      <c r="M403" s="45">
        <v>1999</v>
      </c>
      <c r="N403" s="45">
        <v>1999</v>
      </c>
      <c r="O403" s="45">
        <v>1999</v>
      </c>
      <c r="P403" s="46">
        <v>1999</v>
      </c>
      <c r="Q403" s="46">
        <v>1999</v>
      </c>
      <c r="R403" s="45">
        <v>1999</v>
      </c>
      <c r="S403" s="45">
        <v>1999</v>
      </c>
      <c r="T403" s="45">
        <v>1999</v>
      </c>
      <c r="U403" s="45">
        <v>1999</v>
      </c>
      <c r="V403" s="45">
        <v>1999</v>
      </c>
      <c r="W403" s="45">
        <v>1999</v>
      </c>
      <c r="X403" s="45">
        <v>1999</v>
      </c>
      <c r="Y403" s="45">
        <v>1999</v>
      </c>
      <c r="Z403" s="45">
        <v>1999</v>
      </c>
      <c r="AA403" s="45">
        <v>1999</v>
      </c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7"/>
      <c r="AW403" s="48" t="s">
        <v>67</v>
      </c>
      <c r="AX403" s="49" t="s">
        <v>68</v>
      </c>
      <c r="AY403" s="50">
        <f t="shared" si="35"/>
        <v>48.459800000000001</v>
      </c>
      <c r="AZ403" s="50">
        <f t="shared" si="36"/>
        <v>43.661799999999999</v>
      </c>
      <c r="BA403" s="51">
        <f t="shared" si="37"/>
        <v>24.709700000000002</v>
      </c>
    </row>
    <row r="404" spans="1:53" ht="22.5" customHeight="1">
      <c r="A404" s="41" t="s">
        <v>63</v>
      </c>
      <c r="B404" s="42" t="s">
        <v>64</v>
      </c>
      <c r="C404" s="43">
        <v>4016065</v>
      </c>
      <c r="D404" s="58" t="s">
        <v>595</v>
      </c>
      <c r="E404" s="58" t="s">
        <v>597</v>
      </c>
      <c r="F404" s="45">
        <v>9999</v>
      </c>
      <c r="G404" s="45">
        <v>5399</v>
      </c>
      <c r="H404" s="45">
        <v>2399</v>
      </c>
      <c r="I404" s="45">
        <v>2399</v>
      </c>
      <c r="J404" s="45">
        <v>1999</v>
      </c>
      <c r="K404" s="45">
        <v>1999</v>
      </c>
      <c r="L404" s="45">
        <v>1999</v>
      </c>
      <c r="M404" s="45">
        <v>1999</v>
      </c>
      <c r="N404" s="45">
        <v>1999</v>
      </c>
      <c r="O404" s="45">
        <v>1999</v>
      </c>
      <c r="P404" s="46">
        <v>1999</v>
      </c>
      <c r="Q404" s="46">
        <v>1999</v>
      </c>
      <c r="R404" s="45">
        <v>1999</v>
      </c>
      <c r="S404" s="45">
        <v>1999</v>
      </c>
      <c r="T404" s="45">
        <v>1999</v>
      </c>
      <c r="U404" s="45">
        <v>1999</v>
      </c>
      <c r="V404" s="45">
        <v>1999</v>
      </c>
      <c r="W404" s="45">
        <v>1999</v>
      </c>
      <c r="X404" s="45">
        <v>1999</v>
      </c>
      <c r="Y404" s="45">
        <v>1999</v>
      </c>
      <c r="Z404" s="45">
        <v>1999</v>
      </c>
      <c r="AA404" s="45">
        <v>1999</v>
      </c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7"/>
      <c r="AW404" s="48" t="s">
        <v>67</v>
      </c>
      <c r="AX404" s="49" t="s">
        <v>68</v>
      </c>
      <c r="AY404" s="50">
        <f t="shared" si="35"/>
        <v>48.459800000000001</v>
      </c>
      <c r="AZ404" s="50">
        <f t="shared" si="36"/>
        <v>43.661799999999999</v>
      </c>
      <c r="BA404" s="51">
        <f t="shared" si="37"/>
        <v>24.709700000000002</v>
      </c>
    </row>
    <row r="405" spans="1:53" ht="22.5" customHeight="1">
      <c r="A405" s="41" t="s">
        <v>63</v>
      </c>
      <c r="B405" s="42" t="s">
        <v>64</v>
      </c>
      <c r="C405" s="43">
        <v>4016041</v>
      </c>
      <c r="D405" s="58" t="s">
        <v>595</v>
      </c>
      <c r="E405" s="58" t="s">
        <v>598</v>
      </c>
      <c r="F405" s="45">
        <v>9999</v>
      </c>
      <c r="G405" s="45">
        <v>5399</v>
      </c>
      <c r="H405" s="45">
        <v>2399</v>
      </c>
      <c r="I405" s="45">
        <v>2399</v>
      </c>
      <c r="J405" s="45">
        <v>1999</v>
      </c>
      <c r="K405" s="45">
        <v>1999</v>
      </c>
      <c r="L405" s="45">
        <v>1999</v>
      </c>
      <c r="M405" s="45">
        <v>1999</v>
      </c>
      <c r="N405" s="45">
        <v>1999</v>
      </c>
      <c r="O405" s="45">
        <v>1999</v>
      </c>
      <c r="P405" s="46">
        <v>1999</v>
      </c>
      <c r="Q405" s="46">
        <v>1999</v>
      </c>
      <c r="R405" s="45">
        <v>1999</v>
      </c>
      <c r="S405" s="45">
        <v>1999</v>
      </c>
      <c r="T405" s="45">
        <v>1999</v>
      </c>
      <c r="U405" s="45">
        <v>1999</v>
      </c>
      <c r="V405" s="45">
        <v>1999</v>
      </c>
      <c r="W405" s="45">
        <v>1999</v>
      </c>
      <c r="X405" s="45">
        <v>1999</v>
      </c>
      <c r="Y405" s="45">
        <v>1999</v>
      </c>
      <c r="Z405" s="45">
        <v>1999</v>
      </c>
      <c r="AA405" s="45">
        <v>1999</v>
      </c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7"/>
      <c r="AW405" s="48" t="s">
        <v>67</v>
      </c>
      <c r="AX405" s="49" t="s">
        <v>68</v>
      </c>
      <c r="AY405" s="50">
        <f t="shared" si="35"/>
        <v>48.459800000000001</v>
      </c>
      <c r="AZ405" s="50">
        <f t="shared" si="36"/>
        <v>43.661799999999999</v>
      </c>
      <c r="BA405" s="51">
        <f t="shared" si="37"/>
        <v>24.709700000000002</v>
      </c>
    </row>
    <row r="406" spans="1:53" ht="22.5" customHeight="1">
      <c r="A406" s="41" t="s">
        <v>63</v>
      </c>
      <c r="B406" s="42" t="s">
        <v>64</v>
      </c>
      <c r="C406" s="43">
        <v>4016073</v>
      </c>
      <c r="D406" s="58" t="s">
        <v>595</v>
      </c>
      <c r="E406" s="58" t="s">
        <v>599</v>
      </c>
      <c r="F406" s="45">
        <v>9999</v>
      </c>
      <c r="G406" s="45">
        <v>5399</v>
      </c>
      <c r="H406" s="45">
        <v>2399</v>
      </c>
      <c r="I406" s="45">
        <v>2399</v>
      </c>
      <c r="J406" s="45">
        <v>1999</v>
      </c>
      <c r="K406" s="45">
        <v>1999</v>
      </c>
      <c r="L406" s="45">
        <v>1999</v>
      </c>
      <c r="M406" s="45">
        <v>1999</v>
      </c>
      <c r="N406" s="45">
        <v>1999</v>
      </c>
      <c r="O406" s="45">
        <v>1999</v>
      </c>
      <c r="P406" s="46">
        <v>1999</v>
      </c>
      <c r="Q406" s="46">
        <v>1999</v>
      </c>
      <c r="R406" s="45">
        <v>1999</v>
      </c>
      <c r="S406" s="45">
        <v>1999</v>
      </c>
      <c r="T406" s="45">
        <v>1999</v>
      </c>
      <c r="U406" s="45">
        <v>1999</v>
      </c>
      <c r="V406" s="45">
        <v>1999</v>
      </c>
      <c r="W406" s="45">
        <v>1999</v>
      </c>
      <c r="X406" s="45">
        <v>1999</v>
      </c>
      <c r="Y406" s="45">
        <v>1999</v>
      </c>
      <c r="Z406" s="45">
        <v>1999</v>
      </c>
      <c r="AA406" s="45">
        <v>1999</v>
      </c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7"/>
      <c r="AW406" s="48" t="s">
        <v>67</v>
      </c>
      <c r="AX406" s="49" t="s">
        <v>68</v>
      </c>
      <c r="AY406" s="50">
        <f t="shared" si="35"/>
        <v>48.459800000000001</v>
      </c>
      <c r="AZ406" s="50">
        <f t="shared" si="36"/>
        <v>43.661799999999999</v>
      </c>
      <c r="BA406" s="51">
        <f t="shared" si="37"/>
        <v>24.709700000000002</v>
      </c>
    </row>
    <row r="407" spans="1:53" ht="22.5" customHeight="1">
      <c r="A407" s="41" t="s">
        <v>63</v>
      </c>
      <c r="B407" s="42" t="s">
        <v>64</v>
      </c>
      <c r="C407" s="43">
        <v>4016554</v>
      </c>
      <c r="D407" s="58" t="s">
        <v>600</v>
      </c>
      <c r="E407" s="58" t="s">
        <v>601</v>
      </c>
      <c r="F407" s="45">
        <v>5099</v>
      </c>
      <c r="G407" s="45">
        <v>1399</v>
      </c>
      <c r="H407" s="45">
        <v>999</v>
      </c>
      <c r="I407" s="45">
        <v>999</v>
      </c>
      <c r="J407" s="45">
        <v>799</v>
      </c>
      <c r="K407" s="45">
        <v>799</v>
      </c>
      <c r="L407" s="45">
        <v>799</v>
      </c>
      <c r="M407" s="45">
        <v>799</v>
      </c>
      <c r="N407" s="45">
        <v>799</v>
      </c>
      <c r="O407" s="45">
        <v>799</v>
      </c>
      <c r="P407" s="46">
        <v>799</v>
      </c>
      <c r="Q407" s="46">
        <v>799</v>
      </c>
      <c r="R407" s="45">
        <v>799</v>
      </c>
      <c r="S407" s="45">
        <v>799</v>
      </c>
      <c r="T407" s="45">
        <v>799</v>
      </c>
      <c r="U407" s="45">
        <v>799</v>
      </c>
      <c r="V407" s="45">
        <v>799</v>
      </c>
      <c r="W407" s="45">
        <v>799</v>
      </c>
      <c r="X407" s="45">
        <v>799</v>
      </c>
      <c r="Y407" s="45">
        <v>799</v>
      </c>
      <c r="Z407" s="45">
        <v>799</v>
      </c>
      <c r="AA407" s="45">
        <v>799</v>
      </c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7"/>
      <c r="AW407" s="48" t="s">
        <v>67</v>
      </c>
      <c r="AX407" s="49" t="s">
        <v>68</v>
      </c>
      <c r="AY407" s="50">
        <f t="shared" si="35"/>
        <v>20.1798</v>
      </c>
      <c r="AZ407" s="50">
        <f t="shared" si="36"/>
        <v>18.181800000000003</v>
      </c>
      <c r="BA407" s="51">
        <f t="shared" si="37"/>
        <v>10.2897</v>
      </c>
    </row>
    <row r="408" spans="1:53" ht="22.5" customHeight="1">
      <c r="A408" s="41" t="s">
        <v>63</v>
      </c>
      <c r="B408" s="42" t="s">
        <v>64</v>
      </c>
      <c r="C408" s="43">
        <v>4016558</v>
      </c>
      <c r="D408" s="58" t="s">
        <v>600</v>
      </c>
      <c r="E408" s="58" t="s">
        <v>602</v>
      </c>
      <c r="F408" s="45">
        <v>5099</v>
      </c>
      <c r="G408" s="45">
        <v>1399</v>
      </c>
      <c r="H408" s="45">
        <v>999</v>
      </c>
      <c r="I408" s="45">
        <v>999</v>
      </c>
      <c r="J408" s="45">
        <v>799</v>
      </c>
      <c r="K408" s="45">
        <v>799</v>
      </c>
      <c r="L408" s="45">
        <v>799</v>
      </c>
      <c r="M408" s="45">
        <v>799</v>
      </c>
      <c r="N408" s="45">
        <v>799</v>
      </c>
      <c r="O408" s="45">
        <v>799</v>
      </c>
      <c r="P408" s="46">
        <v>799</v>
      </c>
      <c r="Q408" s="46">
        <v>799</v>
      </c>
      <c r="R408" s="45">
        <v>799</v>
      </c>
      <c r="S408" s="45">
        <v>799</v>
      </c>
      <c r="T408" s="45">
        <v>799</v>
      </c>
      <c r="U408" s="45">
        <v>799</v>
      </c>
      <c r="V408" s="45">
        <v>799</v>
      </c>
      <c r="W408" s="45">
        <v>799</v>
      </c>
      <c r="X408" s="45">
        <v>799</v>
      </c>
      <c r="Y408" s="45">
        <v>799</v>
      </c>
      <c r="Z408" s="45">
        <v>799</v>
      </c>
      <c r="AA408" s="45">
        <v>799</v>
      </c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7"/>
      <c r="AW408" s="48" t="s">
        <v>67</v>
      </c>
      <c r="AX408" s="49" t="s">
        <v>68</v>
      </c>
      <c r="AY408" s="50">
        <f t="shared" si="35"/>
        <v>20.1798</v>
      </c>
      <c r="AZ408" s="50">
        <f t="shared" si="36"/>
        <v>18.181800000000003</v>
      </c>
      <c r="BA408" s="51">
        <f t="shared" si="37"/>
        <v>10.2897</v>
      </c>
    </row>
    <row r="409" spans="1:53" ht="22.5" customHeight="1">
      <c r="A409" s="41" t="s">
        <v>63</v>
      </c>
      <c r="B409" s="42" t="s">
        <v>64</v>
      </c>
      <c r="C409" s="43">
        <v>4016555</v>
      </c>
      <c r="D409" s="58" t="s">
        <v>600</v>
      </c>
      <c r="E409" s="58" t="s">
        <v>603</v>
      </c>
      <c r="F409" s="45">
        <v>5099</v>
      </c>
      <c r="G409" s="45">
        <v>1399</v>
      </c>
      <c r="H409" s="45">
        <v>999</v>
      </c>
      <c r="I409" s="45">
        <v>999</v>
      </c>
      <c r="J409" s="45">
        <v>799</v>
      </c>
      <c r="K409" s="45">
        <v>799</v>
      </c>
      <c r="L409" s="45">
        <v>799</v>
      </c>
      <c r="M409" s="45">
        <v>799</v>
      </c>
      <c r="N409" s="45">
        <v>799</v>
      </c>
      <c r="O409" s="45">
        <v>799</v>
      </c>
      <c r="P409" s="46">
        <v>799</v>
      </c>
      <c r="Q409" s="46">
        <v>799</v>
      </c>
      <c r="R409" s="45">
        <v>799</v>
      </c>
      <c r="S409" s="45">
        <v>799</v>
      </c>
      <c r="T409" s="45">
        <v>799</v>
      </c>
      <c r="U409" s="45">
        <v>799</v>
      </c>
      <c r="V409" s="45">
        <v>799</v>
      </c>
      <c r="W409" s="45">
        <v>799</v>
      </c>
      <c r="X409" s="45">
        <v>799</v>
      </c>
      <c r="Y409" s="45">
        <v>799</v>
      </c>
      <c r="Z409" s="45">
        <v>799</v>
      </c>
      <c r="AA409" s="45">
        <v>799</v>
      </c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7"/>
      <c r="AW409" s="48" t="s">
        <v>67</v>
      </c>
      <c r="AX409" s="49" t="s">
        <v>68</v>
      </c>
      <c r="AY409" s="50">
        <f t="shared" si="35"/>
        <v>20.1798</v>
      </c>
      <c r="AZ409" s="50">
        <f t="shared" si="36"/>
        <v>18.181800000000003</v>
      </c>
      <c r="BA409" s="51">
        <f t="shared" si="37"/>
        <v>10.2897</v>
      </c>
    </row>
    <row r="410" spans="1:53" ht="22.5" customHeight="1">
      <c r="A410" s="41" t="s">
        <v>63</v>
      </c>
      <c r="B410" s="42" t="s">
        <v>64</v>
      </c>
      <c r="C410" s="43">
        <v>4016559</v>
      </c>
      <c r="D410" s="58" t="s">
        <v>600</v>
      </c>
      <c r="E410" s="58" t="s">
        <v>604</v>
      </c>
      <c r="F410" s="45">
        <v>5099</v>
      </c>
      <c r="G410" s="45">
        <v>1399</v>
      </c>
      <c r="H410" s="45">
        <v>999</v>
      </c>
      <c r="I410" s="45">
        <v>999</v>
      </c>
      <c r="J410" s="45">
        <v>799</v>
      </c>
      <c r="K410" s="45">
        <v>799</v>
      </c>
      <c r="L410" s="45">
        <v>799</v>
      </c>
      <c r="M410" s="45">
        <v>799</v>
      </c>
      <c r="N410" s="45">
        <v>799</v>
      </c>
      <c r="O410" s="45">
        <v>799</v>
      </c>
      <c r="P410" s="46">
        <v>799</v>
      </c>
      <c r="Q410" s="46">
        <v>799</v>
      </c>
      <c r="R410" s="45">
        <v>799</v>
      </c>
      <c r="S410" s="45">
        <v>799</v>
      </c>
      <c r="T410" s="45">
        <v>799</v>
      </c>
      <c r="U410" s="45">
        <v>799</v>
      </c>
      <c r="V410" s="45">
        <v>799</v>
      </c>
      <c r="W410" s="45">
        <v>799</v>
      </c>
      <c r="X410" s="45">
        <v>799</v>
      </c>
      <c r="Y410" s="45">
        <v>799</v>
      </c>
      <c r="Z410" s="45">
        <v>799</v>
      </c>
      <c r="AA410" s="45">
        <v>799</v>
      </c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7"/>
      <c r="AW410" s="48" t="s">
        <v>67</v>
      </c>
      <c r="AX410" s="49" t="s">
        <v>68</v>
      </c>
      <c r="AY410" s="50">
        <f t="shared" si="35"/>
        <v>20.1798</v>
      </c>
      <c r="AZ410" s="50">
        <f t="shared" si="36"/>
        <v>18.181800000000003</v>
      </c>
      <c r="BA410" s="51">
        <f t="shared" si="37"/>
        <v>10.2897</v>
      </c>
    </row>
    <row r="411" spans="1:53" ht="22.5" customHeight="1">
      <c r="A411" s="41" t="s">
        <v>63</v>
      </c>
      <c r="B411" s="42" t="s">
        <v>64</v>
      </c>
      <c r="C411" s="43">
        <v>4016552</v>
      </c>
      <c r="D411" s="58" t="s">
        <v>600</v>
      </c>
      <c r="E411" s="58" t="s">
        <v>605</v>
      </c>
      <c r="F411" s="45">
        <v>5099</v>
      </c>
      <c r="G411" s="45">
        <v>1399</v>
      </c>
      <c r="H411" s="45">
        <v>999</v>
      </c>
      <c r="I411" s="45">
        <v>999</v>
      </c>
      <c r="J411" s="45">
        <v>799</v>
      </c>
      <c r="K411" s="45">
        <v>799</v>
      </c>
      <c r="L411" s="45">
        <v>799</v>
      </c>
      <c r="M411" s="45">
        <v>799</v>
      </c>
      <c r="N411" s="45">
        <v>799</v>
      </c>
      <c r="O411" s="45">
        <v>799</v>
      </c>
      <c r="P411" s="46">
        <v>799</v>
      </c>
      <c r="Q411" s="46">
        <v>799</v>
      </c>
      <c r="R411" s="45">
        <v>799</v>
      </c>
      <c r="S411" s="45">
        <v>799</v>
      </c>
      <c r="T411" s="45">
        <v>799</v>
      </c>
      <c r="U411" s="45">
        <v>799</v>
      </c>
      <c r="V411" s="45">
        <v>799</v>
      </c>
      <c r="W411" s="45">
        <v>799</v>
      </c>
      <c r="X411" s="45">
        <v>799</v>
      </c>
      <c r="Y411" s="45">
        <v>799</v>
      </c>
      <c r="Z411" s="45">
        <v>799</v>
      </c>
      <c r="AA411" s="45">
        <v>799</v>
      </c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7"/>
      <c r="AW411" s="48" t="s">
        <v>67</v>
      </c>
      <c r="AX411" s="49" t="s">
        <v>68</v>
      </c>
      <c r="AY411" s="50">
        <f t="shared" si="35"/>
        <v>20.1798</v>
      </c>
      <c r="AZ411" s="50">
        <f t="shared" si="36"/>
        <v>18.181800000000003</v>
      </c>
      <c r="BA411" s="51">
        <f t="shared" si="37"/>
        <v>10.2897</v>
      </c>
    </row>
    <row r="412" spans="1:53" ht="22.5" customHeight="1">
      <c r="A412" s="41" t="s">
        <v>63</v>
      </c>
      <c r="B412" s="42" t="s">
        <v>64</v>
      </c>
      <c r="C412" s="43">
        <v>4016551</v>
      </c>
      <c r="D412" s="58" t="s">
        <v>600</v>
      </c>
      <c r="E412" s="58" t="s">
        <v>606</v>
      </c>
      <c r="F412" s="45">
        <v>5099</v>
      </c>
      <c r="G412" s="45">
        <v>1399</v>
      </c>
      <c r="H412" s="45">
        <v>999</v>
      </c>
      <c r="I412" s="45">
        <v>999</v>
      </c>
      <c r="J412" s="45">
        <v>799</v>
      </c>
      <c r="K412" s="45">
        <v>799</v>
      </c>
      <c r="L412" s="45">
        <v>799</v>
      </c>
      <c r="M412" s="45">
        <v>799</v>
      </c>
      <c r="N412" s="45">
        <v>799</v>
      </c>
      <c r="O412" s="45">
        <v>799</v>
      </c>
      <c r="P412" s="46">
        <v>799</v>
      </c>
      <c r="Q412" s="46">
        <v>799</v>
      </c>
      <c r="R412" s="45">
        <v>799</v>
      </c>
      <c r="S412" s="45">
        <v>799</v>
      </c>
      <c r="T412" s="45">
        <v>799</v>
      </c>
      <c r="U412" s="45">
        <v>799</v>
      </c>
      <c r="V412" s="45">
        <v>799</v>
      </c>
      <c r="W412" s="45">
        <v>799</v>
      </c>
      <c r="X412" s="45">
        <v>799</v>
      </c>
      <c r="Y412" s="45">
        <v>799</v>
      </c>
      <c r="Z412" s="45">
        <v>799</v>
      </c>
      <c r="AA412" s="45">
        <v>799</v>
      </c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7"/>
      <c r="AW412" s="48" t="s">
        <v>67</v>
      </c>
      <c r="AX412" s="49" t="s">
        <v>68</v>
      </c>
      <c r="AY412" s="50">
        <f t="shared" si="35"/>
        <v>20.1798</v>
      </c>
      <c r="AZ412" s="50">
        <f t="shared" si="36"/>
        <v>18.181800000000003</v>
      </c>
      <c r="BA412" s="51">
        <f t="shared" si="37"/>
        <v>10.2897</v>
      </c>
    </row>
    <row r="413" spans="1:53" ht="22.5" customHeight="1">
      <c r="A413" s="41" t="s">
        <v>63</v>
      </c>
      <c r="B413" s="42" t="s">
        <v>64</v>
      </c>
      <c r="C413" s="43">
        <v>4016839</v>
      </c>
      <c r="D413" s="58" t="s">
        <v>607</v>
      </c>
      <c r="E413" s="58" t="s">
        <v>608</v>
      </c>
      <c r="F413" s="45">
        <v>6499</v>
      </c>
      <c r="G413" s="45">
        <v>3899</v>
      </c>
      <c r="H413" s="45">
        <v>4669</v>
      </c>
      <c r="I413" s="45">
        <v>4669</v>
      </c>
      <c r="J413" s="45">
        <v>4499</v>
      </c>
      <c r="K413" s="45">
        <v>4499</v>
      </c>
      <c r="L413" s="45">
        <v>4499</v>
      </c>
      <c r="M413" s="45">
        <v>4499</v>
      </c>
      <c r="N413" s="45">
        <v>4499</v>
      </c>
      <c r="O413" s="45">
        <v>4399</v>
      </c>
      <c r="P413" s="46">
        <v>4299</v>
      </c>
      <c r="Q413" s="46">
        <v>3299</v>
      </c>
      <c r="R413" s="45">
        <v>4399</v>
      </c>
      <c r="S413" s="45">
        <v>4299</v>
      </c>
      <c r="T413" s="45">
        <v>3299</v>
      </c>
      <c r="U413" s="45">
        <v>3299</v>
      </c>
      <c r="V413" s="45">
        <v>3299</v>
      </c>
      <c r="W413" s="45">
        <v>3299</v>
      </c>
      <c r="X413" s="45">
        <v>3199</v>
      </c>
      <c r="Y413" s="45">
        <v>2799</v>
      </c>
      <c r="Z413" s="45">
        <v>2799</v>
      </c>
      <c r="AA413" s="45">
        <v>2599</v>
      </c>
      <c r="AB413" s="45">
        <v>4499</v>
      </c>
      <c r="AC413" s="45">
        <v>4499</v>
      </c>
      <c r="AD413" s="45">
        <v>4499</v>
      </c>
      <c r="AE413" s="45">
        <v>4399</v>
      </c>
      <c r="AF413" s="45">
        <v>4299</v>
      </c>
      <c r="AG413" s="45">
        <v>4299</v>
      </c>
      <c r="AH413" s="45">
        <v>3299</v>
      </c>
      <c r="AI413" s="45">
        <v>3299</v>
      </c>
      <c r="AJ413" s="45">
        <v>3299</v>
      </c>
      <c r="AK413" s="45">
        <v>3299</v>
      </c>
      <c r="AL413" s="45">
        <v>2799</v>
      </c>
      <c r="AM413" s="45"/>
      <c r="AN413" s="45"/>
      <c r="AO413" s="45"/>
      <c r="AP413" s="45"/>
      <c r="AQ413" s="45"/>
      <c r="AR413" s="45"/>
      <c r="AS413" s="45"/>
      <c r="AT413" s="45"/>
      <c r="AU413" s="45"/>
      <c r="AV413" s="47"/>
      <c r="AW413" s="48" t="s">
        <v>67</v>
      </c>
      <c r="AX413" s="49" t="s">
        <v>68</v>
      </c>
      <c r="AY413" s="50">
        <f t="shared" si="35"/>
        <v>94.313800000000001</v>
      </c>
      <c r="AZ413" s="50">
        <f t="shared" si="36"/>
        <v>84.975800000000007</v>
      </c>
      <c r="BA413" s="51">
        <f t="shared" si="37"/>
        <v>48.090699999999998</v>
      </c>
    </row>
    <row r="414" spans="1:53" ht="22.5" customHeight="1">
      <c r="A414" s="41" t="s">
        <v>63</v>
      </c>
      <c r="B414" s="42" t="s">
        <v>64</v>
      </c>
      <c r="C414" s="43">
        <v>4016872</v>
      </c>
      <c r="D414" s="58" t="s">
        <v>607</v>
      </c>
      <c r="E414" s="58" t="s">
        <v>609</v>
      </c>
      <c r="F414" s="45">
        <v>6499</v>
      </c>
      <c r="G414" s="45">
        <v>3899</v>
      </c>
      <c r="H414" s="45">
        <v>4669</v>
      </c>
      <c r="I414" s="45">
        <v>4669</v>
      </c>
      <c r="J414" s="45">
        <v>4499</v>
      </c>
      <c r="K414" s="45">
        <v>4499</v>
      </c>
      <c r="L414" s="45">
        <v>4499</v>
      </c>
      <c r="M414" s="45">
        <v>4499</v>
      </c>
      <c r="N414" s="45">
        <v>4499</v>
      </c>
      <c r="O414" s="45">
        <v>4399</v>
      </c>
      <c r="P414" s="46">
        <v>4299</v>
      </c>
      <c r="Q414" s="46">
        <v>3299</v>
      </c>
      <c r="R414" s="45">
        <v>4399</v>
      </c>
      <c r="S414" s="45">
        <v>4299</v>
      </c>
      <c r="T414" s="45">
        <v>3299</v>
      </c>
      <c r="U414" s="45">
        <v>3299</v>
      </c>
      <c r="V414" s="45">
        <v>3299</v>
      </c>
      <c r="W414" s="45">
        <v>3299</v>
      </c>
      <c r="X414" s="45">
        <v>3199</v>
      </c>
      <c r="Y414" s="45">
        <v>2799</v>
      </c>
      <c r="Z414" s="45">
        <v>2799</v>
      </c>
      <c r="AA414" s="45">
        <v>2599</v>
      </c>
      <c r="AB414" s="45">
        <v>4499</v>
      </c>
      <c r="AC414" s="45">
        <v>4499</v>
      </c>
      <c r="AD414" s="45">
        <v>4499</v>
      </c>
      <c r="AE414" s="45">
        <v>4399</v>
      </c>
      <c r="AF414" s="45">
        <v>4299</v>
      </c>
      <c r="AG414" s="45">
        <v>4299</v>
      </c>
      <c r="AH414" s="45">
        <v>3299</v>
      </c>
      <c r="AI414" s="45">
        <v>3299</v>
      </c>
      <c r="AJ414" s="45">
        <v>3299</v>
      </c>
      <c r="AK414" s="45">
        <v>3299</v>
      </c>
      <c r="AL414" s="45">
        <v>2799</v>
      </c>
      <c r="AM414" s="45"/>
      <c r="AN414" s="45"/>
      <c r="AO414" s="45"/>
      <c r="AP414" s="45"/>
      <c r="AQ414" s="45"/>
      <c r="AR414" s="45"/>
      <c r="AS414" s="45"/>
      <c r="AT414" s="45"/>
      <c r="AU414" s="45"/>
      <c r="AV414" s="47"/>
      <c r="AW414" s="48" t="s">
        <v>67</v>
      </c>
      <c r="AX414" s="49" t="s">
        <v>68</v>
      </c>
      <c r="AY414" s="50">
        <f t="shared" si="35"/>
        <v>94.313800000000001</v>
      </c>
      <c r="AZ414" s="50">
        <f t="shared" si="36"/>
        <v>84.975800000000007</v>
      </c>
      <c r="BA414" s="51">
        <f t="shared" si="37"/>
        <v>48.090699999999998</v>
      </c>
    </row>
    <row r="415" spans="1:53" ht="22.5" customHeight="1">
      <c r="A415" s="41" t="s">
        <v>63</v>
      </c>
      <c r="B415" s="42" t="s">
        <v>64</v>
      </c>
      <c r="C415" s="43">
        <v>4016858</v>
      </c>
      <c r="D415" s="58" t="s">
        <v>607</v>
      </c>
      <c r="E415" s="58" t="s">
        <v>610</v>
      </c>
      <c r="F415" s="45">
        <v>6499</v>
      </c>
      <c r="G415" s="45">
        <v>3899</v>
      </c>
      <c r="H415" s="45">
        <v>4669</v>
      </c>
      <c r="I415" s="45">
        <v>4669</v>
      </c>
      <c r="J415" s="45">
        <v>4499</v>
      </c>
      <c r="K415" s="45">
        <v>4499</v>
      </c>
      <c r="L415" s="45">
        <v>4499</v>
      </c>
      <c r="M415" s="45">
        <v>4499</v>
      </c>
      <c r="N415" s="45">
        <v>4499</v>
      </c>
      <c r="O415" s="45">
        <v>4399</v>
      </c>
      <c r="P415" s="46">
        <v>4299</v>
      </c>
      <c r="Q415" s="46">
        <v>3299</v>
      </c>
      <c r="R415" s="45">
        <v>4399</v>
      </c>
      <c r="S415" s="45">
        <v>4299</v>
      </c>
      <c r="T415" s="45">
        <v>3299</v>
      </c>
      <c r="U415" s="45">
        <v>3299</v>
      </c>
      <c r="V415" s="45">
        <v>3299</v>
      </c>
      <c r="W415" s="45">
        <v>3299</v>
      </c>
      <c r="X415" s="45">
        <v>3199</v>
      </c>
      <c r="Y415" s="45">
        <v>2799</v>
      </c>
      <c r="Z415" s="45">
        <v>2799</v>
      </c>
      <c r="AA415" s="45">
        <v>2599</v>
      </c>
      <c r="AB415" s="45">
        <v>4499</v>
      </c>
      <c r="AC415" s="45">
        <v>4499</v>
      </c>
      <c r="AD415" s="45">
        <v>4499</v>
      </c>
      <c r="AE415" s="45">
        <v>4399</v>
      </c>
      <c r="AF415" s="45">
        <v>4299</v>
      </c>
      <c r="AG415" s="45">
        <v>4299</v>
      </c>
      <c r="AH415" s="45">
        <v>3299</v>
      </c>
      <c r="AI415" s="45">
        <v>3299</v>
      </c>
      <c r="AJ415" s="45">
        <v>3299</v>
      </c>
      <c r="AK415" s="45">
        <v>3299</v>
      </c>
      <c r="AL415" s="45">
        <v>2799</v>
      </c>
      <c r="AM415" s="45"/>
      <c r="AN415" s="45"/>
      <c r="AO415" s="45"/>
      <c r="AP415" s="45"/>
      <c r="AQ415" s="45"/>
      <c r="AR415" s="45"/>
      <c r="AS415" s="45"/>
      <c r="AT415" s="45"/>
      <c r="AU415" s="45"/>
      <c r="AV415" s="47"/>
      <c r="AW415" s="48" t="s">
        <v>67</v>
      </c>
      <c r="AX415" s="49" t="s">
        <v>68</v>
      </c>
      <c r="AY415" s="50">
        <f t="shared" si="35"/>
        <v>94.313800000000001</v>
      </c>
      <c r="AZ415" s="50">
        <f t="shared" si="36"/>
        <v>84.975800000000007</v>
      </c>
      <c r="BA415" s="51">
        <f t="shared" si="37"/>
        <v>48.090699999999998</v>
      </c>
    </row>
    <row r="416" spans="1:53" ht="22.5" customHeight="1">
      <c r="A416" s="41" t="s">
        <v>63</v>
      </c>
      <c r="B416" s="42" t="s">
        <v>64</v>
      </c>
      <c r="C416" s="43">
        <v>4016863</v>
      </c>
      <c r="D416" s="58" t="s">
        <v>607</v>
      </c>
      <c r="E416" s="58" t="s">
        <v>611</v>
      </c>
      <c r="F416" s="45">
        <v>6499</v>
      </c>
      <c r="G416" s="45">
        <v>3899</v>
      </c>
      <c r="H416" s="45">
        <v>4669</v>
      </c>
      <c r="I416" s="45">
        <v>4669</v>
      </c>
      <c r="J416" s="45">
        <v>4499</v>
      </c>
      <c r="K416" s="45">
        <v>4499</v>
      </c>
      <c r="L416" s="45">
        <v>4499</v>
      </c>
      <c r="M416" s="45">
        <v>4499</v>
      </c>
      <c r="N416" s="45">
        <v>4499</v>
      </c>
      <c r="O416" s="45">
        <v>4399</v>
      </c>
      <c r="P416" s="46">
        <v>4299</v>
      </c>
      <c r="Q416" s="46">
        <v>3299</v>
      </c>
      <c r="R416" s="45">
        <v>4399</v>
      </c>
      <c r="S416" s="45">
        <v>4299</v>
      </c>
      <c r="T416" s="45">
        <v>3299</v>
      </c>
      <c r="U416" s="45">
        <v>3299</v>
      </c>
      <c r="V416" s="45">
        <v>3299</v>
      </c>
      <c r="W416" s="45">
        <v>3299</v>
      </c>
      <c r="X416" s="45">
        <v>3199</v>
      </c>
      <c r="Y416" s="45">
        <v>2799</v>
      </c>
      <c r="Z416" s="45">
        <v>2799</v>
      </c>
      <c r="AA416" s="45">
        <v>2599</v>
      </c>
      <c r="AB416" s="45">
        <v>4499</v>
      </c>
      <c r="AC416" s="45">
        <v>4499</v>
      </c>
      <c r="AD416" s="45">
        <v>4499</v>
      </c>
      <c r="AE416" s="45">
        <v>4399</v>
      </c>
      <c r="AF416" s="45">
        <v>4299</v>
      </c>
      <c r="AG416" s="45">
        <v>4299</v>
      </c>
      <c r="AH416" s="45">
        <v>3299</v>
      </c>
      <c r="AI416" s="45">
        <v>3299</v>
      </c>
      <c r="AJ416" s="45">
        <v>3299</v>
      </c>
      <c r="AK416" s="45">
        <v>3299</v>
      </c>
      <c r="AL416" s="45">
        <v>2799</v>
      </c>
      <c r="AM416" s="45"/>
      <c r="AN416" s="45"/>
      <c r="AO416" s="45"/>
      <c r="AP416" s="45"/>
      <c r="AQ416" s="45"/>
      <c r="AR416" s="45"/>
      <c r="AS416" s="45"/>
      <c r="AT416" s="45"/>
      <c r="AU416" s="45"/>
      <c r="AV416" s="47"/>
      <c r="AW416" s="48" t="s">
        <v>67</v>
      </c>
      <c r="AX416" s="49" t="s">
        <v>68</v>
      </c>
      <c r="AY416" s="50">
        <f t="shared" si="35"/>
        <v>94.313800000000001</v>
      </c>
      <c r="AZ416" s="50">
        <f t="shared" si="36"/>
        <v>84.975800000000007</v>
      </c>
      <c r="BA416" s="51">
        <f t="shared" si="37"/>
        <v>48.090699999999998</v>
      </c>
    </row>
    <row r="417" spans="1:53" ht="22.5" customHeight="1">
      <c r="A417" s="41" t="s">
        <v>63</v>
      </c>
      <c r="B417" s="42" t="s">
        <v>64</v>
      </c>
      <c r="C417" s="43">
        <v>4016886</v>
      </c>
      <c r="D417" s="58" t="s">
        <v>607</v>
      </c>
      <c r="E417" s="58" t="s">
        <v>612</v>
      </c>
      <c r="F417" s="45">
        <v>6499</v>
      </c>
      <c r="G417" s="45">
        <v>3899</v>
      </c>
      <c r="H417" s="45">
        <v>4669</v>
      </c>
      <c r="I417" s="45">
        <v>4669</v>
      </c>
      <c r="J417" s="45">
        <v>4499</v>
      </c>
      <c r="K417" s="45">
        <v>4499</v>
      </c>
      <c r="L417" s="45">
        <v>4499</v>
      </c>
      <c r="M417" s="45">
        <v>4499</v>
      </c>
      <c r="N417" s="45">
        <v>4499</v>
      </c>
      <c r="O417" s="45">
        <v>4399</v>
      </c>
      <c r="P417" s="46">
        <v>4299</v>
      </c>
      <c r="Q417" s="46">
        <v>3299</v>
      </c>
      <c r="R417" s="45">
        <v>4399</v>
      </c>
      <c r="S417" s="45">
        <v>4299</v>
      </c>
      <c r="T417" s="45">
        <v>3299</v>
      </c>
      <c r="U417" s="45">
        <v>3299</v>
      </c>
      <c r="V417" s="45">
        <v>3299</v>
      </c>
      <c r="W417" s="45">
        <v>3299</v>
      </c>
      <c r="X417" s="45">
        <v>3199</v>
      </c>
      <c r="Y417" s="45">
        <v>2799</v>
      </c>
      <c r="Z417" s="45">
        <v>2799</v>
      </c>
      <c r="AA417" s="45">
        <v>2599</v>
      </c>
      <c r="AB417" s="45">
        <v>4499</v>
      </c>
      <c r="AC417" s="45">
        <v>4499</v>
      </c>
      <c r="AD417" s="45">
        <v>4499</v>
      </c>
      <c r="AE417" s="45">
        <v>4399</v>
      </c>
      <c r="AF417" s="45">
        <v>4299</v>
      </c>
      <c r="AG417" s="45">
        <v>4299</v>
      </c>
      <c r="AH417" s="45">
        <v>3299</v>
      </c>
      <c r="AI417" s="45">
        <v>3299</v>
      </c>
      <c r="AJ417" s="45">
        <v>3299</v>
      </c>
      <c r="AK417" s="45">
        <v>3299</v>
      </c>
      <c r="AL417" s="45">
        <v>2799</v>
      </c>
      <c r="AM417" s="45"/>
      <c r="AN417" s="45"/>
      <c r="AO417" s="45"/>
      <c r="AP417" s="45"/>
      <c r="AQ417" s="45"/>
      <c r="AR417" s="45"/>
      <c r="AS417" s="45"/>
      <c r="AT417" s="45"/>
      <c r="AU417" s="45"/>
      <c r="AV417" s="47"/>
      <c r="AW417" s="48" t="s">
        <v>67</v>
      </c>
      <c r="AX417" s="49" t="s">
        <v>68</v>
      </c>
      <c r="AY417" s="50">
        <f t="shared" si="35"/>
        <v>94.313800000000001</v>
      </c>
      <c r="AZ417" s="50">
        <f t="shared" si="36"/>
        <v>84.975800000000007</v>
      </c>
      <c r="BA417" s="51">
        <f t="shared" si="37"/>
        <v>48.090699999999998</v>
      </c>
    </row>
    <row r="418" spans="1:53" ht="22.5" customHeight="1">
      <c r="A418" s="41" t="s">
        <v>63</v>
      </c>
      <c r="B418" s="42" t="s">
        <v>64</v>
      </c>
      <c r="C418" s="43">
        <v>4016901</v>
      </c>
      <c r="D418" s="58" t="s">
        <v>607</v>
      </c>
      <c r="E418" s="58" t="s">
        <v>613</v>
      </c>
      <c r="F418" s="45">
        <v>6499</v>
      </c>
      <c r="G418" s="45">
        <v>3899</v>
      </c>
      <c r="H418" s="45">
        <v>4669</v>
      </c>
      <c r="I418" s="45">
        <v>4669</v>
      </c>
      <c r="J418" s="45">
        <v>4499</v>
      </c>
      <c r="K418" s="45">
        <v>4499</v>
      </c>
      <c r="L418" s="45">
        <v>4499</v>
      </c>
      <c r="M418" s="45">
        <v>4499</v>
      </c>
      <c r="N418" s="45">
        <v>4499</v>
      </c>
      <c r="O418" s="45">
        <v>4399</v>
      </c>
      <c r="P418" s="46">
        <v>4299</v>
      </c>
      <c r="Q418" s="46">
        <v>3299</v>
      </c>
      <c r="R418" s="45">
        <v>4399</v>
      </c>
      <c r="S418" s="45">
        <v>4299</v>
      </c>
      <c r="T418" s="45">
        <v>3299</v>
      </c>
      <c r="U418" s="45">
        <v>3299</v>
      </c>
      <c r="V418" s="45">
        <v>3299</v>
      </c>
      <c r="W418" s="45">
        <v>3299</v>
      </c>
      <c r="X418" s="45">
        <v>3199</v>
      </c>
      <c r="Y418" s="45">
        <v>2799</v>
      </c>
      <c r="Z418" s="45">
        <v>2799</v>
      </c>
      <c r="AA418" s="45">
        <v>2599</v>
      </c>
      <c r="AB418" s="45">
        <v>4499</v>
      </c>
      <c r="AC418" s="45">
        <v>4499</v>
      </c>
      <c r="AD418" s="45">
        <v>4499</v>
      </c>
      <c r="AE418" s="45">
        <v>4399</v>
      </c>
      <c r="AF418" s="45">
        <v>4299</v>
      </c>
      <c r="AG418" s="45">
        <v>4299</v>
      </c>
      <c r="AH418" s="45">
        <v>3299</v>
      </c>
      <c r="AI418" s="45">
        <v>3299</v>
      </c>
      <c r="AJ418" s="45">
        <v>3299</v>
      </c>
      <c r="AK418" s="45">
        <v>3299</v>
      </c>
      <c r="AL418" s="45">
        <v>2799</v>
      </c>
      <c r="AM418" s="45"/>
      <c r="AN418" s="45"/>
      <c r="AO418" s="45"/>
      <c r="AP418" s="45"/>
      <c r="AQ418" s="45"/>
      <c r="AR418" s="45"/>
      <c r="AS418" s="45"/>
      <c r="AT418" s="45"/>
      <c r="AU418" s="45"/>
      <c r="AV418" s="47"/>
      <c r="AW418" s="48" t="s">
        <v>67</v>
      </c>
      <c r="AX418" s="49" t="s">
        <v>68</v>
      </c>
      <c r="AY418" s="50">
        <f t="shared" si="35"/>
        <v>94.313800000000001</v>
      </c>
      <c r="AZ418" s="50">
        <f t="shared" si="36"/>
        <v>84.975800000000007</v>
      </c>
      <c r="BA418" s="51">
        <f t="shared" si="37"/>
        <v>48.090699999999998</v>
      </c>
    </row>
    <row r="419" spans="1:53" ht="22.5" customHeight="1">
      <c r="A419" s="41" t="s">
        <v>63</v>
      </c>
      <c r="B419" s="42" t="s">
        <v>64</v>
      </c>
      <c r="C419" s="43">
        <v>4016895</v>
      </c>
      <c r="D419" s="58" t="s">
        <v>607</v>
      </c>
      <c r="E419" s="58" t="s">
        <v>614</v>
      </c>
      <c r="F419" s="45">
        <v>6499</v>
      </c>
      <c r="G419" s="45">
        <v>3899</v>
      </c>
      <c r="H419" s="45">
        <v>4669</v>
      </c>
      <c r="I419" s="45">
        <v>4669</v>
      </c>
      <c r="J419" s="45">
        <v>4499</v>
      </c>
      <c r="K419" s="45">
        <v>4499</v>
      </c>
      <c r="L419" s="45">
        <v>4499</v>
      </c>
      <c r="M419" s="45">
        <v>4499</v>
      </c>
      <c r="N419" s="45">
        <v>4499</v>
      </c>
      <c r="O419" s="45">
        <v>4399</v>
      </c>
      <c r="P419" s="46">
        <v>4299</v>
      </c>
      <c r="Q419" s="46">
        <v>3299</v>
      </c>
      <c r="R419" s="45">
        <v>4399</v>
      </c>
      <c r="S419" s="45">
        <v>4299</v>
      </c>
      <c r="T419" s="45">
        <v>3299</v>
      </c>
      <c r="U419" s="45">
        <v>3299</v>
      </c>
      <c r="V419" s="45">
        <v>3299</v>
      </c>
      <c r="W419" s="45">
        <v>3299</v>
      </c>
      <c r="X419" s="45">
        <v>3199</v>
      </c>
      <c r="Y419" s="45">
        <v>2799</v>
      </c>
      <c r="Z419" s="45">
        <v>2799</v>
      </c>
      <c r="AA419" s="45">
        <v>2599</v>
      </c>
      <c r="AB419" s="45">
        <v>4499</v>
      </c>
      <c r="AC419" s="45">
        <v>4499</v>
      </c>
      <c r="AD419" s="45">
        <v>4499</v>
      </c>
      <c r="AE419" s="45">
        <v>4399</v>
      </c>
      <c r="AF419" s="45">
        <v>4299</v>
      </c>
      <c r="AG419" s="45">
        <v>4299</v>
      </c>
      <c r="AH419" s="45">
        <v>3299</v>
      </c>
      <c r="AI419" s="45">
        <v>3299</v>
      </c>
      <c r="AJ419" s="45">
        <v>3299</v>
      </c>
      <c r="AK419" s="45">
        <v>3299</v>
      </c>
      <c r="AL419" s="45">
        <v>2799</v>
      </c>
      <c r="AM419" s="45"/>
      <c r="AN419" s="45"/>
      <c r="AO419" s="45"/>
      <c r="AP419" s="45"/>
      <c r="AQ419" s="45"/>
      <c r="AR419" s="45"/>
      <c r="AS419" s="45"/>
      <c r="AT419" s="45"/>
      <c r="AU419" s="45"/>
      <c r="AV419" s="47"/>
      <c r="AW419" s="48" t="s">
        <v>67</v>
      </c>
      <c r="AX419" s="49" t="s">
        <v>68</v>
      </c>
      <c r="AY419" s="50">
        <f t="shared" si="35"/>
        <v>94.313800000000001</v>
      </c>
      <c r="AZ419" s="50">
        <f t="shared" si="36"/>
        <v>84.975800000000007</v>
      </c>
      <c r="BA419" s="51">
        <f t="shared" si="37"/>
        <v>48.090699999999998</v>
      </c>
    </row>
    <row r="420" spans="1:53" ht="22.5" customHeight="1">
      <c r="A420" s="41" t="s">
        <v>63</v>
      </c>
      <c r="B420" s="42" t="s">
        <v>64</v>
      </c>
      <c r="C420" s="43">
        <v>4016880</v>
      </c>
      <c r="D420" s="58" t="s">
        <v>607</v>
      </c>
      <c r="E420" s="58" t="s">
        <v>615</v>
      </c>
      <c r="F420" s="45">
        <v>6499</v>
      </c>
      <c r="G420" s="45">
        <v>3899</v>
      </c>
      <c r="H420" s="45">
        <v>4669</v>
      </c>
      <c r="I420" s="45">
        <v>4669</v>
      </c>
      <c r="J420" s="45">
        <v>4499</v>
      </c>
      <c r="K420" s="45">
        <v>4499</v>
      </c>
      <c r="L420" s="45">
        <v>4499</v>
      </c>
      <c r="M420" s="45">
        <v>4499</v>
      </c>
      <c r="N420" s="45">
        <v>4499</v>
      </c>
      <c r="O420" s="45">
        <v>4399</v>
      </c>
      <c r="P420" s="46">
        <v>4299</v>
      </c>
      <c r="Q420" s="46">
        <v>3299</v>
      </c>
      <c r="R420" s="45">
        <v>4399</v>
      </c>
      <c r="S420" s="45">
        <v>4299</v>
      </c>
      <c r="T420" s="45">
        <v>3299</v>
      </c>
      <c r="U420" s="45">
        <v>3299</v>
      </c>
      <c r="V420" s="45">
        <v>3299</v>
      </c>
      <c r="W420" s="45">
        <v>3299</v>
      </c>
      <c r="X420" s="45">
        <v>3199</v>
      </c>
      <c r="Y420" s="45">
        <v>2799</v>
      </c>
      <c r="Z420" s="45">
        <v>2799</v>
      </c>
      <c r="AA420" s="45">
        <v>2599</v>
      </c>
      <c r="AB420" s="45">
        <v>4499</v>
      </c>
      <c r="AC420" s="45">
        <v>4499</v>
      </c>
      <c r="AD420" s="45">
        <v>4499</v>
      </c>
      <c r="AE420" s="45">
        <v>4399</v>
      </c>
      <c r="AF420" s="45">
        <v>4299</v>
      </c>
      <c r="AG420" s="45">
        <v>4299</v>
      </c>
      <c r="AH420" s="45">
        <v>3299</v>
      </c>
      <c r="AI420" s="45">
        <v>3299</v>
      </c>
      <c r="AJ420" s="45">
        <v>3299</v>
      </c>
      <c r="AK420" s="45">
        <v>3299</v>
      </c>
      <c r="AL420" s="45">
        <v>2799</v>
      </c>
      <c r="AM420" s="45"/>
      <c r="AN420" s="45"/>
      <c r="AO420" s="45"/>
      <c r="AP420" s="45"/>
      <c r="AQ420" s="45"/>
      <c r="AR420" s="45"/>
      <c r="AS420" s="45"/>
      <c r="AT420" s="45"/>
      <c r="AU420" s="45"/>
      <c r="AV420" s="47"/>
      <c r="AW420" s="48" t="s">
        <v>67</v>
      </c>
      <c r="AX420" s="49" t="s">
        <v>68</v>
      </c>
      <c r="AY420" s="50">
        <f t="shared" si="35"/>
        <v>94.313800000000001</v>
      </c>
      <c r="AZ420" s="50">
        <f t="shared" si="36"/>
        <v>84.975800000000007</v>
      </c>
      <c r="BA420" s="51">
        <f t="shared" si="37"/>
        <v>48.090699999999998</v>
      </c>
    </row>
    <row r="421" spans="1:53" ht="22.5" customHeight="1">
      <c r="A421" s="41" t="s">
        <v>63</v>
      </c>
      <c r="B421" s="42" t="s">
        <v>64</v>
      </c>
      <c r="C421" s="43">
        <v>4016871</v>
      </c>
      <c r="D421" s="58" t="s">
        <v>616</v>
      </c>
      <c r="E421" s="58" t="s">
        <v>617</v>
      </c>
      <c r="F421" s="45">
        <v>8499</v>
      </c>
      <c r="G421" s="45">
        <v>4899</v>
      </c>
      <c r="H421" s="45">
        <v>5699</v>
      </c>
      <c r="I421" s="45">
        <v>5699</v>
      </c>
      <c r="J421" s="45">
        <v>5599</v>
      </c>
      <c r="K421" s="45">
        <v>5599</v>
      </c>
      <c r="L421" s="45">
        <v>5599</v>
      </c>
      <c r="M421" s="45">
        <v>5599</v>
      </c>
      <c r="N421" s="45">
        <v>5599</v>
      </c>
      <c r="O421" s="45">
        <v>5499</v>
      </c>
      <c r="P421" s="46">
        <v>5399</v>
      </c>
      <c r="Q421" s="46">
        <v>4799</v>
      </c>
      <c r="R421" s="45">
        <v>5499</v>
      </c>
      <c r="S421" s="45">
        <v>5399</v>
      </c>
      <c r="T421" s="45">
        <v>4799</v>
      </c>
      <c r="U421" s="45">
        <v>4799</v>
      </c>
      <c r="V421" s="45">
        <v>4799</v>
      </c>
      <c r="W421" s="45">
        <v>4799</v>
      </c>
      <c r="X421" s="45">
        <v>4699</v>
      </c>
      <c r="Y421" s="45">
        <v>3999</v>
      </c>
      <c r="Z421" s="45">
        <v>3999</v>
      </c>
      <c r="AA421" s="45">
        <v>3799</v>
      </c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7"/>
      <c r="AW421" s="48" t="s">
        <v>67</v>
      </c>
      <c r="AX421" s="49" t="s">
        <v>68</v>
      </c>
      <c r="AY421" s="50">
        <f t="shared" si="35"/>
        <v>115.1198</v>
      </c>
      <c r="AZ421" s="50">
        <f t="shared" si="36"/>
        <v>103.7218</v>
      </c>
      <c r="BA421" s="51">
        <f t="shared" si="37"/>
        <v>58.6997</v>
      </c>
    </row>
    <row r="422" spans="1:53" ht="22.5" customHeight="1">
      <c r="A422" s="41" t="s">
        <v>63</v>
      </c>
      <c r="B422" s="42" t="s">
        <v>64</v>
      </c>
      <c r="C422" s="43">
        <v>4016851</v>
      </c>
      <c r="D422" s="58" t="s">
        <v>616</v>
      </c>
      <c r="E422" s="58" t="s">
        <v>618</v>
      </c>
      <c r="F422" s="45">
        <v>8499</v>
      </c>
      <c r="G422" s="45">
        <v>4899</v>
      </c>
      <c r="H422" s="45">
        <v>5699</v>
      </c>
      <c r="I422" s="45">
        <v>5699</v>
      </c>
      <c r="J422" s="45">
        <v>5599</v>
      </c>
      <c r="K422" s="45">
        <v>5599</v>
      </c>
      <c r="L422" s="45">
        <v>5599</v>
      </c>
      <c r="M422" s="45">
        <v>5599</v>
      </c>
      <c r="N422" s="45">
        <v>5599</v>
      </c>
      <c r="O422" s="45">
        <v>5499</v>
      </c>
      <c r="P422" s="46">
        <v>5399</v>
      </c>
      <c r="Q422" s="46">
        <v>4799</v>
      </c>
      <c r="R422" s="45">
        <v>5499</v>
      </c>
      <c r="S422" s="45">
        <v>5399</v>
      </c>
      <c r="T422" s="45">
        <v>4799</v>
      </c>
      <c r="U422" s="45">
        <v>4799</v>
      </c>
      <c r="V422" s="45">
        <v>4799</v>
      </c>
      <c r="W422" s="45">
        <v>4799</v>
      </c>
      <c r="X422" s="45">
        <v>4699</v>
      </c>
      <c r="Y422" s="45">
        <v>3999</v>
      </c>
      <c r="Z422" s="45">
        <v>3999</v>
      </c>
      <c r="AA422" s="45">
        <v>3799</v>
      </c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7"/>
      <c r="AW422" s="48" t="s">
        <v>67</v>
      </c>
      <c r="AX422" s="49" t="s">
        <v>68</v>
      </c>
      <c r="AY422" s="50">
        <f t="shared" si="35"/>
        <v>115.1198</v>
      </c>
      <c r="AZ422" s="50">
        <f t="shared" si="36"/>
        <v>103.7218</v>
      </c>
      <c r="BA422" s="51">
        <f t="shared" si="37"/>
        <v>58.6997</v>
      </c>
    </row>
    <row r="423" spans="1:53" ht="22.5" customHeight="1">
      <c r="A423" s="41" t="s">
        <v>63</v>
      </c>
      <c r="B423" s="42" t="s">
        <v>64</v>
      </c>
      <c r="C423" s="43">
        <v>4016864</v>
      </c>
      <c r="D423" s="58" t="s">
        <v>616</v>
      </c>
      <c r="E423" s="58" t="s">
        <v>619</v>
      </c>
      <c r="F423" s="45">
        <v>8499</v>
      </c>
      <c r="G423" s="45">
        <v>4899</v>
      </c>
      <c r="H423" s="45">
        <v>5699</v>
      </c>
      <c r="I423" s="45">
        <v>5699</v>
      </c>
      <c r="J423" s="45">
        <v>5599</v>
      </c>
      <c r="K423" s="45">
        <v>5599</v>
      </c>
      <c r="L423" s="45">
        <v>5599</v>
      </c>
      <c r="M423" s="45">
        <v>5599</v>
      </c>
      <c r="N423" s="45">
        <v>5599</v>
      </c>
      <c r="O423" s="45">
        <v>5499</v>
      </c>
      <c r="P423" s="46">
        <v>5399</v>
      </c>
      <c r="Q423" s="46">
        <v>4799</v>
      </c>
      <c r="R423" s="45">
        <v>5499</v>
      </c>
      <c r="S423" s="45">
        <v>5399</v>
      </c>
      <c r="T423" s="45">
        <v>4799</v>
      </c>
      <c r="U423" s="45">
        <v>4799</v>
      </c>
      <c r="V423" s="45">
        <v>4799</v>
      </c>
      <c r="W423" s="45">
        <v>4799</v>
      </c>
      <c r="X423" s="45">
        <v>4699</v>
      </c>
      <c r="Y423" s="45">
        <v>3999</v>
      </c>
      <c r="Z423" s="45">
        <v>3999</v>
      </c>
      <c r="AA423" s="45">
        <v>3799</v>
      </c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7"/>
      <c r="AW423" s="48" t="s">
        <v>67</v>
      </c>
      <c r="AX423" s="49" t="s">
        <v>68</v>
      </c>
      <c r="AY423" s="50">
        <f t="shared" si="35"/>
        <v>115.1198</v>
      </c>
      <c r="AZ423" s="50">
        <f t="shared" si="36"/>
        <v>103.7218</v>
      </c>
      <c r="BA423" s="51">
        <f t="shared" si="37"/>
        <v>58.6997</v>
      </c>
    </row>
    <row r="424" spans="1:53" ht="22.5" customHeight="1">
      <c r="A424" s="41" t="s">
        <v>63</v>
      </c>
      <c r="B424" s="42" t="s">
        <v>64</v>
      </c>
      <c r="C424" s="43">
        <v>4016900</v>
      </c>
      <c r="D424" s="58" t="s">
        <v>616</v>
      </c>
      <c r="E424" s="58" t="s">
        <v>620</v>
      </c>
      <c r="F424" s="45">
        <v>8499</v>
      </c>
      <c r="G424" s="45">
        <v>4899</v>
      </c>
      <c r="H424" s="45">
        <v>5699</v>
      </c>
      <c r="I424" s="45">
        <v>5699</v>
      </c>
      <c r="J424" s="45">
        <v>5599</v>
      </c>
      <c r="K424" s="45">
        <v>5599</v>
      </c>
      <c r="L424" s="45">
        <v>5599</v>
      </c>
      <c r="M424" s="45">
        <v>5599</v>
      </c>
      <c r="N424" s="45">
        <v>5599</v>
      </c>
      <c r="O424" s="45">
        <v>5499</v>
      </c>
      <c r="P424" s="46">
        <v>5399</v>
      </c>
      <c r="Q424" s="46">
        <v>4799</v>
      </c>
      <c r="R424" s="45">
        <v>5499</v>
      </c>
      <c r="S424" s="45">
        <v>5399</v>
      </c>
      <c r="T424" s="45">
        <v>4799</v>
      </c>
      <c r="U424" s="45">
        <v>4799</v>
      </c>
      <c r="V424" s="45">
        <v>4799</v>
      </c>
      <c r="W424" s="45">
        <v>4799</v>
      </c>
      <c r="X424" s="45">
        <v>4699</v>
      </c>
      <c r="Y424" s="45">
        <v>3999</v>
      </c>
      <c r="Z424" s="45">
        <v>3999</v>
      </c>
      <c r="AA424" s="45">
        <v>3799</v>
      </c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7"/>
      <c r="AW424" s="48" t="s">
        <v>67</v>
      </c>
      <c r="AX424" s="49" t="s">
        <v>68</v>
      </c>
      <c r="AY424" s="50">
        <f t="shared" si="35"/>
        <v>115.1198</v>
      </c>
      <c r="AZ424" s="50">
        <f t="shared" si="36"/>
        <v>103.7218</v>
      </c>
      <c r="BA424" s="51">
        <f t="shared" si="37"/>
        <v>58.6997</v>
      </c>
    </row>
    <row r="425" spans="1:53" ht="22.5" customHeight="1">
      <c r="A425" s="41" t="s">
        <v>63</v>
      </c>
      <c r="B425" s="42" t="s">
        <v>64</v>
      </c>
      <c r="C425" s="43">
        <v>4016893</v>
      </c>
      <c r="D425" s="58" t="s">
        <v>616</v>
      </c>
      <c r="E425" s="58" t="s">
        <v>621</v>
      </c>
      <c r="F425" s="45">
        <v>8499</v>
      </c>
      <c r="G425" s="45">
        <v>4899</v>
      </c>
      <c r="H425" s="45">
        <v>5699</v>
      </c>
      <c r="I425" s="45">
        <v>5699</v>
      </c>
      <c r="J425" s="45">
        <v>5599</v>
      </c>
      <c r="K425" s="45">
        <v>5599</v>
      </c>
      <c r="L425" s="45">
        <v>5599</v>
      </c>
      <c r="M425" s="45">
        <v>5599</v>
      </c>
      <c r="N425" s="45">
        <v>5599</v>
      </c>
      <c r="O425" s="45">
        <v>5499</v>
      </c>
      <c r="P425" s="46">
        <v>5399</v>
      </c>
      <c r="Q425" s="46">
        <v>4799</v>
      </c>
      <c r="R425" s="45">
        <v>5499</v>
      </c>
      <c r="S425" s="45">
        <v>5399</v>
      </c>
      <c r="T425" s="45">
        <v>4799</v>
      </c>
      <c r="U425" s="45">
        <v>4799</v>
      </c>
      <c r="V425" s="45">
        <v>4799</v>
      </c>
      <c r="W425" s="45">
        <v>4799</v>
      </c>
      <c r="X425" s="45">
        <v>4699</v>
      </c>
      <c r="Y425" s="45">
        <v>3999</v>
      </c>
      <c r="Z425" s="45">
        <v>3999</v>
      </c>
      <c r="AA425" s="45">
        <v>3799</v>
      </c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7"/>
      <c r="AW425" s="48" t="s">
        <v>67</v>
      </c>
      <c r="AX425" s="49" t="s">
        <v>68</v>
      </c>
      <c r="AY425" s="50">
        <f t="shared" si="35"/>
        <v>115.1198</v>
      </c>
      <c r="AZ425" s="50">
        <f t="shared" si="36"/>
        <v>103.7218</v>
      </c>
      <c r="BA425" s="51">
        <f t="shared" si="37"/>
        <v>58.6997</v>
      </c>
    </row>
    <row r="426" spans="1:53" ht="22.5" customHeight="1">
      <c r="A426" s="41" t="s">
        <v>63</v>
      </c>
      <c r="B426" s="42" t="s">
        <v>64</v>
      </c>
      <c r="C426" s="43">
        <v>4016879</v>
      </c>
      <c r="D426" s="58" t="s">
        <v>616</v>
      </c>
      <c r="E426" s="58" t="s">
        <v>622</v>
      </c>
      <c r="F426" s="45">
        <v>8499</v>
      </c>
      <c r="G426" s="45">
        <v>4899</v>
      </c>
      <c r="H426" s="45">
        <v>5699</v>
      </c>
      <c r="I426" s="45">
        <v>5699</v>
      </c>
      <c r="J426" s="45">
        <v>5599</v>
      </c>
      <c r="K426" s="45">
        <v>5599</v>
      </c>
      <c r="L426" s="45">
        <v>5599</v>
      </c>
      <c r="M426" s="45">
        <v>5599</v>
      </c>
      <c r="N426" s="45">
        <v>5599</v>
      </c>
      <c r="O426" s="45">
        <v>5499</v>
      </c>
      <c r="P426" s="46">
        <v>5399</v>
      </c>
      <c r="Q426" s="46">
        <v>4799</v>
      </c>
      <c r="R426" s="45">
        <v>5499</v>
      </c>
      <c r="S426" s="45">
        <v>5399</v>
      </c>
      <c r="T426" s="45">
        <v>4799</v>
      </c>
      <c r="U426" s="45">
        <v>4799</v>
      </c>
      <c r="V426" s="45">
        <v>4799</v>
      </c>
      <c r="W426" s="45">
        <v>4799</v>
      </c>
      <c r="X426" s="45">
        <v>4699</v>
      </c>
      <c r="Y426" s="45">
        <v>3999</v>
      </c>
      <c r="Z426" s="45">
        <v>3999</v>
      </c>
      <c r="AA426" s="45">
        <v>3799</v>
      </c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7"/>
      <c r="AW426" s="48" t="s">
        <v>67</v>
      </c>
      <c r="AX426" s="49" t="s">
        <v>68</v>
      </c>
      <c r="AY426" s="50">
        <f t="shared" si="35"/>
        <v>115.1198</v>
      </c>
      <c r="AZ426" s="50">
        <f t="shared" si="36"/>
        <v>103.7218</v>
      </c>
      <c r="BA426" s="51">
        <f t="shared" si="37"/>
        <v>58.6997</v>
      </c>
    </row>
    <row r="427" spans="1:53" ht="22.5" customHeight="1">
      <c r="A427" s="41" t="s">
        <v>63</v>
      </c>
      <c r="B427" s="42" t="s">
        <v>64</v>
      </c>
      <c r="C427" s="43">
        <v>4016902</v>
      </c>
      <c r="D427" s="58" t="s">
        <v>623</v>
      </c>
      <c r="E427" s="58" t="s">
        <v>624</v>
      </c>
      <c r="F427" s="45">
        <v>9499</v>
      </c>
      <c r="G427" s="45">
        <v>5499</v>
      </c>
      <c r="H427" s="45">
        <v>6399</v>
      </c>
      <c r="I427" s="45">
        <v>6399</v>
      </c>
      <c r="J427" s="45">
        <v>6299</v>
      </c>
      <c r="K427" s="45">
        <v>6299</v>
      </c>
      <c r="L427" s="45">
        <v>6299</v>
      </c>
      <c r="M427" s="45">
        <v>6299</v>
      </c>
      <c r="N427" s="45">
        <v>6299</v>
      </c>
      <c r="O427" s="45">
        <v>6199</v>
      </c>
      <c r="P427" s="46">
        <v>6099</v>
      </c>
      <c r="Q427" s="46">
        <v>5799</v>
      </c>
      <c r="R427" s="45">
        <v>6199</v>
      </c>
      <c r="S427" s="45">
        <v>6099</v>
      </c>
      <c r="T427" s="45">
        <v>5799</v>
      </c>
      <c r="U427" s="45">
        <v>5799</v>
      </c>
      <c r="V427" s="45">
        <v>5799</v>
      </c>
      <c r="W427" s="45">
        <v>5799</v>
      </c>
      <c r="X427" s="45">
        <v>5499</v>
      </c>
      <c r="Y427" s="45">
        <v>4999</v>
      </c>
      <c r="Z427" s="45">
        <v>4999</v>
      </c>
      <c r="AA427" s="45">
        <v>4999</v>
      </c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7"/>
      <c r="AW427" s="48" t="s">
        <v>67</v>
      </c>
      <c r="AX427" s="49" t="s">
        <v>68</v>
      </c>
      <c r="AY427" s="50">
        <f t="shared" si="35"/>
        <v>129.25979999999998</v>
      </c>
      <c r="AZ427" s="50">
        <f t="shared" si="36"/>
        <v>116.46180000000001</v>
      </c>
      <c r="BA427" s="51">
        <f t="shared" si="37"/>
        <v>65.909700000000001</v>
      </c>
    </row>
    <row r="428" spans="1:53" ht="22.5" customHeight="1">
      <c r="A428" s="41" t="s">
        <v>63</v>
      </c>
      <c r="B428" s="42" t="s">
        <v>64</v>
      </c>
      <c r="C428" s="43">
        <v>4016881</v>
      </c>
      <c r="D428" s="58" t="s">
        <v>623</v>
      </c>
      <c r="E428" s="58" t="s">
        <v>625</v>
      </c>
      <c r="F428" s="45">
        <v>9499</v>
      </c>
      <c r="G428" s="45">
        <v>5499</v>
      </c>
      <c r="H428" s="45">
        <v>6399</v>
      </c>
      <c r="I428" s="45">
        <v>6399</v>
      </c>
      <c r="J428" s="45">
        <v>6299</v>
      </c>
      <c r="K428" s="45">
        <v>6299</v>
      </c>
      <c r="L428" s="45">
        <v>6299</v>
      </c>
      <c r="M428" s="45">
        <v>6299</v>
      </c>
      <c r="N428" s="45">
        <v>6299</v>
      </c>
      <c r="O428" s="45">
        <v>6199</v>
      </c>
      <c r="P428" s="46">
        <v>6099</v>
      </c>
      <c r="Q428" s="46">
        <v>5799</v>
      </c>
      <c r="R428" s="45">
        <v>6199</v>
      </c>
      <c r="S428" s="45">
        <v>6099</v>
      </c>
      <c r="T428" s="45">
        <v>5799</v>
      </c>
      <c r="U428" s="45">
        <v>5799</v>
      </c>
      <c r="V428" s="45">
        <v>5799</v>
      </c>
      <c r="W428" s="45">
        <v>5799</v>
      </c>
      <c r="X428" s="45">
        <v>5499</v>
      </c>
      <c r="Y428" s="45">
        <v>4999</v>
      </c>
      <c r="Z428" s="45">
        <v>4999</v>
      </c>
      <c r="AA428" s="45">
        <v>4999</v>
      </c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7"/>
      <c r="AW428" s="48" t="s">
        <v>67</v>
      </c>
      <c r="AX428" s="49" t="s">
        <v>68</v>
      </c>
      <c r="AY428" s="50">
        <f t="shared" si="35"/>
        <v>129.25979999999998</v>
      </c>
      <c r="AZ428" s="50">
        <f t="shared" si="36"/>
        <v>116.46180000000001</v>
      </c>
      <c r="BA428" s="51">
        <f t="shared" si="37"/>
        <v>65.909700000000001</v>
      </c>
    </row>
    <row r="429" spans="1:53" ht="22.5" customHeight="1">
      <c r="A429" s="41" t="s">
        <v>63</v>
      </c>
      <c r="B429" s="42" t="s">
        <v>64</v>
      </c>
      <c r="C429" s="43">
        <v>4016894</v>
      </c>
      <c r="D429" s="58" t="s">
        <v>623</v>
      </c>
      <c r="E429" s="58" t="s">
        <v>626</v>
      </c>
      <c r="F429" s="45">
        <v>9499</v>
      </c>
      <c r="G429" s="45">
        <v>5499</v>
      </c>
      <c r="H429" s="45">
        <v>6399</v>
      </c>
      <c r="I429" s="45">
        <v>6399</v>
      </c>
      <c r="J429" s="45">
        <v>6299</v>
      </c>
      <c r="K429" s="45">
        <v>6299</v>
      </c>
      <c r="L429" s="45">
        <v>6299</v>
      </c>
      <c r="M429" s="45">
        <v>6299</v>
      </c>
      <c r="N429" s="45">
        <v>6299</v>
      </c>
      <c r="O429" s="45">
        <v>6199</v>
      </c>
      <c r="P429" s="46">
        <v>6099</v>
      </c>
      <c r="Q429" s="46">
        <v>5799</v>
      </c>
      <c r="R429" s="45">
        <v>6199</v>
      </c>
      <c r="S429" s="45">
        <v>6099</v>
      </c>
      <c r="T429" s="45">
        <v>5799</v>
      </c>
      <c r="U429" s="45">
        <v>5799</v>
      </c>
      <c r="V429" s="45">
        <v>5799</v>
      </c>
      <c r="W429" s="45">
        <v>5799</v>
      </c>
      <c r="X429" s="45">
        <v>5499</v>
      </c>
      <c r="Y429" s="45">
        <v>4999</v>
      </c>
      <c r="Z429" s="45">
        <v>4999</v>
      </c>
      <c r="AA429" s="45">
        <v>4999</v>
      </c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7"/>
      <c r="AW429" s="48" t="s">
        <v>67</v>
      </c>
      <c r="AX429" s="49" t="s">
        <v>68</v>
      </c>
      <c r="AY429" s="50">
        <f t="shared" ref="AY429:AY496" si="39">$H429*AY$11</f>
        <v>129.25979999999998</v>
      </c>
      <c r="AZ429" s="50">
        <f t="shared" ref="AZ429:AZ496" si="40">($H429*AZ$11)</f>
        <v>116.46180000000001</v>
      </c>
      <c r="BA429" s="51">
        <f t="shared" ref="BA429:BA496" si="41">$H429*BA$11</f>
        <v>65.909700000000001</v>
      </c>
    </row>
    <row r="430" spans="1:53" ht="22.5" customHeight="1">
      <c r="A430" s="41" t="s">
        <v>63</v>
      </c>
      <c r="B430" s="42" t="s">
        <v>64</v>
      </c>
      <c r="C430" s="43">
        <v>4016875</v>
      </c>
      <c r="D430" s="58" t="s">
        <v>627</v>
      </c>
      <c r="E430" s="58" t="s">
        <v>628</v>
      </c>
      <c r="F430" s="45">
        <v>11499</v>
      </c>
      <c r="G430" s="46">
        <v>4999</v>
      </c>
      <c r="H430" s="46">
        <v>7499</v>
      </c>
      <c r="I430" s="46">
        <v>7499</v>
      </c>
      <c r="J430" s="46">
        <v>6999</v>
      </c>
      <c r="K430" s="46">
        <v>6999</v>
      </c>
      <c r="L430" s="46">
        <v>6999</v>
      </c>
      <c r="M430" s="46">
        <v>6999</v>
      </c>
      <c r="N430" s="46">
        <v>6999</v>
      </c>
      <c r="O430" s="46">
        <v>6899</v>
      </c>
      <c r="P430" s="46">
        <v>6799</v>
      </c>
      <c r="Q430" s="46">
        <v>5299</v>
      </c>
      <c r="R430" s="46">
        <v>6899</v>
      </c>
      <c r="S430" s="46">
        <v>6799</v>
      </c>
      <c r="T430" s="46">
        <v>5299</v>
      </c>
      <c r="U430" s="46">
        <v>5299</v>
      </c>
      <c r="V430" s="46">
        <v>5299</v>
      </c>
      <c r="W430" s="46">
        <v>5299</v>
      </c>
      <c r="X430" s="46">
        <v>5199</v>
      </c>
      <c r="Y430" s="46">
        <v>4499</v>
      </c>
      <c r="Z430" s="46">
        <v>4499</v>
      </c>
      <c r="AA430" s="46">
        <v>4299</v>
      </c>
      <c r="AB430" s="45">
        <v>6999</v>
      </c>
      <c r="AC430" s="45">
        <v>6999</v>
      </c>
      <c r="AD430" s="45">
        <v>6999</v>
      </c>
      <c r="AE430" s="45">
        <v>6999</v>
      </c>
      <c r="AF430" s="45">
        <v>6899</v>
      </c>
      <c r="AG430" s="45">
        <v>6799</v>
      </c>
      <c r="AH430" s="45">
        <v>5299</v>
      </c>
      <c r="AI430" s="45">
        <v>5299</v>
      </c>
      <c r="AJ430" s="45">
        <v>5299</v>
      </c>
      <c r="AK430" s="45">
        <v>5299</v>
      </c>
      <c r="AL430" s="45">
        <v>4499</v>
      </c>
      <c r="AM430" s="45"/>
      <c r="AN430" s="45"/>
      <c r="AO430" s="45"/>
      <c r="AP430" s="45"/>
      <c r="AQ430" s="45"/>
      <c r="AR430" s="45"/>
      <c r="AS430" s="45"/>
      <c r="AT430" s="45"/>
      <c r="AU430" s="45"/>
      <c r="AV430" s="47"/>
      <c r="AW430" s="48" t="s">
        <v>67</v>
      </c>
      <c r="AX430" s="49" t="s">
        <v>68</v>
      </c>
      <c r="AY430" s="55">
        <f t="shared" si="39"/>
        <v>151.47979999999998</v>
      </c>
      <c r="AZ430" s="55">
        <f t="shared" si="40"/>
        <v>136.48179999999999</v>
      </c>
      <c r="BA430" s="56">
        <f t="shared" si="41"/>
        <v>77.239699999999999</v>
      </c>
    </row>
    <row r="431" spans="1:53" ht="22.5" customHeight="1">
      <c r="A431" s="41" t="s">
        <v>63</v>
      </c>
      <c r="B431" s="42" t="s">
        <v>64</v>
      </c>
      <c r="C431" s="43">
        <v>4016859</v>
      </c>
      <c r="D431" s="58" t="s">
        <v>627</v>
      </c>
      <c r="E431" s="58" t="s">
        <v>629</v>
      </c>
      <c r="F431" s="45">
        <v>11499</v>
      </c>
      <c r="G431" s="46">
        <v>4999</v>
      </c>
      <c r="H431" s="46">
        <v>7499</v>
      </c>
      <c r="I431" s="46">
        <v>7499</v>
      </c>
      <c r="J431" s="46">
        <v>6999</v>
      </c>
      <c r="K431" s="46">
        <v>6999</v>
      </c>
      <c r="L431" s="46">
        <v>6999</v>
      </c>
      <c r="M431" s="46">
        <v>6999</v>
      </c>
      <c r="N431" s="46">
        <v>6999</v>
      </c>
      <c r="O431" s="46">
        <v>6899</v>
      </c>
      <c r="P431" s="46">
        <v>6799</v>
      </c>
      <c r="Q431" s="46">
        <v>5299</v>
      </c>
      <c r="R431" s="46">
        <v>6899</v>
      </c>
      <c r="S431" s="46">
        <v>6799</v>
      </c>
      <c r="T431" s="46">
        <v>5299</v>
      </c>
      <c r="U431" s="46">
        <v>5299</v>
      </c>
      <c r="V431" s="46">
        <v>5299</v>
      </c>
      <c r="W431" s="46">
        <v>5299</v>
      </c>
      <c r="X431" s="46">
        <v>5199</v>
      </c>
      <c r="Y431" s="46">
        <v>4499</v>
      </c>
      <c r="Z431" s="46">
        <v>4499</v>
      </c>
      <c r="AA431" s="46">
        <v>4299</v>
      </c>
      <c r="AB431" s="45">
        <v>6999</v>
      </c>
      <c r="AC431" s="45">
        <v>6999</v>
      </c>
      <c r="AD431" s="45">
        <v>6999</v>
      </c>
      <c r="AE431" s="45">
        <v>6999</v>
      </c>
      <c r="AF431" s="45">
        <v>6899</v>
      </c>
      <c r="AG431" s="45">
        <v>6799</v>
      </c>
      <c r="AH431" s="45">
        <v>5299</v>
      </c>
      <c r="AI431" s="45">
        <v>5299</v>
      </c>
      <c r="AJ431" s="45">
        <v>5299</v>
      </c>
      <c r="AK431" s="45">
        <v>5299</v>
      </c>
      <c r="AL431" s="45">
        <v>4499</v>
      </c>
      <c r="AM431" s="45"/>
      <c r="AN431" s="45"/>
      <c r="AO431" s="45"/>
      <c r="AP431" s="45"/>
      <c r="AQ431" s="45"/>
      <c r="AR431" s="45"/>
      <c r="AS431" s="45"/>
      <c r="AT431" s="45"/>
      <c r="AU431" s="45"/>
      <c r="AV431" s="47"/>
      <c r="AW431" s="48" t="s">
        <v>67</v>
      </c>
      <c r="AX431" s="49" t="s">
        <v>68</v>
      </c>
      <c r="AY431" s="55">
        <f t="shared" si="39"/>
        <v>151.47979999999998</v>
      </c>
      <c r="AZ431" s="55">
        <f t="shared" si="40"/>
        <v>136.48179999999999</v>
      </c>
      <c r="BA431" s="56">
        <f t="shared" si="41"/>
        <v>77.239699999999999</v>
      </c>
    </row>
    <row r="432" spans="1:53" ht="22.5" customHeight="1">
      <c r="A432" s="41" t="s">
        <v>63</v>
      </c>
      <c r="B432" s="42" t="s">
        <v>64</v>
      </c>
      <c r="C432" s="43">
        <v>4016852</v>
      </c>
      <c r="D432" s="58" t="s">
        <v>627</v>
      </c>
      <c r="E432" s="58" t="s">
        <v>630</v>
      </c>
      <c r="F432" s="45">
        <v>11499</v>
      </c>
      <c r="G432" s="46">
        <v>4999</v>
      </c>
      <c r="H432" s="46">
        <v>7499</v>
      </c>
      <c r="I432" s="46">
        <v>7499</v>
      </c>
      <c r="J432" s="46">
        <v>6999</v>
      </c>
      <c r="K432" s="46">
        <v>6999</v>
      </c>
      <c r="L432" s="46">
        <v>6999</v>
      </c>
      <c r="M432" s="46">
        <v>6999</v>
      </c>
      <c r="N432" s="46">
        <v>6999</v>
      </c>
      <c r="O432" s="46">
        <v>6899</v>
      </c>
      <c r="P432" s="46">
        <v>6799</v>
      </c>
      <c r="Q432" s="46">
        <v>5299</v>
      </c>
      <c r="R432" s="46">
        <v>6899</v>
      </c>
      <c r="S432" s="46">
        <v>6799</v>
      </c>
      <c r="T432" s="46">
        <v>5299</v>
      </c>
      <c r="U432" s="46">
        <v>5299</v>
      </c>
      <c r="V432" s="46">
        <v>5299</v>
      </c>
      <c r="W432" s="46">
        <v>5299</v>
      </c>
      <c r="X432" s="46">
        <v>5199</v>
      </c>
      <c r="Y432" s="46">
        <v>4499</v>
      </c>
      <c r="Z432" s="46">
        <v>4499</v>
      </c>
      <c r="AA432" s="46">
        <v>4299</v>
      </c>
      <c r="AB432" s="45">
        <v>6999</v>
      </c>
      <c r="AC432" s="45">
        <v>6999</v>
      </c>
      <c r="AD432" s="45">
        <v>6999</v>
      </c>
      <c r="AE432" s="45">
        <v>6999</v>
      </c>
      <c r="AF432" s="45">
        <v>6899</v>
      </c>
      <c r="AG432" s="45">
        <v>6799</v>
      </c>
      <c r="AH432" s="45">
        <v>5299</v>
      </c>
      <c r="AI432" s="45">
        <v>5299</v>
      </c>
      <c r="AJ432" s="45">
        <v>5299</v>
      </c>
      <c r="AK432" s="45">
        <v>5299</v>
      </c>
      <c r="AL432" s="45">
        <v>4499</v>
      </c>
      <c r="AM432" s="45"/>
      <c r="AN432" s="45"/>
      <c r="AO432" s="45"/>
      <c r="AP432" s="45"/>
      <c r="AQ432" s="45"/>
      <c r="AR432" s="45"/>
      <c r="AS432" s="45"/>
      <c r="AT432" s="45"/>
      <c r="AU432" s="45"/>
      <c r="AV432" s="47"/>
      <c r="AW432" s="48" t="s">
        <v>67</v>
      </c>
      <c r="AX432" s="49" t="s">
        <v>68</v>
      </c>
      <c r="AY432" s="55">
        <f t="shared" si="39"/>
        <v>151.47979999999998</v>
      </c>
      <c r="AZ432" s="55">
        <f t="shared" si="40"/>
        <v>136.48179999999999</v>
      </c>
      <c r="BA432" s="56">
        <f t="shared" si="41"/>
        <v>77.239699999999999</v>
      </c>
    </row>
    <row r="433" spans="1:53" ht="22.5" customHeight="1">
      <c r="A433" s="41" t="s">
        <v>63</v>
      </c>
      <c r="B433" s="42" t="s">
        <v>64</v>
      </c>
      <c r="C433" s="43">
        <v>4016905</v>
      </c>
      <c r="D433" s="58" t="s">
        <v>627</v>
      </c>
      <c r="E433" s="58" t="s">
        <v>631</v>
      </c>
      <c r="F433" s="45">
        <v>11499</v>
      </c>
      <c r="G433" s="46">
        <v>4999</v>
      </c>
      <c r="H433" s="46">
        <v>7499</v>
      </c>
      <c r="I433" s="46">
        <v>7499</v>
      </c>
      <c r="J433" s="46">
        <v>6999</v>
      </c>
      <c r="K433" s="46">
        <v>6999</v>
      </c>
      <c r="L433" s="46">
        <v>6999</v>
      </c>
      <c r="M433" s="46">
        <v>6999</v>
      </c>
      <c r="N433" s="46">
        <v>6999</v>
      </c>
      <c r="O433" s="46">
        <v>6899</v>
      </c>
      <c r="P433" s="46">
        <v>6799</v>
      </c>
      <c r="Q433" s="46">
        <v>5299</v>
      </c>
      <c r="R433" s="46">
        <v>6899</v>
      </c>
      <c r="S433" s="46">
        <v>6799</v>
      </c>
      <c r="T433" s="46">
        <v>5299</v>
      </c>
      <c r="U433" s="46">
        <v>5299</v>
      </c>
      <c r="V433" s="46">
        <v>5299</v>
      </c>
      <c r="W433" s="46">
        <v>5299</v>
      </c>
      <c r="X433" s="46">
        <v>5199</v>
      </c>
      <c r="Y433" s="46">
        <v>4499</v>
      </c>
      <c r="Z433" s="46">
        <v>4499</v>
      </c>
      <c r="AA433" s="46">
        <v>4299</v>
      </c>
      <c r="AB433" s="45">
        <v>6999</v>
      </c>
      <c r="AC433" s="45">
        <v>6999</v>
      </c>
      <c r="AD433" s="45">
        <v>6999</v>
      </c>
      <c r="AE433" s="45">
        <v>6999</v>
      </c>
      <c r="AF433" s="45">
        <v>6899</v>
      </c>
      <c r="AG433" s="45">
        <v>6799</v>
      </c>
      <c r="AH433" s="45">
        <v>5299</v>
      </c>
      <c r="AI433" s="45">
        <v>5299</v>
      </c>
      <c r="AJ433" s="45">
        <v>5299</v>
      </c>
      <c r="AK433" s="45">
        <v>5299</v>
      </c>
      <c r="AL433" s="45">
        <v>4499</v>
      </c>
      <c r="AM433" s="45"/>
      <c r="AN433" s="45"/>
      <c r="AO433" s="45"/>
      <c r="AP433" s="45"/>
      <c r="AQ433" s="45"/>
      <c r="AR433" s="45"/>
      <c r="AS433" s="45"/>
      <c r="AT433" s="45"/>
      <c r="AU433" s="45"/>
      <c r="AV433" s="47"/>
      <c r="AW433" s="48" t="s">
        <v>67</v>
      </c>
      <c r="AX433" s="49" t="s">
        <v>68</v>
      </c>
      <c r="AY433" s="55">
        <f t="shared" si="39"/>
        <v>151.47979999999998</v>
      </c>
      <c r="AZ433" s="55">
        <f t="shared" si="40"/>
        <v>136.48179999999999</v>
      </c>
      <c r="BA433" s="56">
        <f t="shared" si="41"/>
        <v>77.239699999999999</v>
      </c>
    </row>
    <row r="434" spans="1:53" ht="22.5" customHeight="1">
      <c r="A434" s="41" t="s">
        <v>63</v>
      </c>
      <c r="B434" s="42" t="s">
        <v>64</v>
      </c>
      <c r="C434" s="43">
        <v>4016890</v>
      </c>
      <c r="D434" s="58" t="s">
        <v>627</v>
      </c>
      <c r="E434" s="58" t="s">
        <v>632</v>
      </c>
      <c r="F434" s="45">
        <v>11499</v>
      </c>
      <c r="G434" s="46">
        <v>4999</v>
      </c>
      <c r="H434" s="46">
        <v>7499</v>
      </c>
      <c r="I434" s="46">
        <v>7499</v>
      </c>
      <c r="J434" s="46">
        <v>6999</v>
      </c>
      <c r="K434" s="46">
        <v>6999</v>
      </c>
      <c r="L434" s="46">
        <v>6999</v>
      </c>
      <c r="M434" s="46">
        <v>6999</v>
      </c>
      <c r="N434" s="46">
        <v>6999</v>
      </c>
      <c r="O434" s="46">
        <v>6899</v>
      </c>
      <c r="P434" s="46">
        <v>6799</v>
      </c>
      <c r="Q434" s="46">
        <v>5299</v>
      </c>
      <c r="R434" s="46">
        <v>6899</v>
      </c>
      <c r="S434" s="46">
        <v>6799</v>
      </c>
      <c r="T434" s="46">
        <v>5299</v>
      </c>
      <c r="U434" s="46">
        <v>5299</v>
      </c>
      <c r="V434" s="46">
        <v>5299</v>
      </c>
      <c r="W434" s="46">
        <v>5299</v>
      </c>
      <c r="X434" s="46">
        <v>5199</v>
      </c>
      <c r="Y434" s="46">
        <v>4499</v>
      </c>
      <c r="Z434" s="46">
        <v>4499</v>
      </c>
      <c r="AA434" s="46">
        <v>4299</v>
      </c>
      <c r="AB434" s="45">
        <v>6999</v>
      </c>
      <c r="AC434" s="45">
        <v>6999</v>
      </c>
      <c r="AD434" s="45">
        <v>6999</v>
      </c>
      <c r="AE434" s="45">
        <v>6999</v>
      </c>
      <c r="AF434" s="45">
        <v>6899</v>
      </c>
      <c r="AG434" s="45">
        <v>6799</v>
      </c>
      <c r="AH434" s="45">
        <v>5299</v>
      </c>
      <c r="AI434" s="45">
        <v>5299</v>
      </c>
      <c r="AJ434" s="45">
        <v>5299</v>
      </c>
      <c r="AK434" s="45">
        <v>5299</v>
      </c>
      <c r="AL434" s="45">
        <v>4499</v>
      </c>
      <c r="AM434" s="45"/>
      <c r="AN434" s="45"/>
      <c r="AO434" s="45"/>
      <c r="AP434" s="45"/>
      <c r="AQ434" s="45"/>
      <c r="AR434" s="45"/>
      <c r="AS434" s="45"/>
      <c r="AT434" s="45"/>
      <c r="AU434" s="45"/>
      <c r="AV434" s="47"/>
      <c r="AW434" s="48" t="s">
        <v>67</v>
      </c>
      <c r="AX434" s="49" t="s">
        <v>68</v>
      </c>
      <c r="AY434" s="55">
        <f t="shared" si="39"/>
        <v>151.47979999999998</v>
      </c>
      <c r="AZ434" s="55">
        <f t="shared" si="40"/>
        <v>136.48179999999999</v>
      </c>
      <c r="BA434" s="56">
        <f t="shared" si="41"/>
        <v>77.239699999999999</v>
      </c>
    </row>
    <row r="435" spans="1:53" ht="22.5" customHeight="1">
      <c r="A435" s="41" t="s">
        <v>63</v>
      </c>
      <c r="B435" s="42" t="s">
        <v>64</v>
      </c>
      <c r="C435" s="43">
        <v>4016883</v>
      </c>
      <c r="D435" s="58" t="s">
        <v>627</v>
      </c>
      <c r="E435" s="58" t="s">
        <v>633</v>
      </c>
      <c r="F435" s="45">
        <v>11499</v>
      </c>
      <c r="G435" s="46">
        <v>4999</v>
      </c>
      <c r="H435" s="46">
        <v>7499</v>
      </c>
      <c r="I435" s="46">
        <v>7499</v>
      </c>
      <c r="J435" s="46">
        <v>6999</v>
      </c>
      <c r="K435" s="46">
        <v>6999</v>
      </c>
      <c r="L435" s="46">
        <v>6999</v>
      </c>
      <c r="M435" s="46">
        <v>6999</v>
      </c>
      <c r="N435" s="46">
        <v>6999</v>
      </c>
      <c r="O435" s="46">
        <v>6899</v>
      </c>
      <c r="P435" s="46">
        <v>6799</v>
      </c>
      <c r="Q435" s="46">
        <v>5299</v>
      </c>
      <c r="R435" s="46">
        <v>6899</v>
      </c>
      <c r="S435" s="46">
        <v>6799</v>
      </c>
      <c r="T435" s="46">
        <v>5299</v>
      </c>
      <c r="U435" s="46">
        <v>5299</v>
      </c>
      <c r="V435" s="46">
        <v>5299</v>
      </c>
      <c r="W435" s="46">
        <v>5299</v>
      </c>
      <c r="X435" s="46">
        <v>5199</v>
      </c>
      <c r="Y435" s="46">
        <v>4499</v>
      </c>
      <c r="Z435" s="46">
        <v>4499</v>
      </c>
      <c r="AA435" s="46">
        <v>4299</v>
      </c>
      <c r="AB435" s="45">
        <v>6999</v>
      </c>
      <c r="AC435" s="45">
        <v>6999</v>
      </c>
      <c r="AD435" s="45">
        <v>6999</v>
      </c>
      <c r="AE435" s="45">
        <v>6999</v>
      </c>
      <c r="AF435" s="45">
        <v>6899</v>
      </c>
      <c r="AG435" s="45">
        <v>6799</v>
      </c>
      <c r="AH435" s="45">
        <v>5299</v>
      </c>
      <c r="AI435" s="45">
        <v>5299</v>
      </c>
      <c r="AJ435" s="45">
        <v>5299</v>
      </c>
      <c r="AK435" s="45">
        <v>5299</v>
      </c>
      <c r="AL435" s="45">
        <v>4499</v>
      </c>
      <c r="AM435" s="45"/>
      <c r="AN435" s="45"/>
      <c r="AO435" s="45"/>
      <c r="AP435" s="45"/>
      <c r="AQ435" s="45"/>
      <c r="AR435" s="45"/>
      <c r="AS435" s="45"/>
      <c r="AT435" s="45"/>
      <c r="AU435" s="45"/>
      <c r="AV435" s="47"/>
      <c r="AW435" s="48" t="s">
        <v>67</v>
      </c>
      <c r="AX435" s="49" t="s">
        <v>68</v>
      </c>
      <c r="AY435" s="55">
        <f t="shared" si="39"/>
        <v>151.47979999999998</v>
      </c>
      <c r="AZ435" s="55">
        <f t="shared" si="40"/>
        <v>136.48179999999999</v>
      </c>
      <c r="BA435" s="56">
        <f t="shared" si="41"/>
        <v>77.239699999999999</v>
      </c>
    </row>
    <row r="436" spans="1:53" ht="22.5" customHeight="1">
      <c r="A436" s="41" t="s">
        <v>63</v>
      </c>
      <c r="B436" s="42" t="s">
        <v>64</v>
      </c>
      <c r="C436" s="43">
        <v>4016853</v>
      </c>
      <c r="D436" s="58" t="s">
        <v>634</v>
      </c>
      <c r="E436" s="58" t="s">
        <v>635</v>
      </c>
      <c r="F436" s="45">
        <v>11499</v>
      </c>
      <c r="G436" s="46">
        <v>6799</v>
      </c>
      <c r="H436" s="46">
        <v>7499</v>
      </c>
      <c r="I436" s="46">
        <v>7499</v>
      </c>
      <c r="J436" s="46">
        <v>7399</v>
      </c>
      <c r="K436" s="46">
        <v>7399</v>
      </c>
      <c r="L436" s="46">
        <v>7399</v>
      </c>
      <c r="M436" s="46">
        <v>7399</v>
      </c>
      <c r="N436" s="46">
        <v>7399</v>
      </c>
      <c r="O436" s="46">
        <v>7349</v>
      </c>
      <c r="P436" s="46">
        <v>7299</v>
      </c>
      <c r="Q436" s="46">
        <v>6899</v>
      </c>
      <c r="R436" s="46">
        <v>7349</v>
      </c>
      <c r="S436" s="46">
        <v>7299</v>
      </c>
      <c r="T436" s="46">
        <v>6899</v>
      </c>
      <c r="U436" s="46">
        <v>6899</v>
      </c>
      <c r="V436" s="46">
        <v>6899</v>
      </c>
      <c r="W436" s="46">
        <v>6899</v>
      </c>
      <c r="X436" s="46">
        <v>6799</v>
      </c>
      <c r="Y436" s="46">
        <v>5799</v>
      </c>
      <c r="Z436" s="46">
        <v>5799</v>
      </c>
      <c r="AA436" s="46">
        <v>5799</v>
      </c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7"/>
      <c r="AW436" s="48" t="s">
        <v>67</v>
      </c>
      <c r="AX436" s="49" t="s">
        <v>68</v>
      </c>
      <c r="AY436" s="50">
        <f t="shared" si="39"/>
        <v>151.47979999999998</v>
      </c>
      <c r="AZ436" s="50">
        <f t="shared" si="40"/>
        <v>136.48179999999999</v>
      </c>
      <c r="BA436" s="51">
        <f t="shared" si="41"/>
        <v>77.239699999999999</v>
      </c>
    </row>
    <row r="437" spans="1:53" ht="22.5" customHeight="1">
      <c r="A437" s="41" t="s">
        <v>63</v>
      </c>
      <c r="B437" s="42" t="s">
        <v>64</v>
      </c>
      <c r="C437" s="43">
        <v>4016884</v>
      </c>
      <c r="D437" s="58" t="s">
        <v>634</v>
      </c>
      <c r="E437" s="58" t="s">
        <v>636</v>
      </c>
      <c r="F437" s="45">
        <v>11499</v>
      </c>
      <c r="G437" s="46">
        <v>6799</v>
      </c>
      <c r="H437" s="46">
        <v>7499</v>
      </c>
      <c r="I437" s="46">
        <v>7499</v>
      </c>
      <c r="J437" s="46">
        <v>7399</v>
      </c>
      <c r="K437" s="46">
        <v>7399</v>
      </c>
      <c r="L437" s="46">
        <v>7399</v>
      </c>
      <c r="M437" s="46">
        <v>7399</v>
      </c>
      <c r="N437" s="46">
        <v>7399</v>
      </c>
      <c r="O437" s="46">
        <v>7349</v>
      </c>
      <c r="P437" s="46">
        <v>7299</v>
      </c>
      <c r="Q437" s="46">
        <v>6899</v>
      </c>
      <c r="R437" s="46">
        <v>7349</v>
      </c>
      <c r="S437" s="46">
        <v>7299</v>
      </c>
      <c r="T437" s="46">
        <v>6899</v>
      </c>
      <c r="U437" s="46">
        <v>6899</v>
      </c>
      <c r="V437" s="46">
        <v>6899</v>
      </c>
      <c r="W437" s="46">
        <v>6899</v>
      </c>
      <c r="X437" s="46">
        <v>6799</v>
      </c>
      <c r="Y437" s="46">
        <v>5799</v>
      </c>
      <c r="Z437" s="46">
        <v>5799</v>
      </c>
      <c r="AA437" s="46">
        <v>5799</v>
      </c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7"/>
      <c r="AW437" s="48" t="s">
        <v>67</v>
      </c>
      <c r="AX437" s="49" t="s">
        <v>68</v>
      </c>
      <c r="AY437" s="50">
        <f t="shared" si="39"/>
        <v>151.47979999999998</v>
      </c>
      <c r="AZ437" s="50">
        <f t="shared" si="40"/>
        <v>136.48179999999999</v>
      </c>
      <c r="BA437" s="51">
        <f t="shared" si="41"/>
        <v>77.239699999999999</v>
      </c>
    </row>
    <row r="438" spans="1:53" ht="22.5" customHeight="1">
      <c r="A438" s="41" t="s">
        <v>63</v>
      </c>
      <c r="B438" s="42" t="s">
        <v>64</v>
      </c>
      <c r="C438" s="43">
        <v>4016724</v>
      </c>
      <c r="D438" s="58" t="s">
        <v>637</v>
      </c>
      <c r="E438" s="58" t="s">
        <v>638</v>
      </c>
      <c r="F438" s="45">
        <v>8499</v>
      </c>
      <c r="G438" s="45">
        <v>5399</v>
      </c>
      <c r="H438" s="45">
        <v>6499</v>
      </c>
      <c r="I438" s="45">
        <v>6499</v>
      </c>
      <c r="J438" s="45">
        <v>6399</v>
      </c>
      <c r="K438" s="45">
        <v>6399</v>
      </c>
      <c r="L438" s="45">
        <v>6399</v>
      </c>
      <c r="M438" s="45">
        <v>6399</v>
      </c>
      <c r="N438" s="45">
        <v>6399</v>
      </c>
      <c r="O438" s="45">
        <v>6299</v>
      </c>
      <c r="P438" s="46">
        <v>6199</v>
      </c>
      <c r="Q438" s="46">
        <v>5299</v>
      </c>
      <c r="R438" s="45">
        <v>6299</v>
      </c>
      <c r="S438" s="45">
        <v>6199</v>
      </c>
      <c r="T438" s="45">
        <v>5299</v>
      </c>
      <c r="U438" s="45">
        <v>5299</v>
      </c>
      <c r="V438" s="45">
        <v>5299</v>
      </c>
      <c r="W438" s="45">
        <v>5299</v>
      </c>
      <c r="X438" s="45">
        <v>5199</v>
      </c>
      <c r="Y438" s="45">
        <v>4299</v>
      </c>
      <c r="Z438" s="45">
        <v>4299</v>
      </c>
      <c r="AA438" s="45">
        <v>4299</v>
      </c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7"/>
      <c r="AW438" s="48" t="s">
        <v>67</v>
      </c>
      <c r="AX438" s="49" t="s">
        <v>68</v>
      </c>
      <c r="AY438" s="50">
        <f t="shared" si="39"/>
        <v>131.27979999999999</v>
      </c>
      <c r="AZ438" s="50">
        <f t="shared" si="40"/>
        <v>118.2818</v>
      </c>
      <c r="BA438" s="51">
        <f t="shared" si="41"/>
        <v>66.939700000000002</v>
      </c>
    </row>
    <row r="439" spans="1:53" ht="22.5" customHeight="1">
      <c r="A439" s="41" t="s">
        <v>63</v>
      </c>
      <c r="B439" s="42" t="s">
        <v>64</v>
      </c>
      <c r="C439" s="43">
        <v>4017407</v>
      </c>
      <c r="D439" s="58" t="s">
        <v>639</v>
      </c>
      <c r="E439" s="58" t="s">
        <v>640</v>
      </c>
      <c r="F439" s="45">
        <v>4499</v>
      </c>
      <c r="G439" s="45">
        <v>2299</v>
      </c>
      <c r="H439" s="45">
        <v>3299</v>
      </c>
      <c r="I439" s="45">
        <v>3299</v>
      </c>
      <c r="J439" s="45">
        <v>3199</v>
      </c>
      <c r="K439" s="45">
        <v>3199</v>
      </c>
      <c r="L439" s="45">
        <v>3199</v>
      </c>
      <c r="M439" s="45">
        <v>3199</v>
      </c>
      <c r="N439" s="45">
        <v>3199</v>
      </c>
      <c r="O439" s="45">
        <v>3099</v>
      </c>
      <c r="P439" s="46">
        <v>3049</v>
      </c>
      <c r="Q439" s="46">
        <v>1799</v>
      </c>
      <c r="R439" s="45">
        <v>3099</v>
      </c>
      <c r="S439" s="45">
        <v>3049</v>
      </c>
      <c r="T439" s="45">
        <v>1799</v>
      </c>
      <c r="U439" s="45">
        <v>1799</v>
      </c>
      <c r="V439" s="45">
        <v>1799</v>
      </c>
      <c r="W439" s="45">
        <v>1799</v>
      </c>
      <c r="X439" s="45">
        <v>1749</v>
      </c>
      <c r="Y439" s="45">
        <v>1699</v>
      </c>
      <c r="Z439" s="45">
        <v>1699</v>
      </c>
      <c r="AA439" s="45">
        <v>1499</v>
      </c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7"/>
      <c r="AW439" s="48" t="s">
        <v>67</v>
      </c>
      <c r="AX439" s="49" t="s">
        <v>68</v>
      </c>
      <c r="AY439" s="55">
        <f t="shared" si="39"/>
        <v>66.639799999999994</v>
      </c>
      <c r="AZ439" s="55">
        <f t="shared" si="40"/>
        <v>60.041800000000002</v>
      </c>
      <c r="BA439" s="56">
        <f t="shared" si="41"/>
        <v>33.979700000000001</v>
      </c>
    </row>
    <row r="440" spans="1:53" ht="22.5" customHeight="1">
      <c r="A440" s="41" t="s">
        <v>63</v>
      </c>
      <c r="B440" s="42" t="s">
        <v>64</v>
      </c>
      <c r="C440" s="43">
        <v>4017422</v>
      </c>
      <c r="D440" s="58" t="s">
        <v>639</v>
      </c>
      <c r="E440" s="58" t="s">
        <v>641</v>
      </c>
      <c r="F440" s="45">
        <v>4499</v>
      </c>
      <c r="G440" s="45">
        <v>2299</v>
      </c>
      <c r="H440" s="45">
        <v>3299</v>
      </c>
      <c r="I440" s="45">
        <v>3299</v>
      </c>
      <c r="J440" s="45">
        <v>3199</v>
      </c>
      <c r="K440" s="45">
        <v>3199</v>
      </c>
      <c r="L440" s="45">
        <v>3199</v>
      </c>
      <c r="M440" s="45">
        <v>3199</v>
      </c>
      <c r="N440" s="45">
        <v>3199</v>
      </c>
      <c r="O440" s="45">
        <v>3099</v>
      </c>
      <c r="P440" s="46">
        <v>3049</v>
      </c>
      <c r="Q440" s="46">
        <v>1799</v>
      </c>
      <c r="R440" s="45">
        <v>3099</v>
      </c>
      <c r="S440" s="45">
        <v>3049</v>
      </c>
      <c r="T440" s="45">
        <v>1799</v>
      </c>
      <c r="U440" s="45">
        <v>1799</v>
      </c>
      <c r="V440" s="45">
        <v>1799</v>
      </c>
      <c r="W440" s="45">
        <v>1799</v>
      </c>
      <c r="X440" s="45">
        <v>1749</v>
      </c>
      <c r="Y440" s="45">
        <v>1699</v>
      </c>
      <c r="Z440" s="45">
        <v>1699</v>
      </c>
      <c r="AA440" s="45">
        <v>1499</v>
      </c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7"/>
      <c r="AW440" s="48" t="s">
        <v>67</v>
      </c>
      <c r="AX440" s="49" t="s">
        <v>68</v>
      </c>
      <c r="AY440" s="55">
        <f t="shared" si="39"/>
        <v>66.639799999999994</v>
      </c>
      <c r="AZ440" s="55">
        <f t="shared" si="40"/>
        <v>60.041800000000002</v>
      </c>
      <c r="BA440" s="56">
        <f t="shared" si="41"/>
        <v>33.979700000000001</v>
      </c>
    </row>
    <row r="441" spans="1:53" ht="22.5" customHeight="1">
      <c r="A441" s="41" t="s">
        <v>63</v>
      </c>
      <c r="B441" s="42" t="s">
        <v>64</v>
      </c>
      <c r="C441" s="43">
        <v>4017391</v>
      </c>
      <c r="D441" s="58" t="s">
        <v>642</v>
      </c>
      <c r="E441" s="58" t="s">
        <v>643</v>
      </c>
      <c r="F441" s="45">
        <v>5699</v>
      </c>
      <c r="G441" s="45">
        <v>2399</v>
      </c>
      <c r="H441" s="45">
        <v>3899</v>
      </c>
      <c r="I441" s="45">
        <v>3899</v>
      </c>
      <c r="J441" s="45">
        <v>3799</v>
      </c>
      <c r="K441" s="45">
        <v>3799</v>
      </c>
      <c r="L441" s="45">
        <v>3799</v>
      </c>
      <c r="M441" s="45">
        <v>3799</v>
      </c>
      <c r="N441" s="45">
        <v>3799</v>
      </c>
      <c r="O441" s="45">
        <v>3699</v>
      </c>
      <c r="P441" s="46">
        <v>3599</v>
      </c>
      <c r="Q441" s="46">
        <v>2499</v>
      </c>
      <c r="R441" s="45">
        <v>3699</v>
      </c>
      <c r="S441" s="45">
        <v>3599</v>
      </c>
      <c r="T441" s="45">
        <v>2499</v>
      </c>
      <c r="U441" s="45">
        <v>2499</v>
      </c>
      <c r="V441" s="45">
        <v>2499</v>
      </c>
      <c r="W441" s="45">
        <v>2499</v>
      </c>
      <c r="X441" s="45">
        <v>2399</v>
      </c>
      <c r="Y441" s="45">
        <v>2199</v>
      </c>
      <c r="Z441" s="45">
        <v>2199</v>
      </c>
      <c r="AA441" s="45">
        <v>1999</v>
      </c>
      <c r="AB441" s="45">
        <v>3799</v>
      </c>
      <c r="AC441" s="45">
        <v>3799</v>
      </c>
      <c r="AD441" s="45">
        <v>3799</v>
      </c>
      <c r="AE441" s="45">
        <v>3799</v>
      </c>
      <c r="AF441" s="45">
        <v>3699</v>
      </c>
      <c r="AG441" s="45">
        <v>3599</v>
      </c>
      <c r="AH441" s="45">
        <v>2499</v>
      </c>
      <c r="AI441" s="45">
        <v>2499</v>
      </c>
      <c r="AJ441" s="45">
        <v>2499</v>
      </c>
      <c r="AK441" s="45">
        <v>2499</v>
      </c>
      <c r="AL441" s="45">
        <v>2199</v>
      </c>
      <c r="AM441" s="45"/>
      <c r="AN441" s="45"/>
      <c r="AO441" s="45"/>
      <c r="AP441" s="45"/>
      <c r="AQ441" s="45"/>
      <c r="AR441" s="45"/>
      <c r="AS441" s="45"/>
      <c r="AT441" s="45"/>
      <c r="AU441" s="45"/>
      <c r="AV441" s="47"/>
      <c r="AW441" s="48" t="s">
        <v>67</v>
      </c>
      <c r="AX441" s="49" t="s">
        <v>68</v>
      </c>
      <c r="AY441" s="55">
        <f t="shared" si="39"/>
        <v>78.759799999999998</v>
      </c>
      <c r="AZ441" s="55">
        <f t="shared" si="40"/>
        <v>70.961799999999997</v>
      </c>
      <c r="BA441" s="56">
        <f t="shared" si="41"/>
        <v>40.159700000000001</v>
      </c>
    </row>
    <row r="442" spans="1:53" ht="22.5" customHeight="1">
      <c r="A442" s="41" t="s">
        <v>63</v>
      </c>
      <c r="B442" s="42" t="s">
        <v>64</v>
      </c>
      <c r="C442" s="43">
        <v>4017406</v>
      </c>
      <c r="D442" s="58" t="s">
        <v>642</v>
      </c>
      <c r="E442" s="58" t="s">
        <v>644</v>
      </c>
      <c r="F442" s="45">
        <v>5699</v>
      </c>
      <c r="G442" s="45">
        <v>2399</v>
      </c>
      <c r="H442" s="45">
        <v>3899</v>
      </c>
      <c r="I442" s="45">
        <v>3899</v>
      </c>
      <c r="J442" s="45">
        <v>3799</v>
      </c>
      <c r="K442" s="45">
        <v>3799</v>
      </c>
      <c r="L442" s="45">
        <v>3799</v>
      </c>
      <c r="M442" s="45">
        <v>3799</v>
      </c>
      <c r="N442" s="45">
        <v>3799</v>
      </c>
      <c r="O442" s="45">
        <v>3699</v>
      </c>
      <c r="P442" s="46">
        <v>3599</v>
      </c>
      <c r="Q442" s="46">
        <v>2499</v>
      </c>
      <c r="R442" s="45">
        <v>3699</v>
      </c>
      <c r="S442" s="45">
        <v>3599</v>
      </c>
      <c r="T442" s="45">
        <v>2499</v>
      </c>
      <c r="U442" s="45">
        <v>2499</v>
      </c>
      <c r="V442" s="45">
        <v>2499</v>
      </c>
      <c r="W442" s="45">
        <v>2499</v>
      </c>
      <c r="X442" s="45">
        <v>2399</v>
      </c>
      <c r="Y442" s="45">
        <v>2199</v>
      </c>
      <c r="Z442" s="45">
        <v>2199</v>
      </c>
      <c r="AA442" s="45">
        <v>1999</v>
      </c>
      <c r="AB442" s="45">
        <v>3799</v>
      </c>
      <c r="AC442" s="45">
        <v>3799</v>
      </c>
      <c r="AD442" s="45">
        <v>3799</v>
      </c>
      <c r="AE442" s="45">
        <v>3799</v>
      </c>
      <c r="AF442" s="45">
        <v>3699</v>
      </c>
      <c r="AG442" s="45">
        <v>3599</v>
      </c>
      <c r="AH442" s="45">
        <v>2499</v>
      </c>
      <c r="AI442" s="45">
        <v>2499</v>
      </c>
      <c r="AJ442" s="45">
        <v>2499</v>
      </c>
      <c r="AK442" s="45">
        <v>2499</v>
      </c>
      <c r="AL442" s="45">
        <v>2199</v>
      </c>
      <c r="AM442" s="45"/>
      <c r="AN442" s="45"/>
      <c r="AO442" s="45"/>
      <c r="AP442" s="45"/>
      <c r="AQ442" s="45"/>
      <c r="AR442" s="45"/>
      <c r="AS442" s="45"/>
      <c r="AT442" s="45"/>
      <c r="AU442" s="45"/>
      <c r="AV442" s="47"/>
      <c r="AW442" s="48" t="s">
        <v>67</v>
      </c>
      <c r="AX442" s="49" t="s">
        <v>68</v>
      </c>
      <c r="AY442" s="55">
        <f t="shared" si="39"/>
        <v>78.759799999999998</v>
      </c>
      <c r="AZ442" s="55">
        <f t="shared" si="40"/>
        <v>70.961799999999997</v>
      </c>
      <c r="BA442" s="56">
        <f t="shared" si="41"/>
        <v>40.159700000000001</v>
      </c>
    </row>
    <row r="443" spans="1:53" ht="22.5" customHeight="1">
      <c r="A443" s="41" t="s">
        <v>63</v>
      </c>
      <c r="B443" s="42" t="s">
        <v>64</v>
      </c>
      <c r="C443" s="43">
        <v>4017411</v>
      </c>
      <c r="D443" s="58" t="s">
        <v>642</v>
      </c>
      <c r="E443" s="58" t="s">
        <v>645</v>
      </c>
      <c r="F443" s="45">
        <v>5699</v>
      </c>
      <c r="G443" s="45">
        <v>2399</v>
      </c>
      <c r="H443" s="45">
        <v>3899</v>
      </c>
      <c r="I443" s="45">
        <v>3899</v>
      </c>
      <c r="J443" s="45">
        <v>3799</v>
      </c>
      <c r="K443" s="45">
        <v>3799</v>
      </c>
      <c r="L443" s="45">
        <v>3799</v>
      </c>
      <c r="M443" s="45">
        <v>3799</v>
      </c>
      <c r="N443" s="45">
        <v>3799</v>
      </c>
      <c r="O443" s="45">
        <v>3699</v>
      </c>
      <c r="P443" s="46">
        <v>3599</v>
      </c>
      <c r="Q443" s="46">
        <v>2499</v>
      </c>
      <c r="R443" s="45">
        <v>3699</v>
      </c>
      <c r="S443" s="45">
        <v>3599</v>
      </c>
      <c r="T443" s="45">
        <v>2499</v>
      </c>
      <c r="U443" s="45">
        <v>2499</v>
      </c>
      <c r="V443" s="45">
        <v>2499</v>
      </c>
      <c r="W443" s="45">
        <v>2499</v>
      </c>
      <c r="X443" s="45">
        <v>2399</v>
      </c>
      <c r="Y443" s="45">
        <v>2199</v>
      </c>
      <c r="Z443" s="45">
        <v>2199</v>
      </c>
      <c r="AA443" s="45">
        <v>1999</v>
      </c>
      <c r="AB443" s="45">
        <v>3799</v>
      </c>
      <c r="AC443" s="45">
        <v>3799</v>
      </c>
      <c r="AD443" s="45">
        <v>3799</v>
      </c>
      <c r="AE443" s="45">
        <v>3799</v>
      </c>
      <c r="AF443" s="45">
        <v>3699</v>
      </c>
      <c r="AG443" s="45">
        <v>3599</v>
      </c>
      <c r="AH443" s="45">
        <v>2499</v>
      </c>
      <c r="AI443" s="45">
        <v>2499</v>
      </c>
      <c r="AJ443" s="45">
        <v>2499</v>
      </c>
      <c r="AK443" s="45">
        <v>2499</v>
      </c>
      <c r="AL443" s="45">
        <v>2199</v>
      </c>
      <c r="AM443" s="45"/>
      <c r="AN443" s="45"/>
      <c r="AO443" s="45"/>
      <c r="AP443" s="45"/>
      <c r="AQ443" s="45"/>
      <c r="AR443" s="45"/>
      <c r="AS443" s="45"/>
      <c r="AT443" s="45"/>
      <c r="AU443" s="45"/>
      <c r="AV443" s="47"/>
      <c r="AW443" s="48" t="s">
        <v>67</v>
      </c>
      <c r="AX443" s="49" t="s">
        <v>68</v>
      </c>
      <c r="AY443" s="55">
        <f t="shared" si="39"/>
        <v>78.759799999999998</v>
      </c>
      <c r="AZ443" s="55">
        <f t="shared" si="40"/>
        <v>70.961799999999997</v>
      </c>
      <c r="BA443" s="56">
        <f t="shared" si="41"/>
        <v>40.159700000000001</v>
      </c>
    </row>
    <row r="444" spans="1:53" ht="22.5" customHeight="1">
      <c r="A444" s="41" t="s">
        <v>63</v>
      </c>
      <c r="B444" s="42" t="s">
        <v>64</v>
      </c>
      <c r="C444" s="43">
        <v>4017421</v>
      </c>
      <c r="D444" s="58" t="s">
        <v>642</v>
      </c>
      <c r="E444" s="58" t="s">
        <v>646</v>
      </c>
      <c r="F444" s="45">
        <v>5699</v>
      </c>
      <c r="G444" s="45">
        <v>2399</v>
      </c>
      <c r="H444" s="45">
        <v>3899</v>
      </c>
      <c r="I444" s="45">
        <v>3899</v>
      </c>
      <c r="J444" s="45">
        <v>3799</v>
      </c>
      <c r="K444" s="45">
        <v>3799</v>
      </c>
      <c r="L444" s="45">
        <v>3799</v>
      </c>
      <c r="M444" s="45">
        <v>3799</v>
      </c>
      <c r="N444" s="45">
        <v>3799</v>
      </c>
      <c r="O444" s="45">
        <v>3699</v>
      </c>
      <c r="P444" s="46">
        <v>3599</v>
      </c>
      <c r="Q444" s="46">
        <v>2499</v>
      </c>
      <c r="R444" s="45">
        <v>3699</v>
      </c>
      <c r="S444" s="45">
        <v>3599</v>
      </c>
      <c r="T444" s="45">
        <v>2499</v>
      </c>
      <c r="U444" s="45">
        <v>2499</v>
      </c>
      <c r="V444" s="45">
        <v>2499</v>
      </c>
      <c r="W444" s="45">
        <v>2499</v>
      </c>
      <c r="X444" s="45">
        <v>2399</v>
      </c>
      <c r="Y444" s="45">
        <v>2199</v>
      </c>
      <c r="Z444" s="45">
        <v>2199</v>
      </c>
      <c r="AA444" s="45">
        <v>1999</v>
      </c>
      <c r="AB444" s="45">
        <v>3799</v>
      </c>
      <c r="AC444" s="45">
        <v>3799</v>
      </c>
      <c r="AD444" s="45">
        <v>3799</v>
      </c>
      <c r="AE444" s="45">
        <v>3799</v>
      </c>
      <c r="AF444" s="45">
        <v>3699</v>
      </c>
      <c r="AG444" s="45">
        <v>3599</v>
      </c>
      <c r="AH444" s="45">
        <v>2499</v>
      </c>
      <c r="AI444" s="45">
        <v>2499</v>
      </c>
      <c r="AJ444" s="45">
        <v>2499</v>
      </c>
      <c r="AK444" s="45">
        <v>2499</v>
      </c>
      <c r="AL444" s="45">
        <v>2199</v>
      </c>
      <c r="AM444" s="45"/>
      <c r="AN444" s="45"/>
      <c r="AO444" s="45"/>
      <c r="AP444" s="45"/>
      <c r="AQ444" s="45"/>
      <c r="AR444" s="45"/>
      <c r="AS444" s="45"/>
      <c r="AT444" s="45"/>
      <c r="AU444" s="45"/>
      <c r="AV444" s="47"/>
      <c r="AW444" s="48" t="s">
        <v>67</v>
      </c>
      <c r="AX444" s="49" t="s">
        <v>68</v>
      </c>
      <c r="AY444" s="55">
        <f t="shared" si="39"/>
        <v>78.759799999999998</v>
      </c>
      <c r="AZ444" s="55">
        <f t="shared" si="40"/>
        <v>70.961799999999997</v>
      </c>
      <c r="BA444" s="56">
        <f t="shared" si="41"/>
        <v>40.159700000000001</v>
      </c>
    </row>
    <row r="445" spans="1:53" ht="22.5" customHeight="1">
      <c r="A445" s="41" t="s">
        <v>63</v>
      </c>
      <c r="B445" s="42" t="s">
        <v>64</v>
      </c>
      <c r="C445" s="43">
        <v>4017416</v>
      </c>
      <c r="D445" s="58" t="s">
        <v>642</v>
      </c>
      <c r="E445" s="58" t="s">
        <v>647</v>
      </c>
      <c r="F445" s="45">
        <v>5699</v>
      </c>
      <c r="G445" s="45">
        <v>2399</v>
      </c>
      <c r="H445" s="45">
        <v>3899</v>
      </c>
      <c r="I445" s="45">
        <v>3899</v>
      </c>
      <c r="J445" s="45">
        <v>3799</v>
      </c>
      <c r="K445" s="45">
        <v>3799</v>
      </c>
      <c r="L445" s="45">
        <v>3799</v>
      </c>
      <c r="M445" s="45">
        <v>3799</v>
      </c>
      <c r="N445" s="45">
        <v>3799</v>
      </c>
      <c r="O445" s="45">
        <v>3699</v>
      </c>
      <c r="P445" s="46">
        <v>3599</v>
      </c>
      <c r="Q445" s="46">
        <v>2499</v>
      </c>
      <c r="R445" s="45">
        <v>3699</v>
      </c>
      <c r="S445" s="45">
        <v>3599</v>
      </c>
      <c r="T445" s="45">
        <v>2499</v>
      </c>
      <c r="U445" s="45">
        <v>2499</v>
      </c>
      <c r="V445" s="45">
        <v>2499</v>
      </c>
      <c r="W445" s="45">
        <v>2499</v>
      </c>
      <c r="X445" s="45">
        <v>2399</v>
      </c>
      <c r="Y445" s="45">
        <v>2199</v>
      </c>
      <c r="Z445" s="45">
        <v>2199</v>
      </c>
      <c r="AA445" s="45">
        <v>1999</v>
      </c>
      <c r="AB445" s="45">
        <v>3799</v>
      </c>
      <c r="AC445" s="45">
        <v>3799</v>
      </c>
      <c r="AD445" s="45">
        <v>3799</v>
      </c>
      <c r="AE445" s="45">
        <v>3799</v>
      </c>
      <c r="AF445" s="45">
        <v>3699</v>
      </c>
      <c r="AG445" s="45">
        <v>3599</v>
      </c>
      <c r="AH445" s="45">
        <v>2499</v>
      </c>
      <c r="AI445" s="45">
        <v>2499</v>
      </c>
      <c r="AJ445" s="45">
        <v>2499</v>
      </c>
      <c r="AK445" s="45">
        <v>2499</v>
      </c>
      <c r="AL445" s="45">
        <v>2199</v>
      </c>
      <c r="AM445" s="45"/>
      <c r="AN445" s="45"/>
      <c r="AO445" s="45"/>
      <c r="AP445" s="45"/>
      <c r="AQ445" s="45"/>
      <c r="AR445" s="45"/>
      <c r="AS445" s="45"/>
      <c r="AT445" s="45"/>
      <c r="AU445" s="45"/>
      <c r="AV445" s="47"/>
      <c r="AW445" s="48" t="s">
        <v>67</v>
      </c>
      <c r="AX445" s="49" t="s">
        <v>68</v>
      </c>
      <c r="AY445" s="55">
        <f t="shared" si="39"/>
        <v>78.759799999999998</v>
      </c>
      <c r="AZ445" s="55">
        <f t="shared" si="40"/>
        <v>70.961799999999997</v>
      </c>
      <c r="BA445" s="56">
        <f t="shared" si="41"/>
        <v>40.159700000000001</v>
      </c>
    </row>
    <row r="446" spans="1:53" ht="22.5" customHeight="1">
      <c r="A446" s="41" t="s">
        <v>63</v>
      </c>
      <c r="B446" s="42" t="s">
        <v>64</v>
      </c>
      <c r="C446" s="43">
        <v>4017400</v>
      </c>
      <c r="D446" s="58" t="s">
        <v>642</v>
      </c>
      <c r="E446" s="58" t="s">
        <v>648</v>
      </c>
      <c r="F446" s="45">
        <v>5699</v>
      </c>
      <c r="G446" s="45">
        <v>2399</v>
      </c>
      <c r="H446" s="45">
        <v>3899</v>
      </c>
      <c r="I446" s="45">
        <v>3899</v>
      </c>
      <c r="J446" s="45">
        <v>3799</v>
      </c>
      <c r="K446" s="45">
        <v>3799</v>
      </c>
      <c r="L446" s="45">
        <v>3799</v>
      </c>
      <c r="M446" s="45">
        <v>3799</v>
      </c>
      <c r="N446" s="45">
        <v>3799</v>
      </c>
      <c r="O446" s="45">
        <v>3699</v>
      </c>
      <c r="P446" s="46">
        <v>3599</v>
      </c>
      <c r="Q446" s="46">
        <v>2499</v>
      </c>
      <c r="R446" s="45">
        <v>3699</v>
      </c>
      <c r="S446" s="45">
        <v>3599</v>
      </c>
      <c r="T446" s="45">
        <v>2499</v>
      </c>
      <c r="U446" s="45">
        <v>2499</v>
      </c>
      <c r="V446" s="45">
        <v>2499</v>
      </c>
      <c r="W446" s="45">
        <v>2499</v>
      </c>
      <c r="X446" s="45">
        <v>2399</v>
      </c>
      <c r="Y446" s="45">
        <v>2199</v>
      </c>
      <c r="Z446" s="45">
        <v>2199</v>
      </c>
      <c r="AA446" s="45">
        <v>1999</v>
      </c>
      <c r="AB446" s="45">
        <v>3799</v>
      </c>
      <c r="AC446" s="45">
        <v>3799</v>
      </c>
      <c r="AD446" s="45">
        <v>3799</v>
      </c>
      <c r="AE446" s="45">
        <v>3799</v>
      </c>
      <c r="AF446" s="45">
        <v>3699</v>
      </c>
      <c r="AG446" s="45">
        <v>3599</v>
      </c>
      <c r="AH446" s="45">
        <v>2499</v>
      </c>
      <c r="AI446" s="45">
        <v>2499</v>
      </c>
      <c r="AJ446" s="45">
        <v>2499</v>
      </c>
      <c r="AK446" s="45">
        <v>2499</v>
      </c>
      <c r="AL446" s="45">
        <v>2199</v>
      </c>
      <c r="AM446" s="45"/>
      <c r="AN446" s="45"/>
      <c r="AO446" s="45"/>
      <c r="AP446" s="45"/>
      <c r="AQ446" s="45"/>
      <c r="AR446" s="45"/>
      <c r="AS446" s="45"/>
      <c r="AT446" s="45"/>
      <c r="AU446" s="45"/>
      <c r="AV446" s="47"/>
      <c r="AW446" s="48" t="s">
        <v>67</v>
      </c>
      <c r="AX446" s="49" t="s">
        <v>68</v>
      </c>
      <c r="AY446" s="55">
        <f t="shared" si="39"/>
        <v>78.759799999999998</v>
      </c>
      <c r="AZ446" s="55">
        <f t="shared" si="40"/>
        <v>70.961799999999997</v>
      </c>
      <c r="BA446" s="56">
        <f t="shared" si="41"/>
        <v>40.159700000000001</v>
      </c>
    </row>
    <row r="447" spans="1:53" ht="22.5" customHeight="1">
      <c r="A447" s="41" t="s">
        <v>63</v>
      </c>
      <c r="B447" s="42" t="s">
        <v>64</v>
      </c>
      <c r="C447" s="43">
        <v>4017678</v>
      </c>
      <c r="D447" s="58" t="s">
        <v>649</v>
      </c>
      <c r="E447" s="58" t="s">
        <v>650</v>
      </c>
      <c r="F447" s="45">
        <v>7499</v>
      </c>
      <c r="G447" s="45">
        <v>4699</v>
      </c>
      <c r="H447" s="45">
        <v>5499</v>
      </c>
      <c r="I447" s="45">
        <v>5499</v>
      </c>
      <c r="J447" s="45">
        <v>5199</v>
      </c>
      <c r="K447" s="45">
        <v>5199</v>
      </c>
      <c r="L447" s="45">
        <v>5199</v>
      </c>
      <c r="M447" s="45">
        <v>5199</v>
      </c>
      <c r="N447" s="45">
        <v>5199</v>
      </c>
      <c r="O447" s="45">
        <v>5099</v>
      </c>
      <c r="P447" s="46">
        <v>5049</v>
      </c>
      <c r="Q447" s="46">
        <v>4799</v>
      </c>
      <c r="R447" s="45">
        <v>5099</v>
      </c>
      <c r="S447" s="45">
        <v>5049</v>
      </c>
      <c r="T447" s="45">
        <v>4799</v>
      </c>
      <c r="U447" s="45">
        <v>4799</v>
      </c>
      <c r="V447" s="45">
        <v>4799</v>
      </c>
      <c r="W447" s="45">
        <v>4799</v>
      </c>
      <c r="X447" s="45">
        <v>4699</v>
      </c>
      <c r="Y447" s="45">
        <v>3699</v>
      </c>
      <c r="Z447" s="45">
        <v>3699</v>
      </c>
      <c r="AA447" s="45">
        <v>3499</v>
      </c>
      <c r="AB447" s="45">
        <v>5199</v>
      </c>
      <c r="AC447" s="45">
        <v>5199</v>
      </c>
      <c r="AD447" s="45">
        <v>5199</v>
      </c>
      <c r="AE447" s="45">
        <v>5199</v>
      </c>
      <c r="AF447" s="45">
        <v>5099</v>
      </c>
      <c r="AG447" s="45">
        <v>5049</v>
      </c>
      <c r="AH447" s="45">
        <v>4799</v>
      </c>
      <c r="AI447" s="45">
        <v>4799</v>
      </c>
      <c r="AJ447" s="45">
        <v>4799</v>
      </c>
      <c r="AK447" s="45">
        <v>4799</v>
      </c>
      <c r="AL447" s="45">
        <v>3699</v>
      </c>
      <c r="AM447" s="45"/>
      <c r="AN447" s="45"/>
      <c r="AO447" s="45"/>
      <c r="AP447" s="45"/>
      <c r="AQ447" s="45"/>
      <c r="AR447" s="45"/>
      <c r="AS447" s="45"/>
      <c r="AT447" s="45"/>
      <c r="AU447" s="45"/>
      <c r="AV447" s="47"/>
      <c r="AW447" s="48" t="s">
        <v>67</v>
      </c>
      <c r="AX447" s="49" t="s">
        <v>68</v>
      </c>
      <c r="AY447" s="50">
        <f t="shared" si="39"/>
        <v>111.07979999999999</v>
      </c>
      <c r="AZ447" s="50">
        <f t="shared" si="40"/>
        <v>100.0818</v>
      </c>
      <c r="BA447" s="51">
        <f t="shared" si="41"/>
        <v>56.639699999999998</v>
      </c>
    </row>
    <row r="448" spans="1:53" ht="22.5" customHeight="1">
      <c r="A448" s="41" t="s">
        <v>63</v>
      </c>
      <c r="B448" s="42" t="s">
        <v>64</v>
      </c>
      <c r="C448" s="43">
        <v>4017679</v>
      </c>
      <c r="D448" s="58" t="s">
        <v>649</v>
      </c>
      <c r="E448" s="58" t="s">
        <v>651</v>
      </c>
      <c r="F448" s="45">
        <v>7499</v>
      </c>
      <c r="G448" s="45">
        <v>4699</v>
      </c>
      <c r="H448" s="45">
        <v>5499</v>
      </c>
      <c r="I448" s="45">
        <v>5499</v>
      </c>
      <c r="J448" s="45">
        <v>5199</v>
      </c>
      <c r="K448" s="45">
        <v>5199</v>
      </c>
      <c r="L448" s="45">
        <v>5199</v>
      </c>
      <c r="M448" s="45">
        <v>5199</v>
      </c>
      <c r="N448" s="45">
        <v>5199</v>
      </c>
      <c r="O448" s="45">
        <v>5099</v>
      </c>
      <c r="P448" s="46">
        <v>5049</v>
      </c>
      <c r="Q448" s="46">
        <v>4799</v>
      </c>
      <c r="R448" s="45">
        <v>5099</v>
      </c>
      <c r="S448" s="45">
        <v>5049</v>
      </c>
      <c r="T448" s="45">
        <v>4799</v>
      </c>
      <c r="U448" s="45">
        <v>4799</v>
      </c>
      <c r="V448" s="45">
        <v>4799</v>
      </c>
      <c r="W448" s="45">
        <v>4799</v>
      </c>
      <c r="X448" s="45">
        <v>4699</v>
      </c>
      <c r="Y448" s="45">
        <v>3699</v>
      </c>
      <c r="Z448" s="45">
        <v>3699</v>
      </c>
      <c r="AA448" s="45">
        <v>3499</v>
      </c>
      <c r="AB448" s="45">
        <v>5199</v>
      </c>
      <c r="AC448" s="45">
        <v>5199</v>
      </c>
      <c r="AD448" s="45">
        <v>5199</v>
      </c>
      <c r="AE448" s="45">
        <v>5199</v>
      </c>
      <c r="AF448" s="45">
        <v>5099</v>
      </c>
      <c r="AG448" s="45">
        <v>5049</v>
      </c>
      <c r="AH448" s="45">
        <v>4799</v>
      </c>
      <c r="AI448" s="45">
        <v>4799</v>
      </c>
      <c r="AJ448" s="45">
        <v>4799</v>
      </c>
      <c r="AK448" s="45">
        <v>4799</v>
      </c>
      <c r="AL448" s="45">
        <v>3699</v>
      </c>
      <c r="AM448" s="45"/>
      <c r="AN448" s="45"/>
      <c r="AO448" s="45"/>
      <c r="AP448" s="45"/>
      <c r="AQ448" s="45"/>
      <c r="AR448" s="45"/>
      <c r="AS448" s="45"/>
      <c r="AT448" s="45"/>
      <c r="AU448" s="45"/>
      <c r="AV448" s="47"/>
      <c r="AW448" s="48" t="s">
        <v>67</v>
      </c>
      <c r="AX448" s="49" t="s">
        <v>68</v>
      </c>
      <c r="AY448" s="50">
        <f t="shared" si="39"/>
        <v>111.07979999999999</v>
      </c>
      <c r="AZ448" s="50">
        <f t="shared" si="40"/>
        <v>100.0818</v>
      </c>
      <c r="BA448" s="51">
        <f t="shared" si="41"/>
        <v>56.639699999999998</v>
      </c>
    </row>
    <row r="449" spans="1:53" ht="22.5" customHeight="1">
      <c r="A449" s="41" t="s">
        <v>63</v>
      </c>
      <c r="B449" s="42" t="s">
        <v>64</v>
      </c>
      <c r="C449" s="43">
        <v>4017750</v>
      </c>
      <c r="D449" s="58" t="s">
        <v>649</v>
      </c>
      <c r="E449" s="58" t="s">
        <v>652</v>
      </c>
      <c r="F449" s="45">
        <v>7499</v>
      </c>
      <c r="G449" s="45">
        <v>4699</v>
      </c>
      <c r="H449" s="45">
        <v>5499</v>
      </c>
      <c r="I449" s="45">
        <v>5499</v>
      </c>
      <c r="J449" s="45">
        <v>5199</v>
      </c>
      <c r="K449" s="45">
        <v>5199</v>
      </c>
      <c r="L449" s="45">
        <v>5199</v>
      </c>
      <c r="M449" s="45">
        <v>5199</v>
      </c>
      <c r="N449" s="45">
        <v>5199</v>
      </c>
      <c r="O449" s="45">
        <v>5099</v>
      </c>
      <c r="P449" s="46">
        <v>5049</v>
      </c>
      <c r="Q449" s="46">
        <v>4799</v>
      </c>
      <c r="R449" s="45">
        <v>5099</v>
      </c>
      <c r="S449" s="45">
        <v>5049</v>
      </c>
      <c r="T449" s="45">
        <v>4799</v>
      </c>
      <c r="U449" s="45">
        <v>4799</v>
      </c>
      <c r="V449" s="45">
        <v>4799</v>
      </c>
      <c r="W449" s="45">
        <v>4799</v>
      </c>
      <c r="X449" s="45">
        <v>4699</v>
      </c>
      <c r="Y449" s="45">
        <v>3699</v>
      </c>
      <c r="Z449" s="45">
        <v>3699</v>
      </c>
      <c r="AA449" s="45">
        <v>3499</v>
      </c>
      <c r="AB449" s="45">
        <v>5199</v>
      </c>
      <c r="AC449" s="45">
        <v>5199</v>
      </c>
      <c r="AD449" s="45">
        <v>5199</v>
      </c>
      <c r="AE449" s="45">
        <v>5199</v>
      </c>
      <c r="AF449" s="45">
        <v>5099</v>
      </c>
      <c r="AG449" s="45">
        <v>5049</v>
      </c>
      <c r="AH449" s="45">
        <v>4799</v>
      </c>
      <c r="AI449" s="45">
        <v>4799</v>
      </c>
      <c r="AJ449" s="45">
        <v>4799</v>
      </c>
      <c r="AK449" s="45">
        <v>4799</v>
      </c>
      <c r="AL449" s="45">
        <v>3699</v>
      </c>
      <c r="AM449" s="45"/>
      <c r="AN449" s="45"/>
      <c r="AO449" s="45"/>
      <c r="AP449" s="45"/>
      <c r="AQ449" s="45"/>
      <c r="AR449" s="45"/>
      <c r="AS449" s="45"/>
      <c r="AT449" s="45"/>
      <c r="AU449" s="45"/>
      <c r="AV449" s="47"/>
      <c r="AW449" s="48" t="s">
        <v>67</v>
      </c>
      <c r="AX449" s="49" t="s">
        <v>68</v>
      </c>
      <c r="AY449" s="50">
        <f t="shared" si="39"/>
        <v>111.07979999999999</v>
      </c>
      <c r="AZ449" s="50">
        <f t="shared" si="40"/>
        <v>100.0818</v>
      </c>
      <c r="BA449" s="51">
        <f t="shared" si="41"/>
        <v>56.639699999999998</v>
      </c>
    </row>
    <row r="450" spans="1:53" ht="22.5" customHeight="1">
      <c r="A450" s="41" t="s">
        <v>63</v>
      </c>
      <c r="B450" s="42" t="s">
        <v>64</v>
      </c>
      <c r="C450" s="43">
        <v>4017751</v>
      </c>
      <c r="D450" s="58" t="s">
        <v>649</v>
      </c>
      <c r="E450" s="58" t="s">
        <v>653</v>
      </c>
      <c r="F450" s="45">
        <v>7499</v>
      </c>
      <c r="G450" s="45">
        <v>4699</v>
      </c>
      <c r="H450" s="45">
        <v>5499</v>
      </c>
      <c r="I450" s="45">
        <v>5499</v>
      </c>
      <c r="J450" s="45">
        <v>5199</v>
      </c>
      <c r="K450" s="45">
        <v>5199</v>
      </c>
      <c r="L450" s="45">
        <v>5199</v>
      </c>
      <c r="M450" s="45">
        <v>5199</v>
      </c>
      <c r="N450" s="45">
        <v>5199</v>
      </c>
      <c r="O450" s="45">
        <v>5099</v>
      </c>
      <c r="P450" s="46">
        <v>5049</v>
      </c>
      <c r="Q450" s="46">
        <v>4799</v>
      </c>
      <c r="R450" s="45">
        <v>5099</v>
      </c>
      <c r="S450" s="45">
        <v>5049</v>
      </c>
      <c r="T450" s="45">
        <v>4799</v>
      </c>
      <c r="U450" s="45">
        <v>4799</v>
      </c>
      <c r="V450" s="45">
        <v>4799</v>
      </c>
      <c r="W450" s="45">
        <v>4799</v>
      </c>
      <c r="X450" s="45">
        <v>4699</v>
      </c>
      <c r="Y450" s="45">
        <v>3699</v>
      </c>
      <c r="Z450" s="45">
        <v>3699</v>
      </c>
      <c r="AA450" s="45">
        <v>3499</v>
      </c>
      <c r="AB450" s="45">
        <v>5199</v>
      </c>
      <c r="AC450" s="45">
        <v>5199</v>
      </c>
      <c r="AD450" s="45">
        <v>5199</v>
      </c>
      <c r="AE450" s="45">
        <v>5199</v>
      </c>
      <c r="AF450" s="45">
        <v>5099</v>
      </c>
      <c r="AG450" s="45">
        <v>5049</v>
      </c>
      <c r="AH450" s="45">
        <v>4799</v>
      </c>
      <c r="AI450" s="45">
        <v>4799</v>
      </c>
      <c r="AJ450" s="45">
        <v>4799</v>
      </c>
      <c r="AK450" s="45">
        <v>4799</v>
      </c>
      <c r="AL450" s="45">
        <v>3699</v>
      </c>
      <c r="AM450" s="45"/>
      <c r="AN450" s="45"/>
      <c r="AO450" s="45"/>
      <c r="AP450" s="45"/>
      <c r="AQ450" s="45"/>
      <c r="AR450" s="45"/>
      <c r="AS450" s="45"/>
      <c r="AT450" s="45"/>
      <c r="AU450" s="45"/>
      <c r="AV450" s="47"/>
      <c r="AW450" s="48" t="s">
        <v>67</v>
      </c>
      <c r="AX450" s="49" t="s">
        <v>68</v>
      </c>
      <c r="AY450" s="50">
        <f t="shared" si="39"/>
        <v>111.07979999999999</v>
      </c>
      <c r="AZ450" s="50">
        <f t="shared" si="40"/>
        <v>100.0818</v>
      </c>
      <c r="BA450" s="51">
        <f t="shared" si="41"/>
        <v>56.639699999999998</v>
      </c>
    </row>
    <row r="451" spans="1:53" ht="22.5" customHeight="1">
      <c r="A451" s="41" t="s">
        <v>63</v>
      </c>
      <c r="B451" s="42" t="s">
        <v>64</v>
      </c>
      <c r="C451" s="43">
        <v>4017756</v>
      </c>
      <c r="D451" s="58" t="s">
        <v>649</v>
      </c>
      <c r="E451" s="58" t="s">
        <v>654</v>
      </c>
      <c r="F451" s="45">
        <v>7499</v>
      </c>
      <c r="G451" s="45">
        <v>4699</v>
      </c>
      <c r="H451" s="45">
        <v>5499</v>
      </c>
      <c r="I451" s="45">
        <v>5499</v>
      </c>
      <c r="J451" s="45">
        <v>5199</v>
      </c>
      <c r="K451" s="45">
        <v>5199</v>
      </c>
      <c r="L451" s="45">
        <v>5199</v>
      </c>
      <c r="M451" s="45">
        <v>5199</v>
      </c>
      <c r="N451" s="45">
        <v>5199</v>
      </c>
      <c r="O451" s="45">
        <v>5099</v>
      </c>
      <c r="P451" s="46">
        <v>5049</v>
      </c>
      <c r="Q451" s="46">
        <v>4799</v>
      </c>
      <c r="R451" s="45">
        <v>5099</v>
      </c>
      <c r="S451" s="45">
        <v>5049</v>
      </c>
      <c r="T451" s="45">
        <v>4799</v>
      </c>
      <c r="U451" s="45">
        <v>4799</v>
      </c>
      <c r="V451" s="45">
        <v>4799</v>
      </c>
      <c r="W451" s="45">
        <v>4799</v>
      </c>
      <c r="X451" s="45">
        <v>4699</v>
      </c>
      <c r="Y451" s="45">
        <v>3699</v>
      </c>
      <c r="Z451" s="45">
        <v>3699</v>
      </c>
      <c r="AA451" s="45">
        <v>3499</v>
      </c>
      <c r="AB451" s="45">
        <v>5199</v>
      </c>
      <c r="AC451" s="45">
        <v>5199</v>
      </c>
      <c r="AD451" s="45">
        <v>5199</v>
      </c>
      <c r="AE451" s="45">
        <v>5199</v>
      </c>
      <c r="AF451" s="45">
        <v>5099</v>
      </c>
      <c r="AG451" s="45">
        <v>5049</v>
      </c>
      <c r="AH451" s="45">
        <v>4799</v>
      </c>
      <c r="AI451" s="45">
        <v>4799</v>
      </c>
      <c r="AJ451" s="45">
        <v>4799</v>
      </c>
      <c r="AK451" s="45">
        <v>4799</v>
      </c>
      <c r="AL451" s="45">
        <v>3699</v>
      </c>
      <c r="AM451" s="45"/>
      <c r="AN451" s="45"/>
      <c r="AO451" s="45"/>
      <c r="AP451" s="45"/>
      <c r="AQ451" s="45"/>
      <c r="AR451" s="45"/>
      <c r="AS451" s="45"/>
      <c r="AT451" s="45"/>
      <c r="AU451" s="45"/>
      <c r="AV451" s="47"/>
      <c r="AW451" s="48" t="s">
        <v>67</v>
      </c>
      <c r="AX451" s="49" t="s">
        <v>68</v>
      </c>
      <c r="AY451" s="50">
        <f t="shared" si="39"/>
        <v>111.07979999999999</v>
      </c>
      <c r="AZ451" s="50">
        <f t="shared" si="40"/>
        <v>100.0818</v>
      </c>
      <c r="BA451" s="51">
        <f t="shared" si="41"/>
        <v>56.639699999999998</v>
      </c>
    </row>
    <row r="452" spans="1:53" ht="22.5" customHeight="1">
      <c r="A452" s="41" t="s">
        <v>63</v>
      </c>
      <c r="B452" s="42" t="s">
        <v>64</v>
      </c>
      <c r="C452" s="43">
        <v>4017757</v>
      </c>
      <c r="D452" s="58" t="s">
        <v>649</v>
      </c>
      <c r="E452" s="58" t="s">
        <v>655</v>
      </c>
      <c r="F452" s="45">
        <v>7499</v>
      </c>
      <c r="G452" s="45">
        <v>4699</v>
      </c>
      <c r="H452" s="45">
        <v>5499</v>
      </c>
      <c r="I452" s="45">
        <v>5499</v>
      </c>
      <c r="J452" s="45">
        <v>5199</v>
      </c>
      <c r="K452" s="45">
        <v>5199</v>
      </c>
      <c r="L452" s="45">
        <v>5199</v>
      </c>
      <c r="M452" s="45">
        <v>5199</v>
      </c>
      <c r="N452" s="45">
        <v>5199</v>
      </c>
      <c r="O452" s="45">
        <v>5099</v>
      </c>
      <c r="P452" s="46">
        <v>5049</v>
      </c>
      <c r="Q452" s="46">
        <v>4799</v>
      </c>
      <c r="R452" s="45">
        <v>5099</v>
      </c>
      <c r="S452" s="45">
        <v>5049</v>
      </c>
      <c r="T452" s="45">
        <v>4799</v>
      </c>
      <c r="U452" s="45">
        <v>4799</v>
      </c>
      <c r="V452" s="45">
        <v>4799</v>
      </c>
      <c r="W452" s="45">
        <v>4799</v>
      </c>
      <c r="X452" s="45">
        <v>4699</v>
      </c>
      <c r="Y452" s="45">
        <v>3699</v>
      </c>
      <c r="Z452" s="45">
        <v>3699</v>
      </c>
      <c r="AA452" s="45">
        <v>3499</v>
      </c>
      <c r="AB452" s="45">
        <v>5199</v>
      </c>
      <c r="AC452" s="45">
        <v>5199</v>
      </c>
      <c r="AD452" s="45">
        <v>5199</v>
      </c>
      <c r="AE452" s="45">
        <v>5199</v>
      </c>
      <c r="AF452" s="45">
        <v>5099</v>
      </c>
      <c r="AG452" s="45">
        <v>5049</v>
      </c>
      <c r="AH452" s="45">
        <v>4799</v>
      </c>
      <c r="AI452" s="45">
        <v>4799</v>
      </c>
      <c r="AJ452" s="45">
        <v>4799</v>
      </c>
      <c r="AK452" s="45">
        <v>4799</v>
      </c>
      <c r="AL452" s="45">
        <v>3699</v>
      </c>
      <c r="AM452" s="45"/>
      <c r="AN452" s="45"/>
      <c r="AO452" s="45"/>
      <c r="AP452" s="45"/>
      <c r="AQ452" s="45"/>
      <c r="AR452" s="45"/>
      <c r="AS452" s="45"/>
      <c r="AT452" s="45"/>
      <c r="AU452" s="45"/>
      <c r="AV452" s="47"/>
      <c r="AW452" s="48" t="s">
        <v>67</v>
      </c>
      <c r="AX452" s="49" t="s">
        <v>68</v>
      </c>
      <c r="AY452" s="50">
        <f t="shared" si="39"/>
        <v>111.07979999999999</v>
      </c>
      <c r="AZ452" s="50">
        <f t="shared" si="40"/>
        <v>100.0818</v>
      </c>
      <c r="BA452" s="51">
        <f t="shared" si="41"/>
        <v>56.639699999999998</v>
      </c>
    </row>
    <row r="453" spans="1:53" ht="22.5" customHeight="1">
      <c r="A453" s="41" t="s">
        <v>63</v>
      </c>
      <c r="B453" s="42" t="s">
        <v>64</v>
      </c>
      <c r="C453" s="43">
        <v>4017746</v>
      </c>
      <c r="D453" s="58" t="s">
        <v>656</v>
      </c>
      <c r="E453" s="58" t="s">
        <v>657</v>
      </c>
      <c r="F453" s="45">
        <v>9099</v>
      </c>
      <c r="G453" s="45">
        <v>4499</v>
      </c>
      <c r="H453" s="45">
        <v>7199</v>
      </c>
      <c r="I453" s="45">
        <v>7199</v>
      </c>
      <c r="J453" s="45">
        <v>7099</v>
      </c>
      <c r="K453" s="45">
        <v>7099</v>
      </c>
      <c r="L453" s="45">
        <v>7099</v>
      </c>
      <c r="M453" s="45">
        <v>7099</v>
      </c>
      <c r="N453" s="45">
        <v>7099</v>
      </c>
      <c r="O453" s="45">
        <v>6999</v>
      </c>
      <c r="P453" s="46">
        <v>6899</v>
      </c>
      <c r="Q453" s="46">
        <v>6499</v>
      </c>
      <c r="R453" s="45">
        <v>6999</v>
      </c>
      <c r="S453" s="45">
        <v>6899</v>
      </c>
      <c r="T453" s="45">
        <v>6499</v>
      </c>
      <c r="U453" s="45">
        <v>6499</v>
      </c>
      <c r="V453" s="45">
        <v>6499</v>
      </c>
      <c r="W453" s="45">
        <v>6499</v>
      </c>
      <c r="X453" s="45">
        <v>6399</v>
      </c>
      <c r="Y453" s="45">
        <v>4799</v>
      </c>
      <c r="Z453" s="45">
        <v>4799</v>
      </c>
      <c r="AA453" s="45">
        <v>4699</v>
      </c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7"/>
      <c r="AW453" s="48" t="s">
        <v>67</v>
      </c>
      <c r="AX453" s="49" t="s">
        <v>68</v>
      </c>
      <c r="AY453" s="50">
        <f t="shared" si="39"/>
        <v>145.41979999999998</v>
      </c>
      <c r="AZ453" s="50">
        <f t="shared" si="40"/>
        <v>131.02180000000001</v>
      </c>
      <c r="BA453" s="51">
        <f t="shared" si="41"/>
        <v>74.149699999999996</v>
      </c>
    </row>
    <row r="454" spans="1:53" ht="22.5" customHeight="1">
      <c r="A454" s="41" t="s">
        <v>63</v>
      </c>
      <c r="B454" s="42" t="s">
        <v>64</v>
      </c>
      <c r="C454" s="43">
        <v>4017748</v>
      </c>
      <c r="D454" s="58" t="s">
        <v>656</v>
      </c>
      <c r="E454" s="58" t="s">
        <v>658</v>
      </c>
      <c r="F454" s="45">
        <v>9099</v>
      </c>
      <c r="G454" s="45">
        <v>4499</v>
      </c>
      <c r="H454" s="45">
        <v>7199</v>
      </c>
      <c r="I454" s="45">
        <v>7199</v>
      </c>
      <c r="J454" s="45">
        <v>7099</v>
      </c>
      <c r="K454" s="45">
        <v>7099</v>
      </c>
      <c r="L454" s="45">
        <v>7099</v>
      </c>
      <c r="M454" s="45">
        <v>7099</v>
      </c>
      <c r="N454" s="45">
        <v>7099</v>
      </c>
      <c r="O454" s="45">
        <v>6999</v>
      </c>
      <c r="P454" s="46">
        <v>6899</v>
      </c>
      <c r="Q454" s="46">
        <v>6499</v>
      </c>
      <c r="R454" s="45">
        <v>6999</v>
      </c>
      <c r="S454" s="45">
        <v>6899</v>
      </c>
      <c r="T454" s="45">
        <v>6499</v>
      </c>
      <c r="U454" s="45">
        <v>6499</v>
      </c>
      <c r="V454" s="45">
        <v>6499</v>
      </c>
      <c r="W454" s="45">
        <v>6499</v>
      </c>
      <c r="X454" s="45">
        <v>6399</v>
      </c>
      <c r="Y454" s="45">
        <v>4799</v>
      </c>
      <c r="Z454" s="45">
        <v>4799</v>
      </c>
      <c r="AA454" s="45">
        <v>4699</v>
      </c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7"/>
      <c r="AW454" s="48" t="s">
        <v>67</v>
      </c>
      <c r="AX454" s="49" t="s">
        <v>68</v>
      </c>
      <c r="AY454" s="50">
        <f t="shared" si="39"/>
        <v>145.41979999999998</v>
      </c>
      <c r="AZ454" s="50">
        <f t="shared" si="40"/>
        <v>131.02180000000001</v>
      </c>
      <c r="BA454" s="51">
        <f t="shared" si="41"/>
        <v>74.149699999999996</v>
      </c>
    </row>
    <row r="455" spans="1:53" ht="22.5" customHeight="1">
      <c r="A455" s="41" t="s">
        <v>63</v>
      </c>
      <c r="B455" s="42" t="s">
        <v>64</v>
      </c>
      <c r="C455" s="43">
        <v>4017752</v>
      </c>
      <c r="D455" s="58" t="s">
        <v>656</v>
      </c>
      <c r="E455" s="58" t="s">
        <v>659</v>
      </c>
      <c r="F455" s="45">
        <v>9099</v>
      </c>
      <c r="G455" s="45">
        <v>4499</v>
      </c>
      <c r="H455" s="45">
        <v>7199</v>
      </c>
      <c r="I455" s="45">
        <v>7199</v>
      </c>
      <c r="J455" s="45">
        <v>7099</v>
      </c>
      <c r="K455" s="45">
        <v>7099</v>
      </c>
      <c r="L455" s="45">
        <v>7099</v>
      </c>
      <c r="M455" s="45">
        <v>7099</v>
      </c>
      <c r="N455" s="45">
        <v>7099</v>
      </c>
      <c r="O455" s="45">
        <v>6999</v>
      </c>
      <c r="P455" s="46">
        <v>6899</v>
      </c>
      <c r="Q455" s="46">
        <v>6499</v>
      </c>
      <c r="R455" s="45">
        <v>6999</v>
      </c>
      <c r="S455" s="45">
        <v>6899</v>
      </c>
      <c r="T455" s="45">
        <v>6499</v>
      </c>
      <c r="U455" s="45">
        <v>6499</v>
      </c>
      <c r="V455" s="45">
        <v>6499</v>
      </c>
      <c r="W455" s="45">
        <v>6499</v>
      </c>
      <c r="X455" s="45">
        <v>6399</v>
      </c>
      <c r="Y455" s="45">
        <v>4799</v>
      </c>
      <c r="Z455" s="45">
        <v>4799</v>
      </c>
      <c r="AA455" s="45">
        <v>4699</v>
      </c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7"/>
      <c r="AW455" s="48" t="s">
        <v>67</v>
      </c>
      <c r="AX455" s="49" t="s">
        <v>68</v>
      </c>
      <c r="AY455" s="50">
        <f t="shared" si="39"/>
        <v>145.41979999999998</v>
      </c>
      <c r="AZ455" s="50">
        <f t="shared" si="40"/>
        <v>131.02180000000001</v>
      </c>
      <c r="BA455" s="51">
        <f t="shared" si="41"/>
        <v>74.149699999999996</v>
      </c>
    </row>
    <row r="456" spans="1:53" ht="22.5" customHeight="1">
      <c r="A456" s="41" t="s">
        <v>63</v>
      </c>
      <c r="B456" s="42" t="s">
        <v>64</v>
      </c>
      <c r="C456" s="43">
        <v>4017754</v>
      </c>
      <c r="D456" s="58" t="s">
        <v>656</v>
      </c>
      <c r="E456" s="58" t="s">
        <v>660</v>
      </c>
      <c r="F456" s="45">
        <v>9099</v>
      </c>
      <c r="G456" s="45">
        <v>4499</v>
      </c>
      <c r="H456" s="45">
        <v>7199</v>
      </c>
      <c r="I456" s="45">
        <v>7199</v>
      </c>
      <c r="J456" s="45">
        <v>7099</v>
      </c>
      <c r="K456" s="45">
        <v>7099</v>
      </c>
      <c r="L456" s="45">
        <v>7099</v>
      </c>
      <c r="M456" s="45">
        <v>7099</v>
      </c>
      <c r="N456" s="45">
        <v>7099</v>
      </c>
      <c r="O456" s="45">
        <v>6999</v>
      </c>
      <c r="P456" s="46">
        <v>6899</v>
      </c>
      <c r="Q456" s="46">
        <v>6499</v>
      </c>
      <c r="R456" s="45">
        <v>6999</v>
      </c>
      <c r="S456" s="45">
        <v>6899</v>
      </c>
      <c r="T456" s="45">
        <v>6499</v>
      </c>
      <c r="U456" s="45">
        <v>6499</v>
      </c>
      <c r="V456" s="45">
        <v>6499</v>
      </c>
      <c r="W456" s="45">
        <v>6499</v>
      </c>
      <c r="X456" s="45">
        <v>6399</v>
      </c>
      <c r="Y456" s="45">
        <v>4799</v>
      </c>
      <c r="Z456" s="45">
        <v>4799</v>
      </c>
      <c r="AA456" s="45">
        <v>4699</v>
      </c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7"/>
      <c r="AW456" s="48" t="s">
        <v>67</v>
      </c>
      <c r="AX456" s="49" t="s">
        <v>68</v>
      </c>
      <c r="AY456" s="50">
        <f t="shared" si="39"/>
        <v>145.41979999999998</v>
      </c>
      <c r="AZ456" s="50">
        <f t="shared" si="40"/>
        <v>131.02180000000001</v>
      </c>
      <c r="BA456" s="51">
        <f t="shared" si="41"/>
        <v>74.149699999999996</v>
      </c>
    </row>
    <row r="457" spans="1:53" ht="22.5" customHeight="1">
      <c r="A457" s="41" t="s">
        <v>63</v>
      </c>
      <c r="B457" s="42" t="s">
        <v>64</v>
      </c>
      <c r="C457" s="43">
        <v>4017675</v>
      </c>
      <c r="D457" s="58" t="s">
        <v>656</v>
      </c>
      <c r="E457" s="58" t="s">
        <v>661</v>
      </c>
      <c r="F457" s="45">
        <v>9099</v>
      </c>
      <c r="G457" s="45">
        <v>4499</v>
      </c>
      <c r="H457" s="45">
        <v>7199</v>
      </c>
      <c r="I457" s="45">
        <v>7199</v>
      </c>
      <c r="J457" s="45">
        <v>7099</v>
      </c>
      <c r="K457" s="45">
        <v>7099</v>
      </c>
      <c r="L457" s="45">
        <v>7099</v>
      </c>
      <c r="M457" s="45">
        <v>7099</v>
      </c>
      <c r="N457" s="45">
        <v>7099</v>
      </c>
      <c r="O457" s="45">
        <v>6999</v>
      </c>
      <c r="P457" s="46">
        <v>6899</v>
      </c>
      <c r="Q457" s="46">
        <v>6499</v>
      </c>
      <c r="R457" s="45">
        <v>6999</v>
      </c>
      <c r="S457" s="45">
        <v>6899</v>
      </c>
      <c r="T457" s="45">
        <v>6499</v>
      </c>
      <c r="U457" s="45">
        <v>6499</v>
      </c>
      <c r="V457" s="45">
        <v>6499</v>
      </c>
      <c r="W457" s="45">
        <v>6499</v>
      </c>
      <c r="X457" s="45">
        <v>6399</v>
      </c>
      <c r="Y457" s="45">
        <v>4799</v>
      </c>
      <c r="Z457" s="45">
        <v>4799</v>
      </c>
      <c r="AA457" s="45">
        <v>4699</v>
      </c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7"/>
      <c r="AW457" s="48" t="s">
        <v>67</v>
      </c>
      <c r="AX457" s="49" t="s">
        <v>68</v>
      </c>
      <c r="AY457" s="50">
        <f t="shared" si="39"/>
        <v>145.41979999999998</v>
      </c>
      <c r="AZ457" s="50">
        <f t="shared" si="40"/>
        <v>131.02180000000001</v>
      </c>
      <c r="BA457" s="51">
        <f t="shared" si="41"/>
        <v>74.149699999999996</v>
      </c>
    </row>
    <row r="458" spans="1:53" ht="22.5" customHeight="1">
      <c r="A458" s="41" t="s">
        <v>63</v>
      </c>
      <c r="B458" s="42" t="s">
        <v>64</v>
      </c>
      <c r="C458" s="43">
        <v>4017676</v>
      </c>
      <c r="D458" s="58" t="s">
        <v>656</v>
      </c>
      <c r="E458" s="58" t="s">
        <v>662</v>
      </c>
      <c r="F458" s="45">
        <v>9099</v>
      </c>
      <c r="G458" s="45">
        <v>4499</v>
      </c>
      <c r="H458" s="45">
        <v>7199</v>
      </c>
      <c r="I458" s="45">
        <v>7199</v>
      </c>
      <c r="J458" s="45">
        <v>7099</v>
      </c>
      <c r="K458" s="45">
        <v>7099</v>
      </c>
      <c r="L458" s="45">
        <v>7099</v>
      </c>
      <c r="M458" s="45">
        <v>7099</v>
      </c>
      <c r="N458" s="45">
        <v>7099</v>
      </c>
      <c r="O458" s="45">
        <v>6999</v>
      </c>
      <c r="P458" s="46">
        <v>6899</v>
      </c>
      <c r="Q458" s="46">
        <v>6499</v>
      </c>
      <c r="R458" s="45">
        <v>6999</v>
      </c>
      <c r="S458" s="45">
        <v>6899</v>
      </c>
      <c r="T458" s="45">
        <v>6499</v>
      </c>
      <c r="U458" s="45">
        <v>6499</v>
      </c>
      <c r="V458" s="45">
        <v>6499</v>
      </c>
      <c r="W458" s="45">
        <v>6499</v>
      </c>
      <c r="X458" s="45">
        <v>6399</v>
      </c>
      <c r="Y458" s="45">
        <v>4799</v>
      </c>
      <c r="Z458" s="45">
        <v>4799</v>
      </c>
      <c r="AA458" s="45">
        <v>4699</v>
      </c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7"/>
      <c r="AW458" s="48" t="s">
        <v>67</v>
      </c>
      <c r="AX458" s="49" t="s">
        <v>68</v>
      </c>
      <c r="AY458" s="50">
        <f t="shared" si="39"/>
        <v>145.41979999999998</v>
      </c>
      <c r="AZ458" s="50">
        <f t="shared" si="40"/>
        <v>131.02180000000001</v>
      </c>
      <c r="BA458" s="51">
        <f t="shared" si="41"/>
        <v>74.149699999999996</v>
      </c>
    </row>
    <row r="459" spans="1:53" ht="22.5" customHeight="1">
      <c r="A459" s="41" t="s">
        <v>63</v>
      </c>
      <c r="B459" s="42" t="s">
        <v>64</v>
      </c>
      <c r="C459" s="43">
        <v>4017762</v>
      </c>
      <c r="D459" s="58" t="s">
        <v>663</v>
      </c>
      <c r="E459" s="58" t="s">
        <v>664</v>
      </c>
      <c r="F459" s="45">
        <v>9199</v>
      </c>
      <c r="G459" s="45">
        <v>4999</v>
      </c>
      <c r="H459" s="45">
        <v>7699</v>
      </c>
      <c r="I459" s="45">
        <v>7699</v>
      </c>
      <c r="J459" s="45">
        <v>6199</v>
      </c>
      <c r="K459" s="45">
        <v>6199</v>
      </c>
      <c r="L459" s="45">
        <v>6199</v>
      </c>
      <c r="M459" s="45">
        <v>6199</v>
      </c>
      <c r="N459" s="45">
        <v>6199</v>
      </c>
      <c r="O459" s="45">
        <v>6099</v>
      </c>
      <c r="P459" s="46">
        <v>5999</v>
      </c>
      <c r="Q459" s="46">
        <v>5599</v>
      </c>
      <c r="R459" s="45">
        <v>6099</v>
      </c>
      <c r="S459" s="45">
        <v>5999</v>
      </c>
      <c r="T459" s="45">
        <v>5599</v>
      </c>
      <c r="U459" s="45">
        <v>5599</v>
      </c>
      <c r="V459" s="45">
        <v>5599</v>
      </c>
      <c r="W459" s="45">
        <v>5599</v>
      </c>
      <c r="X459" s="45">
        <v>5499</v>
      </c>
      <c r="Y459" s="45">
        <v>4799</v>
      </c>
      <c r="Z459" s="45">
        <v>4799</v>
      </c>
      <c r="AA459" s="45">
        <v>4599</v>
      </c>
      <c r="AB459" s="45">
        <v>6199</v>
      </c>
      <c r="AC459" s="45">
        <v>6199</v>
      </c>
      <c r="AD459" s="45">
        <v>6199</v>
      </c>
      <c r="AE459" s="45">
        <v>6099</v>
      </c>
      <c r="AF459" s="45">
        <v>5999</v>
      </c>
      <c r="AG459" s="45">
        <v>5999</v>
      </c>
      <c r="AH459" s="45">
        <v>5599</v>
      </c>
      <c r="AI459" s="45">
        <v>5599</v>
      </c>
      <c r="AJ459" s="45">
        <v>5599</v>
      </c>
      <c r="AK459" s="45">
        <v>5599</v>
      </c>
      <c r="AL459" s="45">
        <v>4799</v>
      </c>
      <c r="AM459" s="45"/>
      <c r="AN459" s="45"/>
      <c r="AO459" s="45"/>
      <c r="AP459" s="45"/>
      <c r="AQ459" s="45"/>
      <c r="AR459" s="45"/>
      <c r="AS459" s="45"/>
      <c r="AT459" s="45"/>
      <c r="AU459" s="45"/>
      <c r="AV459" s="47"/>
      <c r="AW459" s="48" t="s">
        <v>67</v>
      </c>
      <c r="AX459" s="49" t="s">
        <v>68</v>
      </c>
      <c r="AY459" s="50">
        <f t="shared" si="39"/>
        <v>155.5198</v>
      </c>
      <c r="AZ459" s="50">
        <f t="shared" si="40"/>
        <v>140.12180000000001</v>
      </c>
      <c r="BA459" s="51">
        <f t="shared" si="41"/>
        <v>79.299700000000001</v>
      </c>
    </row>
    <row r="460" spans="1:53" ht="22.5" customHeight="1">
      <c r="A460" s="41" t="s">
        <v>63</v>
      </c>
      <c r="B460" s="42" t="s">
        <v>64</v>
      </c>
      <c r="C460" s="43">
        <v>4017763</v>
      </c>
      <c r="D460" s="58" t="s">
        <v>663</v>
      </c>
      <c r="E460" s="58" t="s">
        <v>665</v>
      </c>
      <c r="F460" s="45">
        <v>9199</v>
      </c>
      <c r="G460" s="45">
        <v>4999</v>
      </c>
      <c r="H460" s="45">
        <v>7699</v>
      </c>
      <c r="I460" s="45">
        <v>7699</v>
      </c>
      <c r="J460" s="45">
        <v>6199</v>
      </c>
      <c r="K460" s="45">
        <v>6199</v>
      </c>
      <c r="L460" s="45">
        <v>6199</v>
      </c>
      <c r="M460" s="45">
        <v>6199</v>
      </c>
      <c r="N460" s="45">
        <v>6199</v>
      </c>
      <c r="O460" s="45">
        <v>6099</v>
      </c>
      <c r="P460" s="46">
        <v>5999</v>
      </c>
      <c r="Q460" s="46">
        <v>5599</v>
      </c>
      <c r="R460" s="45">
        <v>6099</v>
      </c>
      <c r="S460" s="45">
        <v>5999</v>
      </c>
      <c r="T460" s="45">
        <v>5599</v>
      </c>
      <c r="U460" s="45">
        <v>5599</v>
      </c>
      <c r="V460" s="45">
        <v>5599</v>
      </c>
      <c r="W460" s="45">
        <v>5599</v>
      </c>
      <c r="X460" s="45">
        <v>5499</v>
      </c>
      <c r="Y460" s="45">
        <v>4799</v>
      </c>
      <c r="Z460" s="45">
        <v>4799</v>
      </c>
      <c r="AA460" s="45">
        <v>4599</v>
      </c>
      <c r="AB460" s="45">
        <v>6199</v>
      </c>
      <c r="AC460" s="45">
        <v>6199</v>
      </c>
      <c r="AD460" s="45">
        <v>6199</v>
      </c>
      <c r="AE460" s="45">
        <v>6099</v>
      </c>
      <c r="AF460" s="45">
        <v>5999</v>
      </c>
      <c r="AG460" s="45">
        <v>5999</v>
      </c>
      <c r="AH460" s="45">
        <v>5599</v>
      </c>
      <c r="AI460" s="45">
        <v>5599</v>
      </c>
      <c r="AJ460" s="45">
        <v>5599</v>
      </c>
      <c r="AK460" s="45">
        <v>5599</v>
      </c>
      <c r="AL460" s="45">
        <v>4799</v>
      </c>
      <c r="AM460" s="45"/>
      <c r="AN460" s="45"/>
      <c r="AO460" s="45"/>
      <c r="AP460" s="45"/>
      <c r="AQ460" s="45"/>
      <c r="AR460" s="45"/>
      <c r="AS460" s="45"/>
      <c r="AT460" s="45"/>
      <c r="AU460" s="45"/>
      <c r="AV460" s="47"/>
      <c r="AW460" s="48" t="s">
        <v>67</v>
      </c>
      <c r="AX460" s="49" t="s">
        <v>68</v>
      </c>
      <c r="AY460" s="50">
        <f t="shared" si="39"/>
        <v>155.5198</v>
      </c>
      <c r="AZ460" s="50">
        <f t="shared" si="40"/>
        <v>140.12180000000001</v>
      </c>
      <c r="BA460" s="51">
        <f t="shared" si="41"/>
        <v>79.299700000000001</v>
      </c>
    </row>
    <row r="461" spans="1:53" ht="22.5" customHeight="1">
      <c r="A461" s="41" t="s">
        <v>63</v>
      </c>
      <c r="B461" s="42" t="s">
        <v>64</v>
      </c>
      <c r="C461" s="43">
        <v>4017766</v>
      </c>
      <c r="D461" s="58" t="s">
        <v>663</v>
      </c>
      <c r="E461" s="58" t="s">
        <v>666</v>
      </c>
      <c r="F461" s="45">
        <v>9199</v>
      </c>
      <c r="G461" s="45">
        <v>4999</v>
      </c>
      <c r="H461" s="45">
        <v>7699</v>
      </c>
      <c r="I461" s="45">
        <v>7699</v>
      </c>
      <c r="J461" s="45">
        <v>6199</v>
      </c>
      <c r="K461" s="45">
        <v>6199</v>
      </c>
      <c r="L461" s="45">
        <v>6199</v>
      </c>
      <c r="M461" s="45">
        <v>6199</v>
      </c>
      <c r="N461" s="45">
        <v>6199</v>
      </c>
      <c r="O461" s="45">
        <v>6099</v>
      </c>
      <c r="P461" s="46">
        <v>5999</v>
      </c>
      <c r="Q461" s="46">
        <v>5599</v>
      </c>
      <c r="R461" s="45">
        <v>6099</v>
      </c>
      <c r="S461" s="45">
        <v>5999</v>
      </c>
      <c r="T461" s="45">
        <v>5599</v>
      </c>
      <c r="U461" s="45">
        <v>5599</v>
      </c>
      <c r="V461" s="45">
        <v>5599</v>
      </c>
      <c r="W461" s="45">
        <v>5599</v>
      </c>
      <c r="X461" s="45">
        <v>5499</v>
      </c>
      <c r="Y461" s="45">
        <v>4799</v>
      </c>
      <c r="Z461" s="45">
        <v>4799</v>
      </c>
      <c r="AA461" s="45">
        <v>4599</v>
      </c>
      <c r="AB461" s="45">
        <v>6199</v>
      </c>
      <c r="AC461" s="45">
        <v>6199</v>
      </c>
      <c r="AD461" s="45">
        <v>6199</v>
      </c>
      <c r="AE461" s="45">
        <v>6099</v>
      </c>
      <c r="AF461" s="45">
        <v>5999</v>
      </c>
      <c r="AG461" s="45">
        <v>5999</v>
      </c>
      <c r="AH461" s="45">
        <v>5599</v>
      </c>
      <c r="AI461" s="45">
        <v>5599</v>
      </c>
      <c r="AJ461" s="45">
        <v>5599</v>
      </c>
      <c r="AK461" s="45">
        <v>5599</v>
      </c>
      <c r="AL461" s="45">
        <v>4799</v>
      </c>
      <c r="AM461" s="45"/>
      <c r="AN461" s="45"/>
      <c r="AO461" s="45"/>
      <c r="AP461" s="45"/>
      <c r="AQ461" s="45"/>
      <c r="AR461" s="45"/>
      <c r="AS461" s="45"/>
      <c r="AT461" s="45"/>
      <c r="AU461" s="45"/>
      <c r="AV461" s="47"/>
      <c r="AW461" s="48" t="s">
        <v>67</v>
      </c>
      <c r="AX461" s="49" t="s">
        <v>68</v>
      </c>
      <c r="AY461" s="50">
        <f t="shared" si="39"/>
        <v>155.5198</v>
      </c>
      <c r="AZ461" s="50">
        <f t="shared" si="40"/>
        <v>140.12180000000001</v>
      </c>
      <c r="BA461" s="51">
        <f t="shared" si="41"/>
        <v>79.299700000000001</v>
      </c>
    </row>
    <row r="462" spans="1:53" ht="22.5" customHeight="1">
      <c r="A462" s="41" t="s">
        <v>63</v>
      </c>
      <c r="B462" s="42" t="s">
        <v>64</v>
      </c>
      <c r="C462" s="43">
        <v>4017769</v>
      </c>
      <c r="D462" s="58" t="s">
        <v>663</v>
      </c>
      <c r="E462" s="58" t="s">
        <v>667</v>
      </c>
      <c r="F462" s="45">
        <v>9199</v>
      </c>
      <c r="G462" s="45">
        <v>4999</v>
      </c>
      <c r="H462" s="45">
        <v>7699</v>
      </c>
      <c r="I462" s="45">
        <v>7699</v>
      </c>
      <c r="J462" s="45">
        <v>6199</v>
      </c>
      <c r="K462" s="45">
        <v>6199</v>
      </c>
      <c r="L462" s="45">
        <v>6199</v>
      </c>
      <c r="M462" s="45">
        <v>6199</v>
      </c>
      <c r="N462" s="45">
        <v>6199</v>
      </c>
      <c r="O462" s="45">
        <v>6099</v>
      </c>
      <c r="P462" s="46">
        <v>5999</v>
      </c>
      <c r="Q462" s="46">
        <v>5599</v>
      </c>
      <c r="R462" s="45">
        <v>6099</v>
      </c>
      <c r="S462" s="45">
        <v>5999</v>
      </c>
      <c r="T462" s="45">
        <v>5599</v>
      </c>
      <c r="U462" s="45">
        <v>5599</v>
      </c>
      <c r="V462" s="45">
        <v>5599</v>
      </c>
      <c r="W462" s="45">
        <v>5599</v>
      </c>
      <c r="X462" s="45">
        <v>5499</v>
      </c>
      <c r="Y462" s="45">
        <v>4799</v>
      </c>
      <c r="Z462" s="45">
        <v>4799</v>
      </c>
      <c r="AA462" s="45">
        <v>4599</v>
      </c>
      <c r="AB462" s="45">
        <v>6199</v>
      </c>
      <c r="AC462" s="45">
        <v>6199</v>
      </c>
      <c r="AD462" s="45">
        <v>6199</v>
      </c>
      <c r="AE462" s="45">
        <v>6099</v>
      </c>
      <c r="AF462" s="45">
        <v>5999</v>
      </c>
      <c r="AG462" s="45">
        <v>5999</v>
      </c>
      <c r="AH462" s="45">
        <v>5599</v>
      </c>
      <c r="AI462" s="45">
        <v>5599</v>
      </c>
      <c r="AJ462" s="45">
        <v>5599</v>
      </c>
      <c r="AK462" s="45">
        <v>5599</v>
      </c>
      <c r="AL462" s="45">
        <v>4799</v>
      </c>
      <c r="AM462" s="45"/>
      <c r="AN462" s="45"/>
      <c r="AO462" s="45"/>
      <c r="AP462" s="45"/>
      <c r="AQ462" s="45"/>
      <c r="AR462" s="45"/>
      <c r="AS462" s="45"/>
      <c r="AT462" s="45"/>
      <c r="AU462" s="45"/>
      <c r="AV462" s="47"/>
      <c r="AW462" s="48" t="s">
        <v>67</v>
      </c>
      <c r="AX462" s="49" t="s">
        <v>68</v>
      </c>
      <c r="AY462" s="50">
        <f t="shared" si="39"/>
        <v>155.5198</v>
      </c>
      <c r="AZ462" s="50">
        <f t="shared" si="40"/>
        <v>140.12180000000001</v>
      </c>
      <c r="BA462" s="51">
        <f t="shared" si="41"/>
        <v>79.299700000000001</v>
      </c>
    </row>
    <row r="463" spans="1:53" ht="22.5" customHeight="1">
      <c r="A463" s="41" t="s">
        <v>63</v>
      </c>
      <c r="B463" s="42" t="s">
        <v>64</v>
      </c>
      <c r="C463" s="43">
        <v>4017764</v>
      </c>
      <c r="D463" s="58" t="s">
        <v>668</v>
      </c>
      <c r="E463" s="58" t="s">
        <v>669</v>
      </c>
      <c r="F463" s="45">
        <v>10799</v>
      </c>
      <c r="G463" s="45">
        <v>5499</v>
      </c>
      <c r="H463" s="45">
        <v>8199</v>
      </c>
      <c r="I463" s="45">
        <v>8199</v>
      </c>
      <c r="J463" s="45">
        <v>6999</v>
      </c>
      <c r="K463" s="45">
        <v>6999</v>
      </c>
      <c r="L463" s="45">
        <v>6999</v>
      </c>
      <c r="M463" s="45">
        <v>6999</v>
      </c>
      <c r="N463" s="45">
        <v>6999</v>
      </c>
      <c r="O463" s="45">
        <v>6899</v>
      </c>
      <c r="P463" s="46">
        <v>6799</v>
      </c>
      <c r="Q463" s="46">
        <v>6499</v>
      </c>
      <c r="R463" s="45">
        <v>6899</v>
      </c>
      <c r="S463" s="45">
        <v>6799</v>
      </c>
      <c r="T463" s="45">
        <v>6499</v>
      </c>
      <c r="U463" s="45">
        <v>6499</v>
      </c>
      <c r="V463" s="45">
        <v>6499</v>
      </c>
      <c r="W463" s="45">
        <v>6499</v>
      </c>
      <c r="X463" s="45">
        <v>6399</v>
      </c>
      <c r="Y463" s="45">
        <v>5499</v>
      </c>
      <c r="Z463" s="45">
        <v>5499</v>
      </c>
      <c r="AA463" s="45">
        <v>5299</v>
      </c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7"/>
      <c r="AW463" s="48" t="s">
        <v>67</v>
      </c>
      <c r="AX463" s="49" t="s">
        <v>68</v>
      </c>
      <c r="AY463" s="50">
        <f t="shared" si="39"/>
        <v>165.6198</v>
      </c>
      <c r="AZ463" s="50">
        <f t="shared" si="40"/>
        <v>149.2218</v>
      </c>
      <c r="BA463" s="51">
        <f t="shared" si="41"/>
        <v>84.449700000000007</v>
      </c>
    </row>
    <row r="464" spans="1:53" ht="22.5" customHeight="1">
      <c r="A464" s="41" t="s">
        <v>63</v>
      </c>
      <c r="B464" s="42" t="s">
        <v>64</v>
      </c>
      <c r="C464" s="43">
        <v>4017765</v>
      </c>
      <c r="D464" s="58" t="s">
        <v>668</v>
      </c>
      <c r="E464" s="58" t="s">
        <v>670</v>
      </c>
      <c r="F464" s="45">
        <v>10799</v>
      </c>
      <c r="G464" s="45">
        <v>5499</v>
      </c>
      <c r="H464" s="45">
        <v>8199</v>
      </c>
      <c r="I464" s="45">
        <v>8199</v>
      </c>
      <c r="J464" s="45">
        <v>6999</v>
      </c>
      <c r="K464" s="45">
        <v>6999</v>
      </c>
      <c r="L464" s="45">
        <v>6999</v>
      </c>
      <c r="M464" s="45">
        <v>6999</v>
      </c>
      <c r="N464" s="45">
        <v>6999</v>
      </c>
      <c r="O464" s="45">
        <v>6899</v>
      </c>
      <c r="P464" s="46">
        <v>6799</v>
      </c>
      <c r="Q464" s="46">
        <v>6499</v>
      </c>
      <c r="R464" s="45">
        <v>6899</v>
      </c>
      <c r="S464" s="45">
        <v>6799</v>
      </c>
      <c r="T464" s="45">
        <v>6499</v>
      </c>
      <c r="U464" s="45">
        <v>6499</v>
      </c>
      <c r="V464" s="45">
        <v>6499</v>
      </c>
      <c r="W464" s="45">
        <v>6499</v>
      </c>
      <c r="X464" s="45">
        <v>6399</v>
      </c>
      <c r="Y464" s="45">
        <v>5499</v>
      </c>
      <c r="Z464" s="45">
        <v>5499</v>
      </c>
      <c r="AA464" s="45">
        <v>5299</v>
      </c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7"/>
      <c r="AW464" s="48" t="s">
        <v>67</v>
      </c>
      <c r="AX464" s="49" t="s">
        <v>68</v>
      </c>
      <c r="AY464" s="50">
        <f t="shared" si="39"/>
        <v>165.6198</v>
      </c>
      <c r="AZ464" s="50">
        <f t="shared" si="40"/>
        <v>149.2218</v>
      </c>
      <c r="BA464" s="51">
        <f t="shared" si="41"/>
        <v>84.449700000000007</v>
      </c>
    </row>
    <row r="465" spans="1:53" ht="22.5" customHeight="1">
      <c r="A465" s="41" t="s">
        <v>63</v>
      </c>
      <c r="B465" s="42" t="s">
        <v>64</v>
      </c>
      <c r="C465" s="43">
        <v>4017767</v>
      </c>
      <c r="D465" s="58" t="s">
        <v>668</v>
      </c>
      <c r="E465" s="58" t="s">
        <v>671</v>
      </c>
      <c r="F465" s="45">
        <v>10799</v>
      </c>
      <c r="G465" s="45">
        <v>5499</v>
      </c>
      <c r="H465" s="45">
        <v>8199</v>
      </c>
      <c r="I465" s="45">
        <v>8199</v>
      </c>
      <c r="J465" s="45">
        <v>6999</v>
      </c>
      <c r="K465" s="45">
        <v>6999</v>
      </c>
      <c r="L465" s="45">
        <v>6999</v>
      </c>
      <c r="M465" s="45">
        <v>6999</v>
      </c>
      <c r="N465" s="45">
        <v>6999</v>
      </c>
      <c r="O465" s="45">
        <v>6899</v>
      </c>
      <c r="P465" s="46">
        <v>6799</v>
      </c>
      <c r="Q465" s="46">
        <v>6499</v>
      </c>
      <c r="R465" s="45">
        <v>6899</v>
      </c>
      <c r="S465" s="45">
        <v>6799</v>
      </c>
      <c r="T465" s="45">
        <v>6499</v>
      </c>
      <c r="U465" s="45">
        <v>6499</v>
      </c>
      <c r="V465" s="45">
        <v>6499</v>
      </c>
      <c r="W465" s="45">
        <v>6499</v>
      </c>
      <c r="X465" s="45">
        <v>6399</v>
      </c>
      <c r="Y465" s="45">
        <v>5499</v>
      </c>
      <c r="Z465" s="45">
        <v>5499</v>
      </c>
      <c r="AA465" s="45">
        <v>5299</v>
      </c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7"/>
      <c r="AW465" s="48" t="s">
        <v>67</v>
      </c>
      <c r="AX465" s="49" t="s">
        <v>68</v>
      </c>
      <c r="AY465" s="50">
        <f t="shared" si="39"/>
        <v>165.6198</v>
      </c>
      <c r="AZ465" s="50">
        <f t="shared" si="40"/>
        <v>149.2218</v>
      </c>
      <c r="BA465" s="51">
        <f t="shared" si="41"/>
        <v>84.449700000000007</v>
      </c>
    </row>
    <row r="466" spans="1:53" ht="22.5" customHeight="1">
      <c r="A466" s="41" t="s">
        <v>63</v>
      </c>
      <c r="B466" s="42" t="s">
        <v>64</v>
      </c>
      <c r="C466" s="43">
        <v>4017768</v>
      </c>
      <c r="D466" s="58" t="s">
        <v>668</v>
      </c>
      <c r="E466" s="58" t="s">
        <v>672</v>
      </c>
      <c r="F466" s="45">
        <v>10799</v>
      </c>
      <c r="G466" s="45">
        <v>5499</v>
      </c>
      <c r="H466" s="45">
        <v>8199</v>
      </c>
      <c r="I466" s="45">
        <v>8199</v>
      </c>
      <c r="J466" s="45">
        <v>6999</v>
      </c>
      <c r="K466" s="45">
        <v>6999</v>
      </c>
      <c r="L466" s="45">
        <v>6999</v>
      </c>
      <c r="M466" s="45">
        <v>6999</v>
      </c>
      <c r="N466" s="45">
        <v>6999</v>
      </c>
      <c r="O466" s="45">
        <v>6899</v>
      </c>
      <c r="P466" s="46">
        <v>6799</v>
      </c>
      <c r="Q466" s="46">
        <v>6499</v>
      </c>
      <c r="R466" s="45">
        <v>6899</v>
      </c>
      <c r="S466" s="45">
        <v>6799</v>
      </c>
      <c r="T466" s="45">
        <v>6499</v>
      </c>
      <c r="U466" s="45">
        <v>6499</v>
      </c>
      <c r="V466" s="45">
        <v>6499</v>
      </c>
      <c r="W466" s="45">
        <v>6499</v>
      </c>
      <c r="X466" s="45">
        <v>6399</v>
      </c>
      <c r="Y466" s="45">
        <v>5499</v>
      </c>
      <c r="Z466" s="45">
        <v>5499</v>
      </c>
      <c r="AA466" s="45">
        <v>5299</v>
      </c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7"/>
      <c r="AW466" s="48" t="s">
        <v>67</v>
      </c>
      <c r="AX466" s="49" t="s">
        <v>68</v>
      </c>
      <c r="AY466" s="50">
        <f t="shared" si="39"/>
        <v>165.6198</v>
      </c>
      <c r="AZ466" s="50">
        <f t="shared" si="40"/>
        <v>149.2218</v>
      </c>
      <c r="BA466" s="51">
        <f t="shared" si="41"/>
        <v>84.449700000000007</v>
      </c>
    </row>
    <row r="467" spans="1:53" ht="22.5" customHeight="1">
      <c r="A467" s="41" t="s">
        <v>63</v>
      </c>
      <c r="B467" s="42" t="s">
        <v>64</v>
      </c>
      <c r="C467" s="43">
        <v>4017614</v>
      </c>
      <c r="D467" s="58" t="s">
        <v>673</v>
      </c>
      <c r="E467" s="58" t="s">
        <v>674</v>
      </c>
      <c r="F467" s="45">
        <v>11499</v>
      </c>
      <c r="G467" s="45">
        <v>6899</v>
      </c>
      <c r="H467" s="45">
        <v>8099</v>
      </c>
      <c r="I467" s="45">
        <v>8099</v>
      </c>
      <c r="J467" s="45">
        <v>7999</v>
      </c>
      <c r="K467" s="45">
        <v>7999</v>
      </c>
      <c r="L467" s="45">
        <v>7999</v>
      </c>
      <c r="M467" s="45">
        <v>7999</v>
      </c>
      <c r="N467" s="45">
        <v>7999</v>
      </c>
      <c r="O467" s="45">
        <v>7799</v>
      </c>
      <c r="P467" s="46">
        <v>7699</v>
      </c>
      <c r="Q467" s="46">
        <v>6999</v>
      </c>
      <c r="R467" s="45">
        <v>7799</v>
      </c>
      <c r="S467" s="45">
        <v>7699</v>
      </c>
      <c r="T467" s="45">
        <v>6999</v>
      </c>
      <c r="U467" s="45">
        <v>6999</v>
      </c>
      <c r="V467" s="45">
        <v>6999</v>
      </c>
      <c r="W467" s="45">
        <v>6999</v>
      </c>
      <c r="X467" s="45">
        <v>6899</v>
      </c>
      <c r="Y467" s="45">
        <v>6199</v>
      </c>
      <c r="Z467" s="45">
        <v>6199</v>
      </c>
      <c r="AA467" s="45">
        <v>5999</v>
      </c>
      <c r="AB467" s="45">
        <v>7999</v>
      </c>
      <c r="AC467" s="45">
        <v>7999</v>
      </c>
      <c r="AD467" s="45">
        <v>7999</v>
      </c>
      <c r="AE467" s="45">
        <v>7999</v>
      </c>
      <c r="AF467" s="45">
        <v>7799</v>
      </c>
      <c r="AG467" s="45">
        <v>7699</v>
      </c>
      <c r="AH467" s="45">
        <v>6999</v>
      </c>
      <c r="AI467" s="45">
        <v>6999</v>
      </c>
      <c r="AJ467" s="45">
        <v>6999</v>
      </c>
      <c r="AK467" s="45">
        <v>6999</v>
      </c>
      <c r="AL467" s="45">
        <v>6199</v>
      </c>
      <c r="AM467" s="45"/>
      <c r="AN467" s="45"/>
      <c r="AO467" s="45"/>
      <c r="AP467" s="45"/>
      <c r="AQ467" s="45"/>
      <c r="AR467" s="45"/>
      <c r="AS467" s="45"/>
      <c r="AT467" s="45"/>
      <c r="AU467" s="45"/>
      <c r="AV467" s="47"/>
      <c r="AW467" s="48" t="s">
        <v>67</v>
      </c>
      <c r="AX467" s="49" t="s">
        <v>68</v>
      </c>
      <c r="AY467" s="50">
        <f t="shared" si="39"/>
        <v>163.59979999999999</v>
      </c>
      <c r="AZ467" s="50">
        <f t="shared" si="40"/>
        <v>147.40180000000001</v>
      </c>
      <c r="BA467" s="51">
        <f t="shared" si="41"/>
        <v>83.419700000000006</v>
      </c>
    </row>
    <row r="468" spans="1:53" ht="22.5" customHeight="1">
      <c r="A468" s="41" t="s">
        <v>63</v>
      </c>
      <c r="B468" s="42" t="s">
        <v>64</v>
      </c>
      <c r="C468" s="43">
        <v>4017616</v>
      </c>
      <c r="D468" s="58" t="s">
        <v>673</v>
      </c>
      <c r="E468" s="58" t="s">
        <v>675</v>
      </c>
      <c r="F468" s="45">
        <v>11499</v>
      </c>
      <c r="G468" s="45">
        <v>6899</v>
      </c>
      <c r="H468" s="45">
        <v>8099</v>
      </c>
      <c r="I468" s="45">
        <v>8099</v>
      </c>
      <c r="J468" s="45">
        <v>7999</v>
      </c>
      <c r="K468" s="45">
        <v>7999</v>
      </c>
      <c r="L468" s="45">
        <v>7999</v>
      </c>
      <c r="M468" s="45">
        <v>7999</v>
      </c>
      <c r="N468" s="45">
        <v>7999</v>
      </c>
      <c r="O468" s="45">
        <v>7799</v>
      </c>
      <c r="P468" s="46">
        <v>7699</v>
      </c>
      <c r="Q468" s="46">
        <v>6999</v>
      </c>
      <c r="R468" s="45">
        <v>7799</v>
      </c>
      <c r="S468" s="45">
        <v>7699</v>
      </c>
      <c r="T468" s="45">
        <v>6999</v>
      </c>
      <c r="U468" s="45">
        <v>6999</v>
      </c>
      <c r="V468" s="45">
        <v>6999</v>
      </c>
      <c r="W468" s="45">
        <v>6999</v>
      </c>
      <c r="X468" s="45">
        <v>6899</v>
      </c>
      <c r="Y468" s="45">
        <v>6199</v>
      </c>
      <c r="Z468" s="45">
        <v>6199</v>
      </c>
      <c r="AA468" s="45">
        <v>5999</v>
      </c>
      <c r="AB468" s="45">
        <v>7999</v>
      </c>
      <c r="AC468" s="45">
        <v>7999</v>
      </c>
      <c r="AD468" s="45">
        <v>7999</v>
      </c>
      <c r="AE468" s="45">
        <v>7999</v>
      </c>
      <c r="AF468" s="45">
        <v>7799</v>
      </c>
      <c r="AG468" s="45">
        <v>7699</v>
      </c>
      <c r="AH468" s="45">
        <v>6999</v>
      </c>
      <c r="AI468" s="45">
        <v>6999</v>
      </c>
      <c r="AJ468" s="45">
        <v>6999</v>
      </c>
      <c r="AK468" s="45">
        <v>6999</v>
      </c>
      <c r="AL468" s="45">
        <v>6199</v>
      </c>
      <c r="AM468" s="45"/>
      <c r="AN468" s="45"/>
      <c r="AO468" s="45"/>
      <c r="AP468" s="45"/>
      <c r="AQ468" s="45"/>
      <c r="AR468" s="45"/>
      <c r="AS468" s="45"/>
      <c r="AT468" s="45"/>
      <c r="AU468" s="45"/>
      <c r="AV468" s="47"/>
      <c r="AW468" s="48" t="s">
        <v>67</v>
      </c>
      <c r="AX468" s="49" t="s">
        <v>68</v>
      </c>
      <c r="AY468" s="50">
        <f t="shared" si="39"/>
        <v>163.59979999999999</v>
      </c>
      <c r="AZ468" s="50">
        <f t="shared" si="40"/>
        <v>147.40180000000001</v>
      </c>
      <c r="BA468" s="51">
        <f t="shared" si="41"/>
        <v>83.419700000000006</v>
      </c>
    </row>
    <row r="469" spans="1:53" ht="22.5" customHeight="1">
      <c r="A469" s="41" t="s">
        <v>63</v>
      </c>
      <c r="B469" s="42" t="s">
        <v>64</v>
      </c>
      <c r="C469" s="43">
        <v>4017725</v>
      </c>
      <c r="D469" s="58" t="s">
        <v>673</v>
      </c>
      <c r="E469" s="58" t="s">
        <v>676</v>
      </c>
      <c r="F469" s="45">
        <v>11499</v>
      </c>
      <c r="G469" s="45">
        <v>6899</v>
      </c>
      <c r="H469" s="45">
        <v>8099</v>
      </c>
      <c r="I469" s="45">
        <v>8099</v>
      </c>
      <c r="J469" s="45">
        <v>7999</v>
      </c>
      <c r="K469" s="45">
        <v>7999</v>
      </c>
      <c r="L469" s="45">
        <v>7999</v>
      </c>
      <c r="M469" s="45">
        <v>7999</v>
      </c>
      <c r="N469" s="45">
        <v>7999</v>
      </c>
      <c r="O469" s="45">
        <v>7799</v>
      </c>
      <c r="P469" s="46">
        <v>7699</v>
      </c>
      <c r="Q469" s="46">
        <v>6999</v>
      </c>
      <c r="R469" s="45">
        <v>7799</v>
      </c>
      <c r="S469" s="45">
        <v>7699</v>
      </c>
      <c r="T469" s="45">
        <v>6999</v>
      </c>
      <c r="U469" s="45">
        <v>6999</v>
      </c>
      <c r="V469" s="45">
        <v>6999</v>
      </c>
      <c r="W469" s="45">
        <v>6999</v>
      </c>
      <c r="X469" s="45">
        <v>6899</v>
      </c>
      <c r="Y469" s="45">
        <v>6199</v>
      </c>
      <c r="Z469" s="45">
        <v>6199</v>
      </c>
      <c r="AA469" s="45">
        <v>5999</v>
      </c>
      <c r="AB469" s="45">
        <v>7999</v>
      </c>
      <c r="AC469" s="45">
        <v>7999</v>
      </c>
      <c r="AD469" s="45">
        <v>7999</v>
      </c>
      <c r="AE469" s="45">
        <v>7999</v>
      </c>
      <c r="AF469" s="45">
        <v>7799</v>
      </c>
      <c r="AG469" s="45">
        <v>7699</v>
      </c>
      <c r="AH469" s="45">
        <v>6999</v>
      </c>
      <c r="AI469" s="45">
        <v>6999</v>
      </c>
      <c r="AJ469" s="45">
        <v>6999</v>
      </c>
      <c r="AK469" s="45">
        <v>6999</v>
      </c>
      <c r="AL469" s="45">
        <v>6199</v>
      </c>
      <c r="AM469" s="45"/>
      <c r="AN469" s="45"/>
      <c r="AO469" s="45"/>
      <c r="AP469" s="45"/>
      <c r="AQ469" s="45"/>
      <c r="AR469" s="45"/>
      <c r="AS469" s="45"/>
      <c r="AT469" s="45"/>
      <c r="AU469" s="45"/>
      <c r="AV469" s="47"/>
      <c r="AW469" s="48" t="s">
        <v>67</v>
      </c>
      <c r="AX469" s="49" t="s">
        <v>68</v>
      </c>
      <c r="AY469" s="50">
        <f t="shared" si="39"/>
        <v>163.59979999999999</v>
      </c>
      <c r="AZ469" s="50">
        <f t="shared" si="40"/>
        <v>147.40180000000001</v>
      </c>
      <c r="BA469" s="51">
        <f t="shared" si="41"/>
        <v>83.419700000000006</v>
      </c>
    </row>
    <row r="470" spans="1:53" ht="22.5" customHeight="1">
      <c r="A470" s="41" t="s">
        <v>63</v>
      </c>
      <c r="B470" s="42" t="s">
        <v>64</v>
      </c>
      <c r="C470" s="43">
        <v>4017731</v>
      </c>
      <c r="D470" s="58" t="s">
        <v>673</v>
      </c>
      <c r="E470" s="58" t="s">
        <v>677</v>
      </c>
      <c r="F470" s="45">
        <v>11499</v>
      </c>
      <c r="G470" s="45">
        <v>6899</v>
      </c>
      <c r="H470" s="45">
        <v>8099</v>
      </c>
      <c r="I470" s="45">
        <v>8099</v>
      </c>
      <c r="J470" s="45">
        <v>7999</v>
      </c>
      <c r="K470" s="45">
        <v>7999</v>
      </c>
      <c r="L470" s="45">
        <v>7999</v>
      </c>
      <c r="M470" s="45">
        <v>7999</v>
      </c>
      <c r="N470" s="45">
        <v>7999</v>
      </c>
      <c r="O470" s="45">
        <v>7799</v>
      </c>
      <c r="P470" s="46">
        <v>7699</v>
      </c>
      <c r="Q470" s="46">
        <v>6999</v>
      </c>
      <c r="R470" s="45">
        <v>7799</v>
      </c>
      <c r="S470" s="45">
        <v>7699</v>
      </c>
      <c r="T470" s="45">
        <v>6999</v>
      </c>
      <c r="U470" s="45">
        <v>6999</v>
      </c>
      <c r="V470" s="45">
        <v>6999</v>
      </c>
      <c r="W470" s="45">
        <v>6999</v>
      </c>
      <c r="X470" s="45">
        <v>6899</v>
      </c>
      <c r="Y470" s="45">
        <v>6199</v>
      </c>
      <c r="Z470" s="45">
        <v>6199</v>
      </c>
      <c r="AA470" s="45">
        <v>5999</v>
      </c>
      <c r="AB470" s="45">
        <v>7999</v>
      </c>
      <c r="AC470" s="45">
        <v>7999</v>
      </c>
      <c r="AD470" s="45">
        <v>7999</v>
      </c>
      <c r="AE470" s="45">
        <v>7999</v>
      </c>
      <c r="AF470" s="45">
        <v>7799</v>
      </c>
      <c r="AG470" s="45">
        <v>7699</v>
      </c>
      <c r="AH470" s="45">
        <v>6999</v>
      </c>
      <c r="AI470" s="45">
        <v>6999</v>
      </c>
      <c r="AJ470" s="45">
        <v>6999</v>
      </c>
      <c r="AK470" s="45">
        <v>6999</v>
      </c>
      <c r="AL470" s="45">
        <v>6199</v>
      </c>
      <c r="AM470" s="45"/>
      <c r="AN470" s="45"/>
      <c r="AO470" s="45"/>
      <c r="AP470" s="45"/>
      <c r="AQ470" s="45"/>
      <c r="AR470" s="45"/>
      <c r="AS470" s="45"/>
      <c r="AT470" s="45"/>
      <c r="AU470" s="45"/>
      <c r="AV470" s="47"/>
      <c r="AW470" s="48" t="s">
        <v>67</v>
      </c>
      <c r="AX470" s="49" t="s">
        <v>68</v>
      </c>
      <c r="AY470" s="50">
        <f t="shared" si="39"/>
        <v>163.59979999999999</v>
      </c>
      <c r="AZ470" s="50">
        <f t="shared" si="40"/>
        <v>147.40180000000001</v>
      </c>
      <c r="BA470" s="51">
        <f t="shared" si="41"/>
        <v>83.419700000000006</v>
      </c>
    </row>
    <row r="471" spans="1:53" ht="22.5" customHeight="1">
      <c r="A471" s="41" t="s">
        <v>63</v>
      </c>
      <c r="B471" s="42" t="s">
        <v>64</v>
      </c>
      <c r="C471" s="43">
        <v>4017734</v>
      </c>
      <c r="D471" s="58" t="s">
        <v>673</v>
      </c>
      <c r="E471" s="58" t="s">
        <v>678</v>
      </c>
      <c r="F471" s="45">
        <v>11499</v>
      </c>
      <c r="G471" s="45">
        <v>6899</v>
      </c>
      <c r="H471" s="45">
        <v>8099</v>
      </c>
      <c r="I471" s="45">
        <v>8099</v>
      </c>
      <c r="J471" s="45">
        <v>7999</v>
      </c>
      <c r="K471" s="45">
        <v>7999</v>
      </c>
      <c r="L471" s="45">
        <v>7999</v>
      </c>
      <c r="M471" s="45">
        <v>7999</v>
      </c>
      <c r="N471" s="45">
        <v>7999</v>
      </c>
      <c r="O471" s="45">
        <v>7799</v>
      </c>
      <c r="P471" s="46">
        <v>7699</v>
      </c>
      <c r="Q471" s="46">
        <v>6999</v>
      </c>
      <c r="R471" s="45">
        <v>7799</v>
      </c>
      <c r="S471" s="45">
        <v>7699</v>
      </c>
      <c r="T471" s="45">
        <v>6999</v>
      </c>
      <c r="U471" s="45">
        <v>6999</v>
      </c>
      <c r="V471" s="45">
        <v>6999</v>
      </c>
      <c r="W471" s="45">
        <v>6999</v>
      </c>
      <c r="X471" s="45">
        <v>6899</v>
      </c>
      <c r="Y471" s="45">
        <v>6199</v>
      </c>
      <c r="Z471" s="45">
        <v>6199</v>
      </c>
      <c r="AA471" s="45">
        <v>5999</v>
      </c>
      <c r="AB471" s="45">
        <v>7999</v>
      </c>
      <c r="AC471" s="45">
        <v>7999</v>
      </c>
      <c r="AD471" s="45">
        <v>7999</v>
      </c>
      <c r="AE471" s="45">
        <v>7999</v>
      </c>
      <c r="AF471" s="45">
        <v>7799</v>
      </c>
      <c r="AG471" s="45">
        <v>7699</v>
      </c>
      <c r="AH471" s="45">
        <v>6999</v>
      </c>
      <c r="AI471" s="45">
        <v>6999</v>
      </c>
      <c r="AJ471" s="45">
        <v>6999</v>
      </c>
      <c r="AK471" s="45">
        <v>6999</v>
      </c>
      <c r="AL471" s="45">
        <v>6199</v>
      </c>
      <c r="AM471" s="45"/>
      <c r="AN471" s="45"/>
      <c r="AO471" s="45"/>
      <c r="AP471" s="45"/>
      <c r="AQ471" s="45"/>
      <c r="AR471" s="45"/>
      <c r="AS471" s="45"/>
      <c r="AT471" s="45"/>
      <c r="AU471" s="45"/>
      <c r="AV471" s="47"/>
      <c r="AW471" s="48" t="s">
        <v>67</v>
      </c>
      <c r="AX471" s="49" t="s">
        <v>68</v>
      </c>
      <c r="AY471" s="50">
        <f t="shared" si="39"/>
        <v>163.59979999999999</v>
      </c>
      <c r="AZ471" s="50">
        <f t="shared" si="40"/>
        <v>147.40180000000001</v>
      </c>
      <c r="BA471" s="51">
        <f t="shared" si="41"/>
        <v>83.419700000000006</v>
      </c>
    </row>
    <row r="472" spans="1:53" ht="22.5" customHeight="1">
      <c r="A472" s="41" t="s">
        <v>63</v>
      </c>
      <c r="B472" s="42" t="s">
        <v>64</v>
      </c>
      <c r="C472" s="43">
        <v>4017728</v>
      </c>
      <c r="D472" s="58" t="s">
        <v>673</v>
      </c>
      <c r="E472" s="58" t="s">
        <v>679</v>
      </c>
      <c r="F472" s="45">
        <v>11499</v>
      </c>
      <c r="G472" s="45">
        <v>6899</v>
      </c>
      <c r="H472" s="45">
        <v>8099</v>
      </c>
      <c r="I472" s="45">
        <v>8099</v>
      </c>
      <c r="J472" s="45">
        <v>7999</v>
      </c>
      <c r="K472" s="45">
        <v>7999</v>
      </c>
      <c r="L472" s="45">
        <v>7999</v>
      </c>
      <c r="M472" s="45">
        <v>7999</v>
      </c>
      <c r="N472" s="45">
        <v>7999</v>
      </c>
      <c r="O472" s="45">
        <v>7799</v>
      </c>
      <c r="P472" s="46">
        <v>7699</v>
      </c>
      <c r="Q472" s="46">
        <v>6999</v>
      </c>
      <c r="R472" s="45">
        <v>7799</v>
      </c>
      <c r="S472" s="45">
        <v>7699</v>
      </c>
      <c r="T472" s="45">
        <v>6999</v>
      </c>
      <c r="U472" s="45">
        <v>6999</v>
      </c>
      <c r="V472" s="45">
        <v>6999</v>
      </c>
      <c r="W472" s="45">
        <v>6999</v>
      </c>
      <c r="X472" s="45">
        <v>6899</v>
      </c>
      <c r="Y472" s="45">
        <v>6199</v>
      </c>
      <c r="Z472" s="45">
        <v>6199</v>
      </c>
      <c r="AA472" s="45">
        <v>5999</v>
      </c>
      <c r="AB472" s="45">
        <v>7999</v>
      </c>
      <c r="AC472" s="45">
        <v>7999</v>
      </c>
      <c r="AD472" s="45">
        <v>7999</v>
      </c>
      <c r="AE472" s="45">
        <v>7999</v>
      </c>
      <c r="AF472" s="45">
        <v>7799</v>
      </c>
      <c r="AG472" s="45">
        <v>7699</v>
      </c>
      <c r="AH472" s="45">
        <v>6999</v>
      </c>
      <c r="AI472" s="45">
        <v>6999</v>
      </c>
      <c r="AJ472" s="45">
        <v>6999</v>
      </c>
      <c r="AK472" s="45">
        <v>6999</v>
      </c>
      <c r="AL472" s="45">
        <v>6199</v>
      </c>
      <c r="AM472" s="45"/>
      <c r="AN472" s="45"/>
      <c r="AO472" s="45"/>
      <c r="AP472" s="45"/>
      <c r="AQ472" s="45"/>
      <c r="AR472" s="45"/>
      <c r="AS472" s="45"/>
      <c r="AT472" s="45"/>
      <c r="AU472" s="45"/>
      <c r="AV472" s="47"/>
      <c r="AW472" s="48" t="s">
        <v>67</v>
      </c>
      <c r="AX472" s="49" t="s">
        <v>68</v>
      </c>
      <c r="AY472" s="50">
        <f t="shared" si="39"/>
        <v>163.59979999999999</v>
      </c>
      <c r="AZ472" s="50">
        <f t="shared" si="40"/>
        <v>147.40180000000001</v>
      </c>
      <c r="BA472" s="51">
        <f t="shared" si="41"/>
        <v>83.419700000000006</v>
      </c>
    </row>
    <row r="473" spans="1:53" ht="22.5" customHeight="1">
      <c r="A473" s="41" t="s">
        <v>63</v>
      </c>
      <c r="B473" s="42" t="s">
        <v>64</v>
      </c>
      <c r="C473" s="43">
        <v>4017611</v>
      </c>
      <c r="D473" s="58" t="s">
        <v>680</v>
      </c>
      <c r="E473" s="58" t="s">
        <v>681</v>
      </c>
      <c r="F473" s="45">
        <v>13099</v>
      </c>
      <c r="G473" s="45">
        <v>6499</v>
      </c>
      <c r="H473" s="45">
        <v>9799</v>
      </c>
      <c r="I473" s="45">
        <v>9799</v>
      </c>
      <c r="J473" s="45">
        <v>9499</v>
      </c>
      <c r="K473" s="45">
        <v>9499</v>
      </c>
      <c r="L473" s="45">
        <v>9499</v>
      </c>
      <c r="M473" s="45">
        <v>9499</v>
      </c>
      <c r="N473" s="45">
        <v>9499</v>
      </c>
      <c r="O473" s="45">
        <v>9399</v>
      </c>
      <c r="P473" s="46">
        <v>9299</v>
      </c>
      <c r="Q473" s="46">
        <v>8799</v>
      </c>
      <c r="R473" s="45">
        <v>9399</v>
      </c>
      <c r="S473" s="45">
        <v>9299</v>
      </c>
      <c r="T473" s="45">
        <v>8799</v>
      </c>
      <c r="U473" s="45">
        <v>8799</v>
      </c>
      <c r="V473" s="45">
        <v>8799</v>
      </c>
      <c r="W473" s="45">
        <v>8799</v>
      </c>
      <c r="X473" s="45">
        <v>8699</v>
      </c>
      <c r="Y473" s="45">
        <v>7199</v>
      </c>
      <c r="Z473" s="45">
        <v>7199</v>
      </c>
      <c r="AA473" s="45">
        <v>6999</v>
      </c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7"/>
      <c r="AW473" s="48" t="s">
        <v>67</v>
      </c>
      <c r="AX473" s="49" t="s">
        <v>68</v>
      </c>
      <c r="AY473" s="50">
        <f t="shared" si="39"/>
        <v>197.93979999999999</v>
      </c>
      <c r="AZ473" s="50">
        <f t="shared" si="40"/>
        <v>178.34180000000001</v>
      </c>
      <c r="BA473" s="51">
        <f t="shared" si="41"/>
        <v>100.9297</v>
      </c>
    </row>
    <row r="474" spans="1:53" ht="22.5" customHeight="1">
      <c r="A474" s="41" t="s">
        <v>63</v>
      </c>
      <c r="B474" s="42" t="s">
        <v>64</v>
      </c>
      <c r="C474" s="43">
        <v>4017613</v>
      </c>
      <c r="D474" s="58" t="s">
        <v>680</v>
      </c>
      <c r="E474" s="58" t="s">
        <v>682</v>
      </c>
      <c r="F474" s="45">
        <v>13099</v>
      </c>
      <c r="G474" s="45">
        <v>6499</v>
      </c>
      <c r="H474" s="45">
        <v>9799</v>
      </c>
      <c r="I474" s="45">
        <v>9799</v>
      </c>
      <c r="J474" s="45">
        <v>9499</v>
      </c>
      <c r="K474" s="45">
        <v>9499</v>
      </c>
      <c r="L474" s="45">
        <v>9499</v>
      </c>
      <c r="M474" s="45">
        <v>9499</v>
      </c>
      <c r="N474" s="45">
        <v>9499</v>
      </c>
      <c r="O474" s="45">
        <v>9399</v>
      </c>
      <c r="P474" s="46">
        <v>9299</v>
      </c>
      <c r="Q474" s="46">
        <v>8799</v>
      </c>
      <c r="R474" s="45">
        <v>9399</v>
      </c>
      <c r="S474" s="45">
        <v>9299</v>
      </c>
      <c r="T474" s="45">
        <v>8799</v>
      </c>
      <c r="U474" s="45">
        <v>8799</v>
      </c>
      <c r="V474" s="45">
        <v>8799</v>
      </c>
      <c r="W474" s="45">
        <v>8799</v>
      </c>
      <c r="X474" s="45">
        <v>8699</v>
      </c>
      <c r="Y474" s="45">
        <v>7199</v>
      </c>
      <c r="Z474" s="45">
        <v>7199</v>
      </c>
      <c r="AA474" s="45">
        <v>6999</v>
      </c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7"/>
      <c r="AW474" s="48" t="s">
        <v>67</v>
      </c>
      <c r="AX474" s="49" t="s">
        <v>68</v>
      </c>
      <c r="AY474" s="50">
        <f t="shared" si="39"/>
        <v>197.93979999999999</v>
      </c>
      <c r="AZ474" s="50">
        <f t="shared" si="40"/>
        <v>178.34180000000001</v>
      </c>
      <c r="BA474" s="51">
        <f t="shared" si="41"/>
        <v>100.9297</v>
      </c>
    </row>
    <row r="475" spans="1:53" ht="22.5" customHeight="1">
      <c r="A475" s="41" t="s">
        <v>63</v>
      </c>
      <c r="B475" s="42" t="s">
        <v>64</v>
      </c>
      <c r="C475" s="43">
        <v>4017723</v>
      </c>
      <c r="D475" s="58" t="s">
        <v>680</v>
      </c>
      <c r="E475" s="58" t="s">
        <v>683</v>
      </c>
      <c r="F475" s="45">
        <v>13099</v>
      </c>
      <c r="G475" s="45">
        <v>6499</v>
      </c>
      <c r="H475" s="45">
        <v>9799</v>
      </c>
      <c r="I475" s="45">
        <v>9799</v>
      </c>
      <c r="J475" s="45">
        <v>9499</v>
      </c>
      <c r="K475" s="45">
        <v>9499</v>
      </c>
      <c r="L475" s="45">
        <v>9499</v>
      </c>
      <c r="M475" s="45">
        <v>9499</v>
      </c>
      <c r="N475" s="45">
        <v>9499</v>
      </c>
      <c r="O475" s="45">
        <v>9399</v>
      </c>
      <c r="P475" s="46">
        <v>9299</v>
      </c>
      <c r="Q475" s="46">
        <v>8799</v>
      </c>
      <c r="R475" s="45">
        <v>9399</v>
      </c>
      <c r="S475" s="45">
        <v>9299</v>
      </c>
      <c r="T475" s="45">
        <v>8799</v>
      </c>
      <c r="U475" s="45">
        <v>8799</v>
      </c>
      <c r="V475" s="45">
        <v>8799</v>
      </c>
      <c r="W475" s="45">
        <v>8799</v>
      </c>
      <c r="X475" s="45">
        <v>8699</v>
      </c>
      <c r="Y475" s="45">
        <v>7199</v>
      </c>
      <c r="Z475" s="45">
        <v>7199</v>
      </c>
      <c r="AA475" s="45">
        <v>6999</v>
      </c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7"/>
      <c r="AW475" s="48" t="s">
        <v>67</v>
      </c>
      <c r="AX475" s="49" t="s">
        <v>68</v>
      </c>
      <c r="AY475" s="50">
        <f t="shared" si="39"/>
        <v>197.93979999999999</v>
      </c>
      <c r="AZ475" s="50">
        <f t="shared" si="40"/>
        <v>178.34180000000001</v>
      </c>
      <c r="BA475" s="51">
        <f t="shared" si="41"/>
        <v>100.9297</v>
      </c>
    </row>
    <row r="476" spans="1:53" ht="22.5" customHeight="1">
      <c r="A476" s="41" t="s">
        <v>63</v>
      </c>
      <c r="B476" s="42" t="s">
        <v>64</v>
      </c>
      <c r="C476" s="43">
        <v>4017726</v>
      </c>
      <c r="D476" s="58" t="s">
        <v>680</v>
      </c>
      <c r="E476" s="58" t="s">
        <v>684</v>
      </c>
      <c r="F476" s="45">
        <v>13099</v>
      </c>
      <c r="G476" s="45">
        <v>6499</v>
      </c>
      <c r="H476" s="45">
        <v>9799</v>
      </c>
      <c r="I476" s="45">
        <v>9799</v>
      </c>
      <c r="J476" s="45">
        <v>9499</v>
      </c>
      <c r="K476" s="45">
        <v>9499</v>
      </c>
      <c r="L476" s="45">
        <v>9499</v>
      </c>
      <c r="M476" s="45">
        <v>9499</v>
      </c>
      <c r="N476" s="45">
        <v>9499</v>
      </c>
      <c r="O476" s="45">
        <v>9399</v>
      </c>
      <c r="P476" s="46">
        <v>9299</v>
      </c>
      <c r="Q476" s="46">
        <v>8799</v>
      </c>
      <c r="R476" s="45">
        <v>9399</v>
      </c>
      <c r="S476" s="45">
        <v>9299</v>
      </c>
      <c r="T476" s="45">
        <v>8799</v>
      </c>
      <c r="U476" s="45">
        <v>8799</v>
      </c>
      <c r="V476" s="45">
        <v>8799</v>
      </c>
      <c r="W476" s="45">
        <v>8799</v>
      </c>
      <c r="X476" s="45">
        <v>8699</v>
      </c>
      <c r="Y476" s="45">
        <v>7199</v>
      </c>
      <c r="Z476" s="45">
        <v>7199</v>
      </c>
      <c r="AA476" s="45">
        <v>6999</v>
      </c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7"/>
      <c r="AW476" s="48" t="s">
        <v>67</v>
      </c>
      <c r="AX476" s="49" t="s">
        <v>68</v>
      </c>
      <c r="AY476" s="50">
        <f t="shared" si="39"/>
        <v>197.93979999999999</v>
      </c>
      <c r="AZ476" s="50">
        <f t="shared" si="40"/>
        <v>178.34180000000001</v>
      </c>
      <c r="BA476" s="51">
        <f t="shared" si="41"/>
        <v>100.9297</v>
      </c>
    </row>
    <row r="477" spans="1:53" ht="22.5" customHeight="1">
      <c r="A477" s="41" t="s">
        <v>63</v>
      </c>
      <c r="B477" s="42" t="s">
        <v>64</v>
      </c>
      <c r="C477" s="43">
        <v>4017730</v>
      </c>
      <c r="D477" s="58" t="s">
        <v>680</v>
      </c>
      <c r="E477" s="58" t="s">
        <v>685</v>
      </c>
      <c r="F477" s="45">
        <v>13099</v>
      </c>
      <c r="G477" s="45">
        <v>6499</v>
      </c>
      <c r="H477" s="45">
        <v>9799</v>
      </c>
      <c r="I477" s="45">
        <v>9799</v>
      </c>
      <c r="J477" s="45">
        <v>9499</v>
      </c>
      <c r="K477" s="45">
        <v>9499</v>
      </c>
      <c r="L477" s="45">
        <v>9499</v>
      </c>
      <c r="M477" s="45">
        <v>9499</v>
      </c>
      <c r="N477" s="45">
        <v>9499</v>
      </c>
      <c r="O477" s="45">
        <v>9399</v>
      </c>
      <c r="P477" s="46">
        <v>9299</v>
      </c>
      <c r="Q477" s="46">
        <v>8799</v>
      </c>
      <c r="R477" s="45">
        <v>9399</v>
      </c>
      <c r="S477" s="45">
        <v>9299</v>
      </c>
      <c r="T477" s="45">
        <v>8799</v>
      </c>
      <c r="U477" s="45">
        <v>8799</v>
      </c>
      <c r="V477" s="45">
        <v>8799</v>
      </c>
      <c r="W477" s="45">
        <v>8799</v>
      </c>
      <c r="X477" s="45">
        <v>8699</v>
      </c>
      <c r="Y477" s="45">
        <v>7199</v>
      </c>
      <c r="Z477" s="45">
        <v>7199</v>
      </c>
      <c r="AA477" s="45">
        <v>6999</v>
      </c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7"/>
      <c r="AW477" s="48" t="s">
        <v>67</v>
      </c>
      <c r="AX477" s="49" t="s">
        <v>68</v>
      </c>
      <c r="AY477" s="50">
        <f t="shared" si="39"/>
        <v>197.93979999999999</v>
      </c>
      <c r="AZ477" s="50">
        <f t="shared" si="40"/>
        <v>178.34180000000001</v>
      </c>
      <c r="BA477" s="51">
        <f t="shared" si="41"/>
        <v>100.9297</v>
      </c>
    </row>
    <row r="478" spans="1:53" ht="22.5" customHeight="1">
      <c r="A478" s="41" t="s">
        <v>63</v>
      </c>
      <c r="B478" s="42" t="s">
        <v>64</v>
      </c>
      <c r="C478" s="43">
        <v>4017732</v>
      </c>
      <c r="D478" s="58" t="s">
        <v>680</v>
      </c>
      <c r="E478" s="58" t="s">
        <v>686</v>
      </c>
      <c r="F478" s="45">
        <v>13099</v>
      </c>
      <c r="G478" s="45">
        <v>6499</v>
      </c>
      <c r="H478" s="45">
        <v>9799</v>
      </c>
      <c r="I478" s="45">
        <v>9799</v>
      </c>
      <c r="J478" s="45">
        <v>9499</v>
      </c>
      <c r="K478" s="45">
        <v>9499</v>
      </c>
      <c r="L478" s="45">
        <v>9499</v>
      </c>
      <c r="M478" s="45">
        <v>9499</v>
      </c>
      <c r="N478" s="45">
        <v>9499</v>
      </c>
      <c r="O478" s="45">
        <v>9399</v>
      </c>
      <c r="P478" s="46">
        <v>9299</v>
      </c>
      <c r="Q478" s="46">
        <v>8799</v>
      </c>
      <c r="R478" s="45">
        <v>9399</v>
      </c>
      <c r="S478" s="45">
        <v>9299</v>
      </c>
      <c r="T478" s="45">
        <v>8799</v>
      </c>
      <c r="U478" s="45">
        <v>8799</v>
      </c>
      <c r="V478" s="45">
        <v>8799</v>
      </c>
      <c r="W478" s="45">
        <v>8799</v>
      </c>
      <c r="X478" s="45">
        <v>8699</v>
      </c>
      <c r="Y478" s="45">
        <v>7199</v>
      </c>
      <c r="Z478" s="45">
        <v>7199</v>
      </c>
      <c r="AA478" s="45">
        <v>6999</v>
      </c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7"/>
      <c r="AW478" s="48" t="s">
        <v>67</v>
      </c>
      <c r="AX478" s="49" t="s">
        <v>68</v>
      </c>
      <c r="AY478" s="50">
        <f t="shared" si="39"/>
        <v>197.93979999999999</v>
      </c>
      <c r="AZ478" s="50">
        <f t="shared" si="40"/>
        <v>178.34180000000001</v>
      </c>
      <c r="BA478" s="51">
        <f t="shared" si="41"/>
        <v>100.9297</v>
      </c>
    </row>
    <row r="479" spans="1:53" ht="22.5" customHeight="1">
      <c r="A479" s="41" t="s">
        <v>63</v>
      </c>
      <c r="B479" s="42" t="s">
        <v>64</v>
      </c>
      <c r="C479" s="43">
        <v>4018263</v>
      </c>
      <c r="D479" s="59" t="s">
        <v>687</v>
      </c>
      <c r="E479" s="58" t="s">
        <v>688</v>
      </c>
      <c r="F479" s="45">
        <v>6299</v>
      </c>
      <c r="G479" s="45">
        <v>1999</v>
      </c>
      <c r="H479" s="54">
        <v>4599</v>
      </c>
      <c r="I479" s="54">
        <v>4599</v>
      </c>
      <c r="J479" s="54">
        <v>4499</v>
      </c>
      <c r="K479" s="54">
        <v>4499</v>
      </c>
      <c r="L479" s="54">
        <v>4499</v>
      </c>
      <c r="M479" s="54">
        <v>4499</v>
      </c>
      <c r="N479" s="54">
        <v>4499</v>
      </c>
      <c r="O479" s="54">
        <v>4399</v>
      </c>
      <c r="P479" s="53">
        <v>4199</v>
      </c>
      <c r="Q479" s="53">
        <v>3499</v>
      </c>
      <c r="R479" s="54">
        <v>4399</v>
      </c>
      <c r="S479" s="54">
        <v>4199</v>
      </c>
      <c r="T479" s="54">
        <v>3499</v>
      </c>
      <c r="U479" s="54">
        <v>3499</v>
      </c>
      <c r="V479" s="54">
        <v>3499</v>
      </c>
      <c r="W479" s="54">
        <v>3499</v>
      </c>
      <c r="X479" s="54">
        <v>3399</v>
      </c>
      <c r="Y479" s="54">
        <v>2399</v>
      </c>
      <c r="Z479" s="54">
        <v>2399</v>
      </c>
      <c r="AA479" s="54">
        <v>2299</v>
      </c>
      <c r="AB479" s="54">
        <v>4499</v>
      </c>
      <c r="AC479" s="54">
        <v>4499</v>
      </c>
      <c r="AD479" s="54">
        <v>4499</v>
      </c>
      <c r="AE479" s="54">
        <v>4499</v>
      </c>
      <c r="AF479" s="54">
        <v>4399</v>
      </c>
      <c r="AG479" s="54">
        <v>4199</v>
      </c>
      <c r="AH479" s="54">
        <v>3499</v>
      </c>
      <c r="AI479" s="54">
        <v>3499</v>
      </c>
      <c r="AJ479" s="54">
        <v>3499</v>
      </c>
      <c r="AK479" s="54">
        <v>3499</v>
      </c>
      <c r="AL479" s="54">
        <v>2399</v>
      </c>
      <c r="AM479" s="45"/>
      <c r="AN479" s="45"/>
      <c r="AO479" s="45"/>
      <c r="AP479" s="45"/>
      <c r="AQ479" s="45"/>
      <c r="AR479" s="45"/>
      <c r="AS479" s="45"/>
      <c r="AT479" s="45"/>
      <c r="AU479" s="45"/>
      <c r="AV479" s="47"/>
      <c r="AW479" s="48" t="s">
        <v>67</v>
      </c>
      <c r="AX479" s="49" t="s">
        <v>68</v>
      </c>
      <c r="AY479" s="55">
        <f t="shared" si="39"/>
        <v>92.899799999999999</v>
      </c>
      <c r="AZ479" s="55">
        <f t="shared" si="40"/>
        <v>83.701800000000006</v>
      </c>
      <c r="BA479" s="56">
        <f t="shared" si="41"/>
        <v>47.369700000000002</v>
      </c>
    </row>
    <row r="480" spans="1:53" ht="22.5" customHeight="1">
      <c r="A480" s="41" t="s">
        <v>63</v>
      </c>
      <c r="B480" s="42" t="s">
        <v>64</v>
      </c>
      <c r="C480" s="43">
        <v>4018256</v>
      </c>
      <c r="D480" s="59" t="s">
        <v>687</v>
      </c>
      <c r="E480" s="58" t="s">
        <v>689</v>
      </c>
      <c r="F480" s="45">
        <v>6299</v>
      </c>
      <c r="G480" s="45">
        <v>1999</v>
      </c>
      <c r="H480" s="54">
        <v>4599</v>
      </c>
      <c r="I480" s="54">
        <v>4599</v>
      </c>
      <c r="J480" s="54">
        <v>4499</v>
      </c>
      <c r="K480" s="54">
        <v>4499</v>
      </c>
      <c r="L480" s="54">
        <v>4499</v>
      </c>
      <c r="M480" s="54">
        <v>4499</v>
      </c>
      <c r="N480" s="54">
        <v>4499</v>
      </c>
      <c r="O480" s="54">
        <v>4399</v>
      </c>
      <c r="P480" s="53">
        <v>4199</v>
      </c>
      <c r="Q480" s="53">
        <v>3499</v>
      </c>
      <c r="R480" s="54">
        <v>4399</v>
      </c>
      <c r="S480" s="54">
        <v>4199</v>
      </c>
      <c r="T480" s="54">
        <v>3499</v>
      </c>
      <c r="U480" s="54">
        <v>3499</v>
      </c>
      <c r="V480" s="54">
        <v>3499</v>
      </c>
      <c r="W480" s="54">
        <v>3499</v>
      </c>
      <c r="X480" s="54">
        <v>3399</v>
      </c>
      <c r="Y480" s="54">
        <v>2399</v>
      </c>
      <c r="Z480" s="54">
        <v>2399</v>
      </c>
      <c r="AA480" s="54">
        <v>2299</v>
      </c>
      <c r="AB480" s="54">
        <v>4499</v>
      </c>
      <c r="AC480" s="54">
        <v>4499</v>
      </c>
      <c r="AD480" s="54">
        <v>4499</v>
      </c>
      <c r="AE480" s="54">
        <v>4499</v>
      </c>
      <c r="AF480" s="54">
        <v>4399</v>
      </c>
      <c r="AG480" s="54">
        <v>4199</v>
      </c>
      <c r="AH480" s="54">
        <v>3499</v>
      </c>
      <c r="AI480" s="54">
        <v>3499</v>
      </c>
      <c r="AJ480" s="54">
        <v>3499</v>
      </c>
      <c r="AK480" s="54">
        <v>3499</v>
      </c>
      <c r="AL480" s="54">
        <v>2399</v>
      </c>
      <c r="AM480" s="45"/>
      <c r="AN480" s="45"/>
      <c r="AO480" s="45"/>
      <c r="AP480" s="45"/>
      <c r="AQ480" s="45"/>
      <c r="AR480" s="45"/>
      <c r="AS480" s="45"/>
      <c r="AT480" s="45"/>
      <c r="AU480" s="45"/>
      <c r="AV480" s="47"/>
      <c r="AW480" s="48" t="s">
        <v>67</v>
      </c>
      <c r="AX480" s="49" t="s">
        <v>68</v>
      </c>
      <c r="AY480" s="55">
        <f t="shared" si="39"/>
        <v>92.899799999999999</v>
      </c>
      <c r="AZ480" s="55">
        <f t="shared" si="40"/>
        <v>83.701800000000006</v>
      </c>
      <c r="BA480" s="56">
        <f t="shared" si="41"/>
        <v>47.369700000000002</v>
      </c>
    </row>
    <row r="481" spans="1:53" ht="22.5" customHeight="1">
      <c r="A481" s="41" t="s">
        <v>63</v>
      </c>
      <c r="B481" s="42" t="s">
        <v>64</v>
      </c>
      <c r="C481" s="43">
        <v>4018264</v>
      </c>
      <c r="D481" s="59" t="s">
        <v>687</v>
      </c>
      <c r="E481" s="58" t="s">
        <v>690</v>
      </c>
      <c r="F481" s="45">
        <v>6299</v>
      </c>
      <c r="G481" s="45">
        <v>1999</v>
      </c>
      <c r="H481" s="54">
        <v>4599</v>
      </c>
      <c r="I481" s="54">
        <v>4599</v>
      </c>
      <c r="J481" s="54">
        <v>4499</v>
      </c>
      <c r="K481" s="54">
        <v>4499</v>
      </c>
      <c r="L481" s="54">
        <v>4499</v>
      </c>
      <c r="M481" s="54">
        <v>4499</v>
      </c>
      <c r="N481" s="54">
        <v>4499</v>
      </c>
      <c r="O481" s="54">
        <v>4399</v>
      </c>
      <c r="P481" s="53">
        <v>4199</v>
      </c>
      <c r="Q481" s="53">
        <v>3499</v>
      </c>
      <c r="R481" s="54">
        <v>4399</v>
      </c>
      <c r="S481" s="54">
        <v>4199</v>
      </c>
      <c r="T481" s="54">
        <v>3499</v>
      </c>
      <c r="U481" s="54">
        <v>3499</v>
      </c>
      <c r="V481" s="54">
        <v>3499</v>
      </c>
      <c r="W481" s="54">
        <v>3499</v>
      </c>
      <c r="X481" s="54">
        <v>3399</v>
      </c>
      <c r="Y481" s="54">
        <v>2399</v>
      </c>
      <c r="Z481" s="54">
        <v>2399</v>
      </c>
      <c r="AA481" s="54">
        <v>2299</v>
      </c>
      <c r="AB481" s="54">
        <v>4499</v>
      </c>
      <c r="AC481" s="54">
        <v>4499</v>
      </c>
      <c r="AD481" s="54">
        <v>4499</v>
      </c>
      <c r="AE481" s="54">
        <v>4499</v>
      </c>
      <c r="AF481" s="54">
        <v>4399</v>
      </c>
      <c r="AG481" s="54">
        <v>4199</v>
      </c>
      <c r="AH481" s="54">
        <v>3499</v>
      </c>
      <c r="AI481" s="54">
        <v>3499</v>
      </c>
      <c r="AJ481" s="54">
        <v>3499</v>
      </c>
      <c r="AK481" s="54">
        <v>3499</v>
      </c>
      <c r="AL481" s="54">
        <v>2399</v>
      </c>
      <c r="AM481" s="45"/>
      <c r="AN481" s="45"/>
      <c r="AO481" s="45"/>
      <c r="AP481" s="45"/>
      <c r="AQ481" s="45"/>
      <c r="AR481" s="45"/>
      <c r="AS481" s="45"/>
      <c r="AT481" s="45"/>
      <c r="AU481" s="45"/>
      <c r="AV481" s="47"/>
      <c r="AW481" s="48" t="s">
        <v>67</v>
      </c>
      <c r="AX481" s="49" t="s">
        <v>68</v>
      </c>
      <c r="AY481" s="55">
        <f t="shared" si="39"/>
        <v>92.899799999999999</v>
      </c>
      <c r="AZ481" s="55">
        <f t="shared" si="40"/>
        <v>83.701800000000006</v>
      </c>
      <c r="BA481" s="56">
        <f t="shared" si="41"/>
        <v>47.369700000000002</v>
      </c>
    </row>
    <row r="482" spans="1:53" ht="22.5" customHeight="1">
      <c r="A482" s="41" t="s">
        <v>63</v>
      </c>
      <c r="B482" s="42" t="s">
        <v>64</v>
      </c>
      <c r="C482" s="43">
        <v>4018257</v>
      </c>
      <c r="D482" s="59" t="s">
        <v>687</v>
      </c>
      <c r="E482" s="58" t="s">
        <v>691</v>
      </c>
      <c r="F482" s="45">
        <v>6299</v>
      </c>
      <c r="G482" s="45">
        <v>1999</v>
      </c>
      <c r="H482" s="54">
        <v>4599</v>
      </c>
      <c r="I482" s="54">
        <v>4599</v>
      </c>
      <c r="J482" s="54">
        <v>4499</v>
      </c>
      <c r="K482" s="54">
        <v>4499</v>
      </c>
      <c r="L482" s="54">
        <v>4499</v>
      </c>
      <c r="M482" s="54">
        <v>4499</v>
      </c>
      <c r="N482" s="54">
        <v>4499</v>
      </c>
      <c r="O482" s="54">
        <v>4399</v>
      </c>
      <c r="P482" s="53">
        <v>4199</v>
      </c>
      <c r="Q482" s="53">
        <v>3499</v>
      </c>
      <c r="R482" s="54">
        <v>4399</v>
      </c>
      <c r="S482" s="54">
        <v>4199</v>
      </c>
      <c r="T482" s="54">
        <v>3499</v>
      </c>
      <c r="U482" s="54">
        <v>3499</v>
      </c>
      <c r="V482" s="54">
        <v>3499</v>
      </c>
      <c r="W482" s="54">
        <v>3499</v>
      </c>
      <c r="X482" s="54">
        <v>3399</v>
      </c>
      <c r="Y482" s="54">
        <v>2399</v>
      </c>
      <c r="Z482" s="54">
        <v>2399</v>
      </c>
      <c r="AA482" s="54">
        <v>2299</v>
      </c>
      <c r="AB482" s="54">
        <v>4499</v>
      </c>
      <c r="AC482" s="54">
        <v>4499</v>
      </c>
      <c r="AD482" s="54">
        <v>4499</v>
      </c>
      <c r="AE482" s="54">
        <v>4499</v>
      </c>
      <c r="AF482" s="54">
        <v>4399</v>
      </c>
      <c r="AG482" s="54">
        <v>4199</v>
      </c>
      <c r="AH482" s="54">
        <v>3499</v>
      </c>
      <c r="AI482" s="54">
        <v>3499</v>
      </c>
      <c r="AJ482" s="54">
        <v>3499</v>
      </c>
      <c r="AK482" s="54">
        <v>3499</v>
      </c>
      <c r="AL482" s="54">
        <v>2399</v>
      </c>
      <c r="AM482" s="45"/>
      <c r="AN482" s="45"/>
      <c r="AO482" s="45"/>
      <c r="AP482" s="45"/>
      <c r="AQ482" s="45"/>
      <c r="AR482" s="45"/>
      <c r="AS482" s="45"/>
      <c r="AT482" s="45"/>
      <c r="AU482" s="45"/>
      <c r="AV482" s="47"/>
      <c r="AW482" s="48" t="s">
        <v>67</v>
      </c>
      <c r="AX482" s="49" t="s">
        <v>68</v>
      </c>
      <c r="AY482" s="55">
        <f t="shared" si="39"/>
        <v>92.899799999999999</v>
      </c>
      <c r="AZ482" s="55">
        <f t="shared" si="40"/>
        <v>83.701800000000006</v>
      </c>
      <c r="BA482" s="56">
        <f t="shared" si="41"/>
        <v>47.369700000000002</v>
      </c>
    </row>
    <row r="483" spans="1:53" ht="22.5" customHeight="1">
      <c r="A483" s="41" t="s">
        <v>63</v>
      </c>
      <c r="B483" s="42" t="s">
        <v>64</v>
      </c>
      <c r="C483" s="43">
        <v>4016325</v>
      </c>
      <c r="D483" s="58" t="s">
        <v>692</v>
      </c>
      <c r="E483" s="58" t="s">
        <v>693</v>
      </c>
      <c r="F483" s="45">
        <v>7999</v>
      </c>
      <c r="G483" s="45">
        <v>3399</v>
      </c>
      <c r="H483" s="45">
        <v>3999</v>
      </c>
      <c r="I483" s="45">
        <v>3999</v>
      </c>
      <c r="J483" s="45">
        <v>3899</v>
      </c>
      <c r="K483" s="45">
        <v>3899</v>
      </c>
      <c r="L483" s="45">
        <v>3899</v>
      </c>
      <c r="M483" s="45">
        <v>3899</v>
      </c>
      <c r="N483" s="45">
        <v>3899</v>
      </c>
      <c r="O483" s="45">
        <v>3799</v>
      </c>
      <c r="P483" s="46">
        <v>3699</v>
      </c>
      <c r="Q483" s="46">
        <v>3499</v>
      </c>
      <c r="R483" s="45">
        <v>3799</v>
      </c>
      <c r="S483" s="45">
        <v>3699</v>
      </c>
      <c r="T483" s="45">
        <v>3499</v>
      </c>
      <c r="U483" s="45">
        <v>3499</v>
      </c>
      <c r="V483" s="45">
        <v>3499</v>
      </c>
      <c r="W483" s="45">
        <v>3499</v>
      </c>
      <c r="X483" s="45">
        <v>3399</v>
      </c>
      <c r="Y483" s="45">
        <v>2999</v>
      </c>
      <c r="Z483" s="45">
        <v>2999</v>
      </c>
      <c r="AA483" s="45">
        <v>2999</v>
      </c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7"/>
      <c r="AW483" s="48" t="s">
        <v>67</v>
      </c>
      <c r="AX483" s="49" t="s">
        <v>68</v>
      </c>
      <c r="AY483" s="50">
        <f t="shared" si="39"/>
        <v>80.779799999999994</v>
      </c>
      <c r="AZ483" s="50">
        <f t="shared" si="40"/>
        <v>72.781800000000004</v>
      </c>
      <c r="BA483" s="51">
        <f t="shared" si="41"/>
        <v>41.189700000000002</v>
      </c>
    </row>
    <row r="484" spans="1:53" ht="22.5" customHeight="1">
      <c r="A484" s="41" t="s">
        <v>63</v>
      </c>
      <c r="B484" s="42" t="s">
        <v>64</v>
      </c>
      <c r="C484" s="43">
        <v>4016327</v>
      </c>
      <c r="D484" s="58" t="s">
        <v>692</v>
      </c>
      <c r="E484" s="58" t="s">
        <v>694</v>
      </c>
      <c r="F484" s="45">
        <v>7999</v>
      </c>
      <c r="G484" s="45">
        <v>3399</v>
      </c>
      <c r="H484" s="45">
        <v>3999</v>
      </c>
      <c r="I484" s="45">
        <v>3999</v>
      </c>
      <c r="J484" s="45">
        <v>3899</v>
      </c>
      <c r="K484" s="45">
        <v>3899</v>
      </c>
      <c r="L484" s="45">
        <v>3899</v>
      </c>
      <c r="M484" s="45">
        <v>3899</v>
      </c>
      <c r="N484" s="45">
        <v>3899</v>
      </c>
      <c r="O484" s="45">
        <v>3799</v>
      </c>
      <c r="P484" s="46">
        <v>3699</v>
      </c>
      <c r="Q484" s="46">
        <v>3499</v>
      </c>
      <c r="R484" s="45">
        <v>3799</v>
      </c>
      <c r="S484" s="45">
        <v>3699</v>
      </c>
      <c r="T484" s="45">
        <v>3499</v>
      </c>
      <c r="U484" s="45">
        <v>3499</v>
      </c>
      <c r="V484" s="45">
        <v>3499</v>
      </c>
      <c r="W484" s="45">
        <v>3499</v>
      </c>
      <c r="X484" s="45">
        <v>3399</v>
      </c>
      <c r="Y484" s="45">
        <v>2999</v>
      </c>
      <c r="Z484" s="45">
        <v>2999</v>
      </c>
      <c r="AA484" s="45">
        <v>2999</v>
      </c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7"/>
      <c r="AW484" s="48" t="s">
        <v>67</v>
      </c>
      <c r="AX484" s="49" t="s">
        <v>68</v>
      </c>
      <c r="AY484" s="50">
        <f t="shared" si="39"/>
        <v>80.779799999999994</v>
      </c>
      <c r="AZ484" s="50">
        <f t="shared" si="40"/>
        <v>72.781800000000004</v>
      </c>
      <c r="BA484" s="51">
        <f t="shared" si="41"/>
        <v>41.189700000000002</v>
      </c>
    </row>
    <row r="485" spans="1:53" ht="22.5" customHeight="1">
      <c r="A485" s="41" t="s">
        <v>63</v>
      </c>
      <c r="B485" s="42" t="s">
        <v>64</v>
      </c>
      <c r="C485" s="43">
        <v>4017179</v>
      </c>
      <c r="D485" s="58" t="s">
        <v>695</v>
      </c>
      <c r="E485" s="58" t="s">
        <v>696</v>
      </c>
      <c r="F485" s="45">
        <v>8499</v>
      </c>
      <c r="G485" s="45">
        <v>6099</v>
      </c>
      <c r="H485" s="45">
        <v>6799</v>
      </c>
      <c r="I485" s="45">
        <v>6799</v>
      </c>
      <c r="J485" s="45">
        <v>6699</v>
      </c>
      <c r="K485" s="45">
        <v>6699</v>
      </c>
      <c r="L485" s="45">
        <v>6699</v>
      </c>
      <c r="M485" s="45">
        <v>6699</v>
      </c>
      <c r="N485" s="45">
        <v>6699</v>
      </c>
      <c r="O485" s="45">
        <v>6599</v>
      </c>
      <c r="P485" s="46">
        <v>6499</v>
      </c>
      <c r="Q485" s="46">
        <v>6199</v>
      </c>
      <c r="R485" s="45">
        <v>6599</v>
      </c>
      <c r="S485" s="45">
        <v>6499</v>
      </c>
      <c r="T485" s="45">
        <v>6199</v>
      </c>
      <c r="U485" s="45">
        <v>6199</v>
      </c>
      <c r="V485" s="45">
        <v>6199</v>
      </c>
      <c r="W485" s="45">
        <v>6199</v>
      </c>
      <c r="X485" s="45">
        <v>6099</v>
      </c>
      <c r="Y485" s="45">
        <v>3999</v>
      </c>
      <c r="Z485" s="45">
        <v>3999</v>
      </c>
      <c r="AA485" s="45">
        <v>3999</v>
      </c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7"/>
      <c r="AW485" s="48" t="s">
        <v>67</v>
      </c>
      <c r="AX485" s="49" t="s">
        <v>68</v>
      </c>
      <c r="AY485" s="50">
        <f t="shared" si="39"/>
        <v>137.3398</v>
      </c>
      <c r="AZ485" s="50">
        <f t="shared" si="40"/>
        <v>123.74180000000001</v>
      </c>
      <c r="BA485" s="51">
        <f t="shared" si="41"/>
        <v>70.029700000000005</v>
      </c>
    </row>
    <row r="486" spans="1:53" ht="22.5" customHeight="1">
      <c r="A486" s="41" t="s">
        <v>63</v>
      </c>
      <c r="B486" s="42" t="s">
        <v>64</v>
      </c>
      <c r="C486" s="43">
        <v>4017187</v>
      </c>
      <c r="D486" s="58" t="s">
        <v>697</v>
      </c>
      <c r="E486" s="58" t="s">
        <v>698</v>
      </c>
      <c r="F486" s="45">
        <v>9499</v>
      </c>
      <c r="G486" s="45">
        <v>6299</v>
      </c>
      <c r="H486" s="45">
        <v>6999</v>
      </c>
      <c r="I486" s="45">
        <v>6999</v>
      </c>
      <c r="J486" s="45">
        <v>6899</v>
      </c>
      <c r="K486" s="45">
        <v>6899</v>
      </c>
      <c r="L486" s="45">
        <v>6899</v>
      </c>
      <c r="M486" s="45">
        <v>6899</v>
      </c>
      <c r="N486" s="45">
        <v>6899</v>
      </c>
      <c r="O486" s="45">
        <v>6799</v>
      </c>
      <c r="P486" s="46">
        <v>6699</v>
      </c>
      <c r="Q486" s="46">
        <v>6399</v>
      </c>
      <c r="R486" s="45">
        <v>6799</v>
      </c>
      <c r="S486" s="45">
        <v>6699</v>
      </c>
      <c r="T486" s="45">
        <v>6399</v>
      </c>
      <c r="U486" s="45">
        <v>6399</v>
      </c>
      <c r="V486" s="45">
        <v>6399</v>
      </c>
      <c r="W486" s="45">
        <v>6399</v>
      </c>
      <c r="X486" s="45">
        <v>6299</v>
      </c>
      <c r="Y486" s="45">
        <v>4699</v>
      </c>
      <c r="Z486" s="45">
        <v>4699</v>
      </c>
      <c r="AA486" s="45">
        <v>4649</v>
      </c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7"/>
      <c r="AW486" s="48" t="s">
        <v>67</v>
      </c>
      <c r="AX486" s="49" t="s">
        <v>68</v>
      </c>
      <c r="AY486" s="50">
        <f t="shared" si="39"/>
        <v>141.37979999999999</v>
      </c>
      <c r="AZ486" s="50">
        <f t="shared" si="40"/>
        <v>127.38180000000001</v>
      </c>
      <c r="BA486" s="51">
        <f t="shared" si="41"/>
        <v>72.089700000000008</v>
      </c>
    </row>
    <row r="487" spans="1:53" ht="22.5" customHeight="1">
      <c r="A487" s="41" t="s">
        <v>63</v>
      </c>
      <c r="B487" s="42" t="s">
        <v>64</v>
      </c>
      <c r="C487" s="43">
        <v>4017183</v>
      </c>
      <c r="D487" s="58" t="s">
        <v>699</v>
      </c>
      <c r="E487" s="58" t="s">
        <v>700</v>
      </c>
      <c r="F487" s="45">
        <v>7399</v>
      </c>
      <c r="G487" s="45">
        <v>3899</v>
      </c>
      <c r="H487" s="45">
        <v>4449</v>
      </c>
      <c r="I487" s="45">
        <v>4449</v>
      </c>
      <c r="J487" s="45">
        <v>4399</v>
      </c>
      <c r="K487" s="45">
        <v>4399</v>
      </c>
      <c r="L487" s="45">
        <v>4399</v>
      </c>
      <c r="M487" s="45">
        <v>4399</v>
      </c>
      <c r="N487" s="45">
        <v>4399</v>
      </c>
      <c r="O487" s="45">
        <v>4299</v>
      </c>
      <c r="P487" s="46">
        <v>4199</v>
      </c>
      <c r="Q487" s="46">
        <v>3999</v>
      </c>
      <c r="R487" s="45">
        <v>4299</v>
      </c>
      <c r="S487" s="45">
        <v>4199</v>
      </c>
      <c r="T487" s="45">
        <v>3999</v>
      </c>
      <c r="U487" s="45">
        <v>3999</v>
      </c>
      <c r="V487" s="45">
        <v>3999</v>
      </c>
      <c r="W487" s="45">
        <v>3999</v>
      </c>
      <c r="X487" s="45">
        <v>3899</v>
      </c>
      <c r="Y487" s="45">
        <v>2399</v>
      </c>
      <c r="Z487" s="45">
        <v>2399</v>
      </c>
      <c r="AA487" s="45">
        <v>2399</v>
      </c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7"/>
      <c r="AW487" s="48" t="s">
        <v>67</v>
      </c>
      <c r="AX487" s="49" t="s">
        <v>68</v>
      </c>
      <c r="AY487" s="50">
        <f t="shared" si="39"/>
        <v>89.869799999999998</v>
      </c>
      <c r="AZ487" s="50">
        <f t="shared" si="40"/>
        <v>80.971800000000002</v>
      </c>
      <c r="BA487" s="51">
        <f t="shared" si="41"/>
        <v>45.8247</v>
      </c>
    </row>
    <row r="488" spans="1:53" ht="22.5" customHeight="1">
      <c r="A488" s="41" t="s">
        <v>63</v>
      </c>
      <c r="B488" s="42" t="s">
        <v>64</v>
      </c>
      <c r="C488" s="43">
        <v>4018080</v>
      </c>
      <c r="D488" s="59" t="s">
        <v>701</v>
      </c>
      <c r="E488" s="58" t="s">
        <v>702</v>
      </c>
      <c r="F488" s="45">
        <v>9199</v>
      </c>
      <c r="G488" s="45">
        <v>6899</v>
      </c>
      <c r="H488" s="45">
        <v>7599</v>
      </c>
      <c r="I488" s="45">
        <v>7599</v>
      </c>
      <c r="J488" s="45">
        <v>7499</v>
      </c>
      <c r="K488" s="45">
        <v>7499</v>
      </c>
      <c r="L488" s="45">
        <v>7499</v>
      </c>
      <c r="M488" s="45">
        <v>7499</v>
      </c>
      <c r="N488" s="45">
        <v>7499</v>
      </c>
      <c r="O488" s="45">
        <v>7399</v>
      </c>
      <c r="P488" s="46">
        <v>7299</v>
      </c>
      <c r="Q488" s="53">
        <v>6599</v>
      </c>
      <c r="R488" s="45">
        <v>7399</v>
      </c>
      <c r="S488" s="45">
        <v>7299</v>
      </c>
      <c r="T488" s="54">
        <v>6599</v>
      </c>
      <c r="U488" s="54">
        <v>6599</v>
      </c>
      <c r="V488" s="54">
        <v>6599</v>
      </c>
      <c r="W488" s="54">
        <v>6599</v>
      </c>
      <c r="X488" s="54">
        <v>6499</v>
      </c>
      <c r="Y488" s="54">
        <v>4999</v>
      </c>
      <c r="Z488" s="54">
        <v>4999</v>
      </c>
      <c r="AA488" s="54">
        <v>4799</v>
      </c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7"/>
      <c r="AW488" s="48" t="s">
        <v>67</v>
      </c>
      <c r="AX488" s="49" t="s">
        <v>68</v>
      </c>
      <c r="AY488" s="50">
        <f t="shared" si="39"/>
        <v>153.49979999999999</v>
      </c>
      <c r="AZ488" s="50">
        <f t="shared" si="40"/>
        <v>138.30180000000001</v>
      </c>
      <c r="BA488" s="51">
        <f t="shared" si="41"/>
        <v>78.2697</v>
      </c>
    </row>
    <row r="489" spans="1:53" ht="22.5" customHeight="1">
      <c r="A489" s="41" t="s">
        <v>63</v>
      </c>
      <c r="B489" s="42" t="s">
        <v>64</v>
      </c>
      <c r="C489" s="43">
        <v>4018086</v>
      </c>
      <c r="D489" s="59" t="s">
        <v>701</v>
      </c>
      <c r="E489" s="58" t="s">
        <v>703</v>
      </c>
      <c r="F489" s="45">
        <v>9199</v>
      </c>
      <c r="G489" s="45">
        <v>6899</v>
      </c>
      <c r="H489" s="45">
        <v>7599</v>
      </c>
      <c r="I489" s="45">
        <v>7599</v>
      </c>
      <c r="J489" s="45">
        <v>7499</v>
      </c>
      <c r="K489" s="45">
        <v>7499</v>
      </c>
      <c r="L489" s="45">
        <v>7499</v>
      </c>
      <c r="M489" s="45">
        <v>7499</v>
      </c>
      <c r="N489" s="45">
        <v>7499</v>
      </c>
      <c r="O489" s="45">
        <v>7399</v>
      </c>
      <c r="P489" s="46">
        <v>7299</v>
      </c>
      <c r="Q489" s="53">
        <v>6599</v>
      </c>
      <c r="R489" s="45">
        <v>7399</v>
      </c>
      <c r="S489" s="45">
        <v>7299</v>
      </c>
      <c r="T489" s="54">
        <v>6599</v>
      </c>
      <c r="U489" s="54">
        <v>6599</v>
      </c>
      <c r="V489" s="54">
        <v>6599</v>
      </c>
      <c r="W489" s="54">
        <v>6599</v>
      </c>
      <c r="X489" s="54">
        <v>6499</v>
      </c>
      <c r="Y489" s="54">
        <v>4999</v>
      </c>
      <c r="Z489" s="54">
        <v>4999</v>
      </c>
      <c r="AA489" s="54">
        <v>4799</v>
      </c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7"/>
      <c r="AW489" s="48" t="s">
        <v>67</v>
      </c>
      <c r="AX489" s="49" t="s">
        <v>68</v>
      </c>
      <c r="AY489" s="50">
        <f t="shared" si="39"/>
        <v>153.49979999999999</v>
      </c>
      <c r="AZ489" s="50">
        <f t="shared" si="40"/>
        <v>138.30180000000001</v>
      </c>
      <c r="BA489" s="51">
        <f t="shared" si="41"/>
        <v>78.2697</v>
      </c>
    </row>
    <row r="490" spans="1:53" ht="22.5" customHeight="1">
      <c r="A490" s="41" t="s">
        <v>63</v>
      </c>
      <c r="B490" s="42" t="s">
        <v>64</v>
      </c>
      <c r="C490" s="43">
        <v>4018097</v>
      </c>
      <c r="D490" s="59" t="s">
        <v>704</v>
      </c>
      <c r="E490" s="58" t="s">
        <v>705</v>
      </c>
      <c r="F490" s="45">
        <v>10799</v>
      </c>
      <c r="G490" s="45">
        <v>7399</v>
      </c>
      <c r="H490" s="45">
        <v>8199</v>
      </c>
      <c r="I490" s="45">
        <v>8199</v>
      </c>
      <c r="J490" s="45">
        <v>7999</v>
      </c>
      <c r="K490" s="45">
        <v>7999</v>
      </c>
      <c r="L490" s="45">
        <v>7999</v>
      </c>
      <c r="M490" s="45">
        <v>7999</v>
      </c>
      <c r="N490" s="45">
        <v>7999</v>
      </c>
      <c r="O490" s="45">
        <v>7899</v>
      </c>
      <c r="P490" s="46">
        <v>7799</v>
      </c>
      <c r="Q490" s="53">
        <v>7299</v>
      </c>
      <c r="R490" s="45">
        <v>7899</v>
      </c>
      <c r="S490" s="45">
        <v>7799</v>
      </c>
      <c r="T490" s="54">
        <v>7299</v>
      </c>
      <c r="U490" s="54">
        <v>7299</v>
      </c>
      <c r="V490" s="54">
        <v>7299</v>
      </c>
      <c r="W490" s="54">
        <v>7299</v>
      </c>
      <c r="X490" s="54">
        <v>7199</v>
      </c>
      <c r="Y490" s="54">
        <v>5499</v>
      </c>
      <c r="Z490" s="54">
        <v>5499</v>
      </c>
      <c r="AA490" s="54">
        <v>5299</v>
      </c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7"/>
      <c r="AW490" s="48" t="s">
        <v>67</v>
      </c>
      <c r="AX490" s="49" t="s">
        <v>68</v>
      </c>
      <c r="AY490" s="50">
        <f t="shared" si="39"/>
        <v>165.6198</v>
      </c>
      <c r="AZ490" s="50">
        <f t="shared" si="40"/>
        <v>149.2218</v>
      </c>
      <c r="BA490" s="51">
        <f t="shared" si="41"/>
        <v>84.449700000000007</v>
      </c>
    </row>
    <row r="491" spans="1:53" ht="22.5" customHeight="1">
      <c r="A491" s="41" t="s">
        <v>63</v>
      </c>
      <c r="B491" s="42" t="s">
        <v>64</v>
      </c>
      <c r="C491" s="43">
        <v>4018101</v>
      </c>
      <c r="D491" s="59" t="s">
        <v>704</v>
      </c>
      <c r="E491" s="58" t="s">
        <v>706</v>
      </c>
      <c r="F491" s="45">
        <v>10799</v>
      </c>
      <c r="G491" s="45">
        <v>7399</v>
      </c>
      <c r="H491" s="45">
        <v>8199</v>
      </c>
      <c r="I491" s="45">
        <v>8199</v>
      </c>
      <c r="J491" s="45">
        <v>7999</v>
      </c>
      <c r="K491" s="45">
        <v>7999</v>
      </c>
      <c r="L491" s="45">
        <v>7999</v>
      </c>
      <c r="M491" s="45">
        <v>7999</v>
      </c>
      <c r="N491" s="45">
        <v>7999</v>
      </c>
      <c r="O491" s="45">
        <v>7899</v>
      </c>
      <c r="P491" s="46">
        <v>7799</v>
      </c>
      <c r="Q491" s="53">
        <v>7299</v>
      </c>
      <c r="R491" s="45">
        <v>7899</v>
      </c>
      <c r="S491" s="45">
        <v>7799</v>
      </c>
      <c r="T491" s="54">
        <v>7299</v>
      </c>
      <c r="U491" s="54">
        <v>7299</v>
      </c>
      <c r="V491" s="54">
        <v>7299</v>
      </c>
      <c r="W491" s="54">
        <v>7299</v>
      </c>
      <c r="X491" s="54">
        <v>7199</v>
      </c>
      <c r="Y491" s="54">
        <v>5499</v>
      </c>
      <c r="Z491" s="54">
        <v>5499</v>
      </c>
      <c r="AA491" s="54">
        <v>5299</v>
      </c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7"/>
      <c r="AW491" s="48" t="s">
        <v>67</v>
      </c>
      <c r="AX491" s="49" t="s">
        <v>68</v>
      </c>
      <c r="AY491" s="50">
        <f t="shared" si="39"/>
        <v>165.6198</v>
      </c>
      <c r="AZ491" s="50">
        <f t="shared" si="40"/>
        <v>149.2218</v>
      </c>
      <c r="BA491" s="51">
        <f t="shared" si="41"/>
        <v>84.449700000000007</v>
      </c>
    </row>
    <row r="492" spans="1:53" ht="22.5" customHeight="1">
      <c r="A492" s="41" t="s">
        <v>63</v>
      </c>
      <c r="B492" s="42" t="s">
        <v>64</v>
      </c>
      <c r="C492" s="43">
        <v>4016326</v>
      </c>
      <c r="D492" s="58" t="s">
        <v>707</v>
      </c>
      <c r="E492" s="58" t="s">
        <v>708</v>
      </c>
      <c r="F492" s="45">
        <v>13799</v>
      </c>
      <c r="G492" s="45">
        <v>6699</v>
      </c>
      <c r="H492" s="45">
        <v>7399</v>
      </c>
      <c r="I492" s="45">
        <v>7399</v>
      </c>
      <c r="J492" s="45">
        <v>7299</v>
      </c>
      <c r="K492" s="45">
        <v>7299</v>
      </c>
      <c r="L492" s="45">
        <v>7299</v>
      </c>
      <c r="M492" s="45">
        <v>7299</v>
      </c>
      <c r="N492" s="45">
        <v>7299</v>
      </c>
      <c r="O492" s="45">
        <v>7199</v>
      </c>
      <c r="P492" s="46">
        <v>7099</v>
      </c>
      <c r="Q492" s="46">
        <v>6799</v>
      </c>
      <c r="R492" s="45">
        <v>7199</v>
      </c>
      <c r="S492" s="45">
        <v>7099</v>
      </c>
      <c r="T492" s="45">
        <v>6799</v>
      </c>
      <c r="U492" s="45">
        <v>6799</v>
      </c>
      <c r="V492" s="45">
        <v>6799</v>
      </c>
      <c r="W492" s="45">
        <v>6799</v>
      </c>
      <c r="X492" s="45">
        <v>6699</v>
      </c>
      <c r="Y492" s="45">
        <v>4999</v>
      </c>
      <c r="Z492" s="45">
        <v>4999</v>
      </c>
      <c r="AA492" s="45">
        <v>4999</v>
      </c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7"/>
      <c r="AW492" s="48" t="s">
        <v>67</v>
      </c>
      <c r="AX492" s="49" t="s">
        <v>68</v>
      </c>
      <c r="AY492" s="50">
        <f t="shared" si="39"/>
        <v>149.4598</v>
      </c>
      <c r="AZ492" s="50">
        <f t="shared" si="40"/>
        <v>134.6618</v>
      </c>
      <c r="BA492" s="51">
        <f t="shared" si="41"/>
        <v>76.209699999999998</v>
      </c>
    </row>
    <row r="493" spans="1:53" ht="22.5" customHeight="1">
      <c r="A493" s="41" t="s">
        <v>63</v>
      </c>
      <c r="B493" s="42" t="s">
        <v>64</v>
      </c>
      <c r="C493" s="67">
        <v>4017186</v>
      </c>
      <c r="D493" s="68" t="s">
        <v>709</v>
      </c>
      <c r="E493" s="68" t="s">
        <v>710</v>
      </c>
      <c r="F493" s="46">
        <v>14799</v>
      </c>
      <c r="G493" s="46">
        <v>9449</v>
      </c>
      <c r="H493" s="46">
        <v>9899</v>
      </c>
      <c r="I493" s="46">
        <v>9899</v>
      </c>
      <c r="J493" s="46">
        <v>9799</v>
      </c>
      <c r="K493" s="46">
        <v>9799</v>
      </c>
      <c r="L493" s="46">
        <v>9799</v>
      </c>
      <c r="M493" s="46">
        <v>9799</v>
      </c>
      <c r="N493" s="46">
        <v>9799</v>
      </c>
      <c r="O493" s="46">
        <v>9749</v>
      </c>
      <c r="P493" s="46">
        <v>9699</v>
      </c>
      <c r="Q493" s="46">
        <v>9499</v>
      </c>
      <c r="R493" s="46">
        <v>9749</v>
      </c>
      <c r="S493" s="46">
        <v>9699</v>
      </c>
      <c r="T493" s="46">
        <v>9499</v>
      </c>
      <c r="U493" s="46">
        <v>9499</v>
      </c>
      <c r="V493" s="46">
        <v>9499</v>
      </c>
      <c r="W493" s="46">
        <v>9499</v>
      </c>
      <c r="X493" s="46">
        <v>9449</v>
      </c>
      <c r="Y493" s="46">
        <v>6999</v>
      </c>
      <c r="Z493" s="46">
        <v>6999</v>
      </c>
      <c r="AA493" s="46">
        <v>6999</v>
      </c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7"/>
      <c r="AW493" s="48" t="s">
        <v>67</v>
      </c>
      <c r="AX493" s="49" t="s">
        <v>68</v>
      </c>
      <c r="AY493" s="50">
        <f t="shared" si="39"/>
        <v>199.9598</v>
      </c>
      <c r="AZ493" s="50">
        <f t="shared" si="40"/>
        <v>180.1618</v>
      </c>
      <c r="BA493" s="51">
        <f t="shared" si="41"/>
        <v>101.9597</v>
      </c>
    </row>
    <row r="494" spans="1:53" ht="22.5" customHeight="1">
      <c r="A494" s="41" t="s">
        <v>63</v>
      </c>
      <c r="B494" s="42" t="s">
        <v>64</v>
      </c>
      <c r="C494" s="67">
        <v>4017191</v>
      </c>
      <c r="D494" s="68" t="s">
        <v>711</v>
      </c>
      <c r="E494" s="68" t="s">
        <v>712</v>
      </c>
      <c r="F494" s="46">
        <v>15799</v>
      </c>
      <c r="G494" s="46">
        <v>9449</v>
      </c>
      <c r="H494" s="46">
        <v>9899</v>
      </c>
      <c r="I494" s="46">
        <v>9899</v>
      </c>
      <c r="J494" s="46">
        <v>9799</v>
      </c>
      <c r="K494" s="46">
        <v>9799</v>
      </c>
      <c r="L494" s="46">
        <v>9799</v>
      </c>
      <c r="M494" s="46">
        <v>9799</v>
      </c>
      <c r="N494" s="46">
        <v>9799</v>
      </c>
      <c r="O494" s="46">
        <v>9749</v>
      </c>
      <c r="P494" s="46">
        <v>9699</v>
      </c>
      <c r="Q494" s="46">
        <v>9499</v>
      </c>
      <c r="R494" s="46">
        <v>9749</v>
      </c>
      <c r="S494" s="46">
        <v>9699</v>
      </c>
      <c r="T494" s="46">
        <v>9499</v>
      </c>
      <c r="U494" s="46">
        <v>9499</v>
      </c>
      <c r="V494" s="46">
        <v>9499</v>
      </c>
      <c r="W494" s="46">
        <v>9499</v>
      </c>
      <c r="X494" s="46">
        <v>9449</v>
      </c>
      <c r="Y494" s="46">
        <v>8499</v>
      </c>
      <c r="Z494" s="46">
        <v>8499</v>
      </c>
      <c r="AA494" s="46">
        <v>8449</v>
      </c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7"/>
      <c r="AW494" s="48" t="s">
        <v>67</v>
      </c>
      <c r="AX494" s="49" t="s">
        <v>68</v>
      </c>
      <c r="AY494" s="50">
        <f t="shared" si="39"/>
        <v>199.9598</v>
      </c>
      <c r="AZ494" s="50">
        <f t="shared" si="40"/>
        <v>180.1618</v>
      </c>
      <c r="BA494" s="51">
        <f t="shared" si="41"/>
        <v>101.9597</v>
      </c>
    </row>
    <row r="495" spans="1:53" ht="22.5" customHeight="1">
      <c r="A495" s="41" t="s">
        <v>63</v>
      </c>
      <c r="B495" s="42" t="s">
        <v>64</v>
      </c>
      <c r="C495" s="67">
        <v>4018085</v>
      </c>
      <c r="D495" s="68" t="s">
        <v>713</v>
      </c>
      <c r="E495" s="68" t="s">
        <v>714</v>
      </c>
      <c r="F495" s="46">
        <v>12599</v>
      </c>
      <c r="G495" s="46">
        <v>8699</v>
      </c>
      <c r="H495" s="46">
        <v>9399</v>
      </c>
      <c r="I495" s="46">
        <v>9399</v>
      </c>
      <c r="J495" s="46">
        <v>9299</v>
      </c>
      <c r="K495" s="46">
        <v>9299</v>
      </c>
      <c r="L495" s="46">
        <v>9299</v>
      </c>
      <c r="M495" s="46">
        <v>9299</v>
      </c>
      <c r="N495" s="46">
        <v>9299</v>
      </c>
      <c r="O495" s="46">
        <v>9199</v>
      </c>
      <c r="P495" s="46">
        <v>9099</v>
      </c>
      <c r="Q495" s="46">
        <v>8799</v>
      </c>
      <c r="R495" s="46">
        <v>9199</v>
      </c>
      <c r="S495" s="46">
        <v>9099</v>
      </c>
      <c r="T495" s="46">
        <v>8799</v>
      </c>
      <c r="U495" s="46">
        <v>8799</v>
      </c>
      <c r="V495" s="46">
        <v>8799</v>
      </c>
      <c r="W495" s="46">
        <v>8799</v>
      </c>
      <c r="X495" s="46">
        <v>8699</v>
      </c>
      <c r="Y495" s="46">
        <v>6699</v>
      </c>
      <c r="Z495" s="46">
        <v>6699</v>
      </c>
      <c r="AA495" s="46">
        <v>6499</v>
      </c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7"/>
      <c r="AW495" s="48" t="s">
        <v>67</v>
      </c>
      <c r="AX495" s="49" t="s">
        <v>68</v>
      </c>
      <c r="AY495" s="55">
        <f t="shared" si="39"/>
        <v>189.85979999999998</v>
      </c>
      <c r="AZ495" s="55">
        <f t="shared" si="40"/>
        <v>171.06180000000001</v>
      </c>
      <c r="BA495" s="56">
        <f t="shared" si="41"/>
        <v>96.809700000000007</v>
      </c>
    </row>
    <row r="496" spans="1:53" ht="22.5" customHeight="1">
      <c r="A496" s="41" t="s">
        <v>63</v>
      </c>
      <c r="B496" s="42" t="s">
        <v>64</v>
      </c>
      <c r="C496" s="67">
        <v>4018049</v>
      </c>
      <c r="D496" s="68" t="s">
        <v>713</v>
      </c>
      <c r="E496" s="68" t="s">
        <v>715</v>
      </c>
      <c r="F496" s="46">
        <v>12599</v>
      </c>
      <c r="G496" s="46">
        <v>8699</v>
      </c>
      <c r="H496" s="46">
        <v>9399</v>
      </c>
      <c r="I496" s="46">
        <v>9399</v>
      </c>
      <c r="J496" s="46">
        <v>9299</v>
      </c>
      <c r="K496" s="46">
        <v>9299</v>
      </c>
      <c r="L496" s="46">
        <v>9299</v>
      </c>
      <c r="M496" s="46">
        <v>9299</v>
      </c>
      <c r="N496" s="46">
        <v>9299</v>
      </c>
      <c r="O496" s="46">
        <v>9199</v>
      </c>
      <c r="P496" s="46">
        <v>9099</v>
      </c>
      <c r="Q496" s="46">
        <v>8799</v>
      </c>
      <c r="R496" s="46">
        <v>9199</v>
      </c>
      <c r="S496" s="46">
        <v>9099</v>
      </c>
      <c r="T496" s="46">
        <v>8799</v>
      </c>
      <c r="U496" s="46">
        <v>8799</v>
      </c>
      <c r="V496" s="46">
        <v>8799</v>
      </c>
      <c r="W496" s="46">
        <v>8799</v>
      </c>
      <c r="X496" s="46">
        <v>8699</v>
      </c>
      <c r="Y496" s="46">
        <v>6699</v>
      </c>
      <c r="Z496" s="46">
        <v>6699</v>
      </c>
      <c r="AA496" s="46">
        <v>6499</v>
      </c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7"/>
      <c r="AW496" s="48" t="s">
        <v>67</v>
      </c>
      <c r="AX496" s="49" t="s">
        <v>68</v>
      </c>
      <c r="AY496" s="55">
        <f t="shared" si="39"/>
        <v>189.85979999999998</v>
      </c>
      <c r="AZ496" s="55">
        <f t="shared" si="40"/>
        <v>171.06180000000001</v>
      </c>
      <c r="BA496" s="56">
        <f t="shared" si="41"/>
        <v>96.809700000000007</v>
      </c>
    </row>
    <row r="497" spans="1:53" ht="22.5" customHeight="1">
      <c r="A497" s="41" t="s">
        <v>63</v>
      </c>
      <c r="B497" s="42" t="s">
        <v>64</v>
      </c>
      <c r="C497" s="67">
        <v>4018100</v>
      </c>
      <c r="D497" s="68" t="s">
        <v>716</v>
      </c>
      <c r="E497" s="68" t="s">
        <v>717</v>
      </c>
      <c r="F497" s="46">
        <v>14199</v>
      </c>
      <c r="G497" s="46">
        <v>9199</v>
      </c>
      <c r="H497" s="46">
        <v>10499</v>
      </c>
      <c r="I497" s="46">
        <v>10499</v>
      </c>
      <c r="J497" s="46">
        <v>10399</v>
      </c>
      <c r="K497" s="46">
        <v>10399</v>
      </c>
      <c r="L497" s="46">
        <v>10399</v>
      </c>
      <c r="M497" s="46">
        <v>10399</v>
      </c>
      <c r="N497" s="46">
        <v>10399</v>
      </c>
      <c r="O497" s="46">
        <v>10299</v>
      </c>
      <c r="P497" s="46">
        <v>10199</v>
      </c>
      <c r="Q497" s="46">
        <v>9299</v>
      </c>
      <c r="R497" s="46">
        <v>10299</v>
      </c>
      <c r="S497" s="46">
        <v>10199</v>
      </c>
      <c r="T497" s="46">
        <v>9299</v>
      </c>
      <c r="U497" s="46">
        <v>9299</v>
      </c>
      <c r="V497" s="46">
        <v>9299</v>
      </c>
      <c r="W497" s="46">
        <v>9299</v>
      </c>
      <c r="X497" s="46">
        <v>9199</v>
      </c>
      <c r="Y497" s="46">
        <v>7299</v>
      </c>
      <c r="Z497" s="46">
        <v>7299</v>
      </c>
      <c r="AA497" s="46">
        <v>7099</v>
      </c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7"/>
      <c r="AW497" s="48" t="s">
        <v>67</v>
      </c>
      <c r="AX497" s="49" t="s">
        <v>68</v>
      </c>
      <c r="AY497" s="55">
        <f t="shared" ref="AY497:AY502" si="42">$H497*AY$11</f>
        <v>212.07980000000001</v>
      </c>
      <c r="AZ497" s="55">
        <f t="shared" ref="AZ497:AZ502" si="43">($H497*AZ$11)</f>
        <v>191.08180000000002</v>
      </c>
      <c r="BA497" s="56">
        <f t="shared" ref="BA497:BA502" si="44">$H497*BA$11</f>
        <v>108.1397</v>
      </c>
    </row>
    <row r="498" spans="1:53" ht="22.5" customHeight="1">
      <c r="A498" s="41" t="s">
        <v>63</v>
      </c>
      <c r="B498" s="42" t="s">
        <v>64</v>
      </c>
      <c r="C498" s="67">
        <v>4018096</v>
      </c>
      <c r="D498" s="68" t="s">
        <v>716</v>
      </c>
      <c r="E498" s="68" t="s">
        <v>718</v>
      </c>
      <c r="F498" s="46">
        <v>14199</v>
      </c>
      <c r="G498" s="46">
        <v>9199</v>
      </c>
      <c r="H498" s="46">
        <v>10499</v>
      </c>
      <c r="I498" s="46">
        <v>10499</v>
      </c>
      <c r="J498" s="46">
        <v>10399</v>
      </c>
      <c r="K498" s="46">
        <v>10399</v>
      </c>
      <c r="L498" s="46">
        <v>10399</v>
      </c>
      <c r="M498" s="46">
        <v>10399</v>
      </c>
      <c r="N498" s="46">
        <v>10399</v>
      </c>
      <c r="O498" s="46">
        <v>10299</v>
      </c>
      <c r="P498" s="46">
        <v>10199</v>
      </c>
      <c r="Q498" s="46">
        <v>9299</v>
      </c>
      <c r="R498" s="46">
        <v>10299</v>
      </c>
      <c r="S498" s="46">
        <v>10199</v>
      </c>
      <c r="T498" s="46">
        <v>9299</v>
      </c>
      <c r="U498" s="46">
        <v>9299</v>
      </c>
      <c r="V498" s="46">
        <v>9299</v>
      </c>
      <c r="W498" s="46">
        <v>9299</v>
      </c>
      <c r="X498" s="46">
        <v>9199</v>
      </c>
      <c r="Y498" s="46">
        <v>7299</v>
      </c>
      <c r="Z498" s="46">
        <v>7299</v>
      </c>
      <c r="AA498" s="46">
        <v>7099</v>
      </c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7"/>
      <c r="AW498" s="48" t="s">
        <v>67</v>
      </c>
      <c r="AX498" s="49" t="s">
        <v>68</v>
      </c>
      <c r="AY498" s="55">
        <f t="shared" si="42"/>
        <v>212.07980000000001</v>
      </c>
      <c r="AZ498" s="55">
        <f t="shared" si="43"/>
        <v>191.08180000000002</v>
      </c>
      <c r="BA498" s="56">
        <f t="shared" si="44"/>
        <v>108.1397</v>
      </c>
    </row>
    <row r="499" spans="1:53" ht="22.5" customHeight="1">
      <c r="A499" s="41" t="s">
        <v>63</v>
      </c>
      <c r="B499" s="42" t="s">
        <v>64</v>
      </c>
      <c r="C499" s="67">
        <v>4018047</v>
      </c>
      <c r="D499" s="68" t="s">
        <v>719</v>
      </c>
      <c r="E499" s="68" t="s">
        <v>720</v>
      </c>
      <c r="F499" s="46">
        <v>14599</v>
      </c>
      <c r="G499" s="46">
        <v>10399</v>
      </c>
      <c r="H499" s="46">
        <v>11399</v>
      </c>
      <c r="I499" s="46">
        <v>11399</v>
      </c>
      <c r="J499" s="46">
        <v>11299</v>
      </c>
      <c r="K499" s="46">
        <v>11299</v>
      </c>
      <c r="L499" s="46">
        <v>11299</v>
      </c>
      <c r="M499" s="46">
        <v>11299</v>
      </c>
      <c r="N499" s="46">
        <v>11299</v>
      </c>
      <c r="O499" s="46">
        <v>11199</v>
      </c>
      <c r="P499" s="46">
        <v>10999</v>
      </c>
      <c r="Q499" s="46">
        <v>10699</v>
      </c>
      <c r="R499" s="46">
        <v>11199</v>
      </c>
      <c r="S499" s="46">
        <v>10999</v>
      </c>
      <c r="T499" s="46">
        <v>10699</v>
      </c>
      <c r="U499" s="46">
        <v>10699</v>
      </c>
      <c r="V499" s="46">
        <v>10699</v>
      </c>
      <c r="W499" s="46">
        <v>10699</v>
      </c>
      <c r="X499" s="46">
        <v>10399</v>
      </c>
      <c r="Y499" s="46">
        <v>8099</v>
      </c>
      <c r="Z499" s="46">
        <v>8099</v>
      </c>
      <c r="AA499" s="46">
        <v>7899</v>
      </c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7"/>
      <c r="AW499" s="48" t="s">
        <v>67</v>
      </c>
      <c r="AX499" s="49" t="s">
        <v>68</v>
      </c>
      <c r="AY499" s="50">
        <f t="shared" si="42"/>
        <v>230.25979999999998</v>
      </c>
      <c r="AZ499" s="50">
        <f t="shared" si="43"/>
        <v>207.46180000000001</v>
      </c>
      <c r="BA499" s="51">
        <f t="shared" si="44"/>
        <v>117.4097</v>
      </c>
    </row>
    <row r="500" spans="1:53" ht="22.5" customHeight="1">
      <c r="A500" s="41" t="s">
        <v>63</v>
      </c>
      <c r="B500" s="42" t="s">
        <v>64</v>
      </c>
      <c r="C500" s="67">
        <v>4018082</v>
      </c>
      <c r="D500" s="68" t="s">
        <v>719</v>
      </c>
      <c r="E500" s="68" t="s">
        <v>721</v>
      </c>
      <c r="F500" s="46">
        <v>14599</v>
      </c>
      <c r="G500" s="46">
        <v>10399</v>
      </c>
      <c r="H500" s="46">
        <v>11399</v>
      </c>
      <c r="I500" s="46">
        <v>11399</v>
      </c>
      <c r="J500" s="46">
        <v>11299</v>
      </c>
      <c r="K500" s="46">
        <v>11299</v>
      </c>
      <c r="L500" s="46">
        <v>11299</v>
      </c>
      <c r="M500" s="46">
        <v>11299</v>
      </c>
      <c r="N500" s="46">
        <v>11299</v>
      </c>
      <c r="O500" s="46">
        <v>11199</v>
      </c>
      <c r="P500" s="46">
        <v>10999</v>
      </c>
      <c r="Q500" s="46">
        <v>10699</v>
      </c>
      <c r="R500" s="46">
        <v>11199</v>
      </c>
      <c r="S500" s="46">
        <v>10999</v>
      </c>
      <c r="T500" s="46">
        <v>10699</v>
      </c>
      <c r="U500" s="46">
        <v>10699</v>
      </c>
      <c r="V500" s="46">
        <v>10699</v>
      </c>
      <c r="W500" s="46">
        <v>10699</v>
      </c>
      <c r="X500" s="46">
        <v>10399</v>
      </c>
      <c r="Y500" s="46">
        <v>8099</v>
      </c>
      <c r="Z500" s="46">
        <v>8099</v>
      </c>
      <c r="AA500" s="46">
        <v>7899</v>
      </c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7"/>
      <c r="AW500" s="48" t="s">
        <v>67</v>
      </c>
      <c r="AX500" s="49" t="s">
        <v>68</v>
      </c>
      <c r="AY500" s="50">
        <f t="shared" si="42"/>
        <v>230.25979999999998</v>
      </c>
      <c r="AZ500" s="50">
        <f t="shared" si="43"/>
        <v>207.46180000000001</v>
      </c>
      <c r="BA500" s="51">
        <f t="shared" si="44"/>
        <v>117.4097</v>
      </c>
    </row>
    <row r="501" spans="1:53" ht="22.5" customHeight="1">
      <c r="A501" s="41" t="s">
        <v>63</v>
      </c>
      <c r="B501" s="42" t="s">
        <v>64</v>
      </c>
      <c r="C501" s="67">
        <v>4018094</v>
      </c>
      <c r="D501" s="68" t="s">
        <v>722</v>
      </c>
      <c r="E501" s="68" t="s">
        <v>723</v>
      </c>
      <c r="F501" s="46">
        <v>16199</v>
      </c>
      <c r="G501" s="46">
        <v>10999</v>
      </c>
      <c r="H501" s="46">
        <v>11999</v>
      </c>
      <c r="I501" s="46">
        <v>11999</v>
      </c>
      <c r="J501" s="46">
        <v>11699</v>
      </c>
      <c r="K501" s="46">
        <v>11699</v>
      </c>
      <c r="L501" s="46">
        <v>11699</v>
      </c>
      <c r="M501" s="46">
        <v>11699</v>
      </c>
      <c r="N501" s="46">
        <v>11699</v>
      </c>
      <c r="O501" s="46">
        <v>11599</v>
      </c>
      <c r="P501" s="46">
        <v>11399</v>
      </c>
      <c r="Q501" s="46">
        <v>11099</v>
      </c>
      <c r="R501" s="46">
        <v>11599</v>
      </c>
      <c r="S501" s="46">
        <v>11399</v>
      </c>
      <c r="T501" s="46">
        <v>11099</v>
      </c>
      <c r="U501" s="46">
        <v>11099</v>
      </c>
      <c r="V501" s="46">
        <v>11099</v>
      </c>
      <c r="W501" s="46">
        <v>11099</v>
      </c>
      <c r="X501" s="46">
        <v>10999</v>
      </c>
      <c r="Y501" s="46">
        <v>8499</v>
      </c>
      <c r="Z501" s="46">
        <v>8499</v>
      </c>
      <c r="AA501" s="46">
        <v>8299</v>
      </c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7"/>
      <c r="AW501" s="48" t="s">
        <v>67</v>
      </c>
      <c r="AX501" s="49" t="s">
        <v>68</v>
      </c>
      <c r="AY501" s="50">
        <f t="shared" si="42"/>
        <v>242.37979999999999</v>
      </c>
      <c r="AZ501" s="50">
        <f t="shared" si="43"/>
        <v>218.3818</v>
      </c>
      <c r="BA501" s="51">
        <f t="shared" si="44"/>
        <v>123.58970000000001</v>
      </c>
    </row>
    <row r="502" spans="1:53" ht="22.5" customHeight="1" thickBot="1">
      <c r="A502" s="41" t="s">
        <v>63</v>
      </c>
      <c r="B502" s="42" t="s">
        <v>64</v>
      </c>
      <c r="C502" s="69">
        <v>4018098</v>
      </c>
      <c r="D502" s="70" t="s">
        <v>722</v>
      </c>
      <c r="E502" s="70" t="s">
        <v>724</v>
      </c>
      <c r="F502" s="71">
        <v>16199</v>
      </c>
      <c r="G502" s="71">
        <v>10999</v>
      </c>
      <c r="H502" s="71">
        <v>11999</v>
      </c>
      <c r="I502" s="71">
        <v>11999</v>
      </c>
      <c r="J502" s="71">
        <v>11699</v>
      </c>
      <c r="K502" s="71">
        <v>11699</v>
      </c>
      <c r="L502" s="71">
        <v>11699</v>
      </c>
      <c r="M502" s="71">
        <v>11699</v>
      </c>
      <c r="N502" s="71">
        <v>11699</v>
      </c>
      <c r="O502" s="71">
        <v>11599</v>
      </c>
      <c r="P502" s="71">
        <v>11399</v>
      </c>
      <c r="Q502" s="71">
        <v>11099</v>
      </c>
      <c r="R502" s="71">
        <v>11599</v>
      </c>
      <c r="S502" s="71">
        <v>11399</v>
      </c>
      <c r="T502" s="71">
        <v>11099</v>
      </c>
      <c r="U502" s="71">
        <v>11099</v>
      </c>
      <c r="V502" s="71">
        <v>11099</v>
      </c>
      <c r="W502" s="71">
        <v>11099</v>
      </c>
      <c r="X502" s="71">
        <v>10999</v>
      </c>
      <c r="Y502" s="71">
        <v>8499</v>
      </c>
      <c r="Z502" s="71">
        <v>8499</v>
      </c>
      <c r="AA502" s="71">
        <v>8299</v>
      </c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47"/>
      <c r="AW502" s="48" t="s">
        <v>67</v>
      </c>
      <c r="AX502" s="72" t="s">
        <v>68</v>
      </c>
      <c r="AY502" s="73">
        <f t="shared" si="42"/>
        <v>242.37979999999999</v>
      </c>
      <c r="AZ502" s="73">
        <f t="shared" si="43"/>
        <v>218.3818</v>
      </c>
      <c r="BA502" s="74">
        <f t="shared" si="44"/>
        <v>123.58970000000001</v>
      </c>
    </row>
    <row r="503" spans="1:53" ht="22.5" customHeight="1">
      <c r="A503" s="75" t="s">
        <v>247</v>
      </c>
      <c r="B503" s="76" t="s">
        <v>64</v>
      </c>
      <c r="C503" s="43">
        <v>4013638</v>
      </c>
      <c r="D503" s="58" t="s">
        <v>725</v>
      </c>
      <c r="E503" s="58" t="s">
        <v>726</v>
      </c>
      <c r="F503" s="77">
        <v>341</v>
      </c>
      <c r="G503" s="78">
        <v>141</v>
      </c>
      <c r="H503" s="79">
        <v>341</v>
      </c>
      <c r="I503" s="45">
        <v>341</v>
      </c>
      <c r="J503" s="45">
        <v>99</v>
      </c>
      <c r="K503" s="45">
        <v>99</v>
      </c>
      <c r="L503" s="45">
        <v>99</v>
      </c>
      <c r="M503" s="45">
        <v>99</v>
      </c>
      <c r="N503" s="45">
        <v>99</v>
      </c>
      <c r="O503" s="45">
        <v>99</v>
      </c>
      <c r="P503" s="45">
        <v>99</v>
      </c>
      <c r="Q503" s="45">
        <v>99</v>
      </c>
      <c r="R503" s="45">
        <v>99</v>
      </c>
      <c r="S503" s="45">
        <v>99</v>
      </c>
      <c r="T503" s="45">
        <v>99</v>
      </c>
      <c r="U503" s="45">
        <v>99</v>
      </c>
      <c r="V503" s="45">
        <v>99</v>
      </c>
      <c r="W503" s="45">
        <v>99</v>
      </c>
      <c r="X503" s="45">
        <v>99</v>
      </c>
      <c r="Y503" s="45">
        <v>99</v>
      </c>
      <c r="Z503" s="45">
        <v>99</v>
      </c>
      <c r="AA503" s="45">
        <v>99</v>
      </c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>
        <v>199</v>
      </c>
      <c r="AN503" s="45">
        <v>159</v>
      </c>
      <c r="AO503" s="45">
        <v>129</v>
      </c>
      <c r="AP503" s="45"/>
      <c r="AQ503" s="45"/>
      <c r="AR503" s="45"/>
      <c r="AS503" s="45"/>
      <c r="AT503" s="45"/>
      <c r="AU503" s="45"/>
      <c r="AW503" s="48" t="s">
        <v>67</v>
      </c>
      <c r="AX503" s="80" t="s">
        <v>727</v>
      </c>
    </row>
    <row r="504" spans="1:53" ht="22.5" customHeight="1">
      <c r="A504" s="57" t="s">
        <v>247</v>
      </c>
      <c r="B504" s="42" t="s">
        <v>64</v>
      </c>
      <c r="C504" s="67">
        <v>4013131</v>
      </c>
      <c r="D504" s="68" t="s">
        <v>728</v>
      </c>
      <c r="E504" s="68" t="s">
        <v>729</v>
      </c>
      <c r="F504" s="77">
        <v>349</v>
      </c>
      <c r="G504" s="81">
        <v>299</v>
      </c>
      <c r="H504" s="79">
        <v>299</v>
      </c>
      <c r="I504" s="45">
        <v>299</v>
      </c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>
        <v>199</v>
      </c>
      <c r="AN504" s="45">
        <v>159</v>
      </c>
      <c r="AO504" s="45">
        <v>129</v>
      </c>
      <c r="AP504" s="45"/>
      <c r="AQ504" s="45"/>
      <c r="AR504" s="45"/>
      <c r="AS504" s="45"/>
      <c r="AT504" s="45"/>
      <c r="AU504" s="45"/>
      <c r="AW504" s="48" t="s">
        <v>67</v>
      </c>
      <c r="AX504" s="49" t="s">
        <v>727</v>
      </c>
    </row>
    <row r="505" spans="1:53" ht="22.5" customHeight="1">
      <c r="A505" s="57" t="s">
        <v>247</v>
      </c>
      <c r="B505" s="42" t="s">
        <v>64</v>
      </c>
      <c r="C505" s="67">
        <v>4013033</v>
      </c>
      <c r="D505" s="68" t="s">
        <v>730</v>
      </c>
      <c r="E505" s="68" t="s">
        <v>731</v>
      </c>
      <c r="F505" s="77">
        <v>299</v>
      </c>
      <c r="G505" s="78">
        <v>299</v>
      </c>
      <c r="H505" s="79">
        <v>299</v>
      </c>
      <c r="I505" s="45">
        <v>299</v>
      </c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>
        <v>199</v>
      </c>
      <c r="AN505" s="45">
        <v>159</v>
      </c>
      <c r="AO505" s="45">
        <v>129</v>
      </c>
      <c r="AP505" s="45"/>
      <c r="AQ505" s="45"/>
      <c r="AR505" s="45"/>
      <c r="AS505" s="45"/>
      <c r="AT505" s="45"/>
      <c r="AU505" s="45"/>
      <c r="AW505" s="48" t="s">
        <v>67</v>
      </c>
      <c r="AX505" s="49" t="s">
        <v>253</v>
      </c>
    </row>
    <row r="506" spans="1:53" ht="22.5" customHeight="1" thickBot="1">
      <c r="A506" s="82" t="s">
        <v>247</v>
      </c>
      <c r="B506" s="83" t="s">
        <v>64</v>
      </c>
      <c r="C506" s="69">
        <v>4011551</v>
      </c>
      <c r="D506" s="84" t="s">
        <v>732</v>
      </c>
      <c r="E506" s="70" t="s">
        <v>733</v>
      </c>
      <c r="F506" s="71">
        <v>329</v>
      </c>
      <c r="G506" s="71">
        <v>329</v>
      </c>
      <c r="H506" s="71">
        <v>329</v>
      </c>
      <c r="I506" s="71">
        <v>329</v>
      </c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W506" s="48" t="s">
        <v>67</v>
      </c>
      <c r="AX506" s="85" t="s">
        <v>253</v>
      </c>
    </row>
    <row r="507" spans="1:53" ht="23" customHeight="1">
      <c r="A507" s="57" t="s">
        <v>247</v>
      </c>
      <c r="B507" s="42" t="s">
        <v>64</v>
      </c>
      <c r="C507" s="58">
        <v>4011550</v>
      </c>
      <c r="D507" s="86" t="s">
        <v>734</v>
      </c>
      <c r="E507" s="58" t="s">
        <v>734</v>
      </c>
      <c r="F507" s="45">
        <v>575</v>
      </c>
      <c r="G507" s="45">
        <v>299</v>
      </c>
      <c r="H507" s="45">
        <v>575</v>
      </c>
      <c r="I507" s="45">
        <v>575</v>
      </c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>
        <v>575</v>
      </c>
      <c r="AQ507" s="45">
        <v>575</v>
      </c>
      <c r="AR507" s="45">
        <v>575</v>
      </c>
      <c r="AS507" s="87">
        <v>199</v>
      </c>
      <c r="AT507" s="87">
        <v>159</v>
      </c>
      <c r="AU507" s="88">
        <v>99.9</v>
      </c>
      <c r="AW507" s="48" t="s">
        <v>67</v>
      </c>
      <c r="AX507" s="49" t="s">
        <v>253</v>
      </c>
    </row>
    <row r="508" spans="1:53" ht="23" customHeight="1">
      <c r="A508" s="57" t="s">
        <v>247</v>
      </c>
      <c r="B508" s="42" t="s">
        <v>64</v>
      </c>
      <c r="C508" s="67">
        <v>4012041</v>
      </c>
      <c r="D508" s="66" t="s">
        <v>735</v>
      </c>
      <c r="E508" s="58" t="s">
        <v>735</v>
      </c>
      <c r="F508" s="45">
        <v>575</v>
      </c>
      <c r="G508" s="45">
        <v>299</v>
      </c>
      <c r="H508" s="45">
        <v>575</v>
      </c>
      <c r="I508" s="45">
        <v>575</v>
      </c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>
        <v>575</v>
      </c>
      <c r="AQ508" s="45">
        <v>575</v>
      </c>
      <c r="AR508" s="45">
        <v>575</v>
      </c>
      <c r="AS508" s="87">
        <v>199</v>
      </c>
      <c r="AT508" s="87">
        <v>159</v>
      </c>
      <c r="AU508" s="88">
        <v>99.9</v>
      </c>
      <c r="AW508" s="48" t="s">
        <v>67</v>
      </c>
      <c r="AX508" s="49" t="s">
        <v>253</v>
      </c>
    </row>
    <row r="509" spans="1:53" ht="23" customHeight="1">
      <c r="A509" s="57" t="s">
        <v>247</v>
      </c>
      <c r="B509" s="42" t="s">
        <v>64</v>
      </c>
      <c r="C509" s="43">
        <v>4012242</v>
      </c>
      <c r="D509" s="66" t="s">
        <v>736</v>
      </c>
      <c r="E509" s="58" t="s">
        <v>736</v>
      </c>
      <c r="F509" s="45">
        <v>575</v>
      </c>
      <c r="G509" s="45">
        <v>299</v>
      </c>
      <c r="H509" s="45">
        <v>575</v>
      </c>
      <c r="I509" s="45">
        <v>575</v>
      </c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>
        <v>575</v>
      </c>
      <c r="AQ509" s="45">
        <v>575</v>
      </c>
      <c r="AR509" s="45">
        <v>575</v>
      </c>
      <c r="AS509" s="87">
        <v>199</v>
      </c>
      <c r="AT509" s="87">
        <v>159</v>
      </c>
      <c r="AU509" s="88">
        <v>99.9</v>
      </c>
      <c r="AW509" s="48" t="s">
        <v>67</v>
      </c>
      <c r="AX509" s="49" t="s">
        <v>253</v>
      </c>
    </row>
    <row r="510" spans="1:53" ht="23" customHeight="1">
      <c r="A510" s="57" t="s">
        <v>247</v>
      </c>
      <c r="B510" s="42" t="s">
        <v>64</v>
      </c>
      <c r="C510" s="43">
        <v>4012590</v>
      </c>
      <c r="D510" s="66" t="s">
        <v>737</v>
      </c>
      <c r="E510" s="58" t="s">
        <v>737</v>
      </c>
      <c r="F510" s="45">
        <v>575</v>
      </c>
      <c r="G510" s="45">
        <v>299</v>
      </c>
      <c r="H510" s="45">
        <v>575</v>
      </c>
      <c r="I510" s="45">
        <v>575</v>
      </c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>
        <v>575</v>
      </c>
      <c r="AQ510" s="45">
        <v>575</v>
      </c>
      <c r="AR510" s="45">
        <v>575</v>
      </c>
      <c r="AS510" s="87">
        <v>199</v>
      </c>
      <c r="AT510" s="87">
        <v>159</v>
      </c>
      <c r="AU510" s="88">
        <v>99.9</v>
      </c>
      <c r="AW510" s="48" t="s">
        <v>67</v>
      </c>
      <c r="AX510" s="49" t="s">
        <v>253</v>
      </c>
    </row>
    <row r="511" spans="1:53" ht="23" customHeight="1">
      <c r="A511" s="57" t="s">
        <v>247</v>
      </c>
      <c r="B511" s="42" t="s">
        <v>64</v>
      </c>
      <c r="C511" s="43">
        <v>4012681</v>
      </c>
      <c r="D511" s="66" t="s">
        <v>738</v>
      </c>
      <c r="E511" s="58" t="s">
        <v>738</v>
      </c>
      <c r="F511" s="45">
        <v>575</v>
      </c>
      <c r="G511" s="45">
        <v>299</v>
      </c>
      <c r="H511" s="45">
        <v>575</v>
      </c>
      <c r="I511" s="45">
        <v>575</v>
      </c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>
        <v>575</v>
      </c>
      <c r="AQ511" s="45">
        <v>575</v>
      </c>
      <c r="AR511" s="45">
        <v>575</v>
      </c>
      <c r="AS511" s="87">
        <v>199</v>
      </c>
      <c r="AT511" s="87">
        <v>159</v>
      </c>
      <c r="AU511" s="88">
        <v>99.9</v>
      </c>
      <c r="AW511" s="48" t="s">
        <v>67</v>
      </c>
      <c r="AX511" s="49" t="s">
        <v>253</v>
      </c>
    </row>
    <row r="512" spans="1:53" ht="23" customHeight="1" thickBot="1">
      <c r="A512" s="82" t="s">
        <v>247</v>
      </c>
      <c r="B512" s="83" t="s">
        <v>64</v>
      </c>
      <c r="C512" s="69">
        <v>4012680</v>
      </c>
      <c r="D512" s="89" t="s">
        <v>739</v>
      </c>
      <c r="E512" s="70" t="s">
        <v>739</v>
      </c>
      <c r="F512" s="71">
        <v>575</v>
      </c>
      <c r="G512" s="71">
        <v>299</v>
      </c>
      <c r="H512" s="71">
        <v>575</v>
      </c>
      <c r="I512" s="71">
        <v>575</v>
      </c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  <c r="AL512" s="71"/>
      <c r="AM512" s="71"/>
      <c r="AN512" s="71"/>
      <c r="AO512" s="71"/>
      <c r="AP512" s="71">
        <v>575</v>
      </c>
      <c r="AQ512" s="71">
        <v>575</v>
      </c>
      <c r="AR512" s="71">
        <v>575</v>
      </c>
      <c r="AS512" s="90">
        <v>199</v>
      </c>
      <c r="AT512" s="90">
        <v>159</v>
      </c>
      <c r="AU512" s="91">
        <v>99.9</v>
      </c>
      <c r="AW512" s="48" t="s">
        <v>67</v>
      </c>
      <c r="AX512" s="92" t="s">
        <v>253</v>
      </c>
    </row>
    <row r="515" spans="3:49" ht="15.5">
      <c r="C515" s="93"/>
      <c r="E515" s="93"/>
      <c r="G515" s="93"/>
      <c r="I515" s="93"/>
      <c r="K515" s="93"/>
      <c r="M515" s="93"/>
      <c r="O515" s="93"/>
      <c r="Q515" s="93"/>
      <c r="S515" s="93"/>
      <c r="U515" s="93"/>
      <c r="W515" s="93"/>
      <c r="Y515" s="93"/>
      <c r="AA515" s="93"/>
      <c r="AC515" s="93"/>
      <c r="AE515" s="93"/>
      <c r="AG515" s="93"/>
      <c r="AI515" s="93"/>
      <c r="AK515" s="93"/>
      <c r="AM515" s="93"/>
      <c r="AO515" s="93"/>
      <c r="AQ515" s="93"/>
      <c r="AS515" s="93"/>
      <c r="AU515" s="93"/>
      <c r="AW515" s="93"/>
    </row>
  </sheetData>
  <autoFilter ref="A12:BA512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506">
    <cfRule type="cellIs" dxfId="62" priority="33" operator="lessThan">
      <formula>F506</formula>
    </cfRule>
    <cfRule type="cellIs" dxfId="61" priority="32" operator="equal">
      <formula>0</formula>
    </cfRule>
  </conditionalFormatting>
  <conditionalFormatting sqref="H13:O14 R344:AL346 H351:I354">
    <cfRule type="cellIs" dxfId="60" priority="28" operator="lessThan">
      <formula>$G13</formula>
    </cfRule>
    <cfRule type="cellIs" dxfId="59" priority="27" operator="equal">
      <formula>$G13</formula>
    </cfRule>
  </conditionalFormatting>
  <conditionalFormatting sqref="H13:AL153 H154:I160 J162:O170 H215:O223 P237:P248 P249:Q343">
    <cfRule type="cellIs" dxfId="58" priority="30" operator="greaterThan">
      <formula>$G13</formula>
    </cfRule>
  </conditionalFormatting>
  <conditionalFormatting sqref="H13:AL153 H154:I160 J162:O170 R162:AL170 H215:O223 R215:AL223 P237:P248 P249:Q343 J344:AE346 AF344:AL446 H347:AE446">
    <cfRule type="cellIs" dxfId="57" priority="26" operator="lessThan">
      <formula>$G13</formula>
    </cfRule>
  </conditionalFormatting>
  <conditionalFormatting sqref="H436:AL502">
    <cfRule type="cellIs" dxfId="56" priority="13" operator="equal">
      <formula>$G436</formula>
    </cfRule>
  </conditionalFormatting>
  <conditionalFormatting sqref="H447:AL502">
    <cfRule type="cellIs" dxfId="55" priority="14" operator="lessThan">
      <formula>$G447</formula>
    </cfRule>
  </conditionalFormatting>
  <conditionalFormatting sqref="H453:AL502">
    <cfRule type="cellIs" dxfId="54" priority="15" operator="greaterThan">
      <formula>$G453</formula>
    </cfRule>
  </conditionalFormatting>
  <conditionalFormatting sqref="J249:N251 H297:N313 H314:I318 J314:N342 F503:F505">
    <cfRule type="expression" dxfId="53" priority="31" stopIfTrue="1">
      <formula>#REF!&lt;&gt;#REF!</formula>
    </cfRule>
  </conditionalFormatting>
  <conditionalFormatting sqref="J254:N258 J261:N291">
    <cfRule type="expression" dxfId="52" priority="24" stopIfTrue="1">
      <formula>#REF!&lt;&gt;#REF!</formula>
    </cfRule>
  </conditionalFormatting>
  <conditionalFormatting sqref="J344:AE346 AF344:AL435 H347:AE435 R162:AL170 R215:AL223 H436:AL452">
    <cfRule type="cellIs" dxfId="51" priority="29" operator="greaterThan">
      <formula>$G162</formula>
    </cfRule>
  </conditionalFormatting>
  <conditionalFormatting sqref="J251:AL253 J258:AL264 F507:G512">
    <cfRule type="expression" dxfId="50" priority="23" stopIfTrue="1">
      <formula>#REF!&lt;&gt;#REF!</formula>
    </cfRule>
  </conditionalFormatting>
  <conditionalFormatting sqref="P161:Q236">
    <cfRule type="cellIs" dxfId="49" priority="17" operator="equal">
      <formula>$G161</formula>
    </cfRule>
    <cfRule type="cellIs" dxfId="48" priority="18" operator="lessThan">
      <formula>$G161</formula>
    </cfRule>
    <cfRule type="cellIs" dxfId="47" priority="19" operator="greaterThan">
      <formula>$G161</formula>
    </cfRule>
  </conditionalFormatting>
  <conditionalFormatting sqref="P249:Q343 H13:AL153 H154:I160 J162:O170 R162:AL170 H215:O223 R215:AL223 P237:P248 J344:AE346 AF344:AL435 H347:AE435">
    <cfRule type="cellIs" dxfId="46" priority="25" operator="equal">
      <formula>$G13</formula>
    </cfRule>
  </conditionalFormatting>
  <conditionalFormatting sqref="R271:S274">
    <cfRule type="cellIs" dxfId="45" priority="9" operator="greaterThan">
      <formula>$G271</formula>
    </cfRule>
    <cfRule type="cellIs" dxfId="44" priority="8" operator="lessThan">
      <formula>$G271</formula>
    </cfRule>
    <cfRule type="cellIs" dxfId="43" priority="7" operator="equal">
      <formula>$G271</formula>
    </cfRule>
  </conditionalFormatting>
  <conditionalFormatting sqref="R187:AA187">
    <cfRule type="cellIs" dxfId="42" priority="20" operator="equal">
      <formula>$G187</formula>
    </cfRule>
    <cfRule type="cellIs" dxfId="41" priority="21" operator="lessThan">
      <formula>$G187</formula>
    </cfRule>
    <cfRule type="cellIs" dxfId="40" priority="22" operator="greaterThan">
      <formula>$G187</formula>
    </cfRule>
  </conditionalFormatting>
  <conditionalFormatting sqref="S265:S270">
    <cfRule type="cellIs" dxfId="39" priority="12" operator="greaterThan">
      <formula>$G265</formula>
    </cfRule>
    <cfRule type="cellIs" dxfId="38" priority="11" operator="lessThan">
      <formula>$G265</formula>
    </cfRule>
    <cfRule type="cellIs" dxfId="37" priority="10" operator="equal">
      <formula>$G265</formula>
    </cfRule>
  </conditionalFormatting>
  <conditionalFormatting sqref="S279:S286">
    <cfRule type="cellIs" dxfId="36" priority="2" operator="lessThan">
      <formula>$G279</formula>
    </cfRule>
    <cfRule type="cellIs" dxfId="35" priority="3" operator="greaterThan">
      <formula>$G279</formula>
    </cfRule>
    <cfRule type="cellIs" dxfId="34" priority="1" operator="equal">
      <formula>$G279</formula>
    </cfRule>
  </conditionalFormatting>
  <conditionalFormatting sqref="T213:W214">
    <cfRule type="cellIs" dxfId="33" priority="4" operator="equal">
      <formula>$G213</formula>
    </cfRule>
    <cfRule type="cellIs" dxfId="32" priority="6" operator="greaterThan">
      <formula>$G213</formula>
    </cfRule>
    <cfRule type="cellIs" dxfId="31" priority="5" operator="lessThan">
      <formula>$G213</formula>
    </cfRule>
  </conditionalFormatting>
  <conditionalFormatting sqref="AV344:AV502">
    <cfRule type="expression" dxfId="30" priority="16" stopIfTrue="1">
      <formula>#REF!&lt;&gt;#REF!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71EA-87E7-4BAF-A516-26B787AD8CBF}">
  <dimension ref="B1:AN623"/>
  <sheetViews>
    <sheetView showGridLines="0" zoomScale="84" zoomScaleNormal="80" workbookViewId="0">
      <pane xSplit="4" ySplit="7" topLeftCell="AF21" activePane="bottomRight" state="frozen"/>
      <selection activeCell="D483" sqref="D483"/>
      <selection pane="topRight" activeCell="D483" sqref="D483"/>
      <selection pane="bottomLeft" activeCell="D483" sqref="D483"/>
      <selection pane="bottomRight" activeCell="AB26" sqref="AB26:AL26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94" t="s">
        <v>740</v>
      </c>
    </row>
    <row r="3" spans="2:40">
      <c r="B3" t="s">
        <v>5</v>
      </c>
      <c r="C3" t="s">
        <v>6</v>
      </c>
    </row>
    <row r="4" spans="2:40">
      <c r="B4" s="95" t="s">
        <v>741</v>
      </c>
    </row>
    <row r="5" spans="2:40">
      <c r="B5" s="96" t="s">
        <v>742</v>
      </c>
    </row>
    <row r="6" spans="2:40" ht="16" thickBot="1">
      <c r="C6" t="s">
        <v>7</v>
      </c>
      <c r="D6" s="21">
        <f>REV!D11</f>
        <v>46325</v>
      </c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</row>
    <row r="7" spans="2:40" ht="93.5" thickBot="1">
      <c r="B7" s="97" t="s">
        <v>12</v>
      </c>
      <c r="C7" s="97" t="s">
        <v>13</v>
      </c>
      <c r="D7" s="98" t="s">
        <v>14</v>
      </c>
      <c r="E7" s="99" t="s">
        <v>15</v>
      </c>
      <c r="F7" s="26" t="s">
        <v>16</v>
      </c>
      <c r="G7" s="27" t="s">
        <v>17</v>
      </c>
      <c r="H7" s="28" t="s">
        <v>18</v>
      </c>
      <c r="I7" s="29" t="s">
        <v>19</v>
      </c>
      <c r="J7" s="30" t="s">
        <v>20</v>
      </c>
      <c r="K7" s="30" t="s">
        <v>21</v>
      </c>
      <c r="L7" s="30" t="s">
        <v>22</v>
      </c>
      <c r="M7" s="100" t="s">
        <v>23</v>
      </c>
      <c r="N7" s="101" t="s">
        <v>24</v>
      </c>
      <c r="O7" s="31" t="s">
        <v>25</v>
      </c>
      <c r="P7" s="31" t="s">
        <v>26</v>
      </c>
      <c r="Q7" s="31" t="s">
        <v>27</v>
      </c>
      <c r="R7" s="102" t="s">
        <v>28</v>
      </c>
      <c r="S7" s="102" t="s">
        <v>29</v>
      </c>
      <c r="T7" s="102" t="s">
        <v>30</v>
      </c>
      <c r="U7" s="102" t="s">
        <v>31</v>
      </c>
      <c r="V7" s="32" t="s">
        <v>32</v>
      </c>
      <c r="W7" s="32" t="s">
        <v>33</v>
      </c>
      <c r="X7" s="32" t="s">
        <v>34</v>
      </c>
      <c r="Y7" s="32" t="s">
        <v>35</v>
      </c>
      <c r="Z7" s="32" t="s">
        <v>36</v>
      </c>
      <c r="AA7" s="32" t="s">
        <v>37</v>
      </c>
      <c r="AB7" s="33" t="s">
        <v>38</v>
      </c>
      <c r="AC7" s="33" t="s">
        <v>39</v>
      </c>
      <c r="AD7" s="33" t="s">
        <v>40</v>
      </c>
      <c r="AE7" s="33" t="s">
        <v>41</v>
      </c>
      <c r="AF7" s="33" t="s">
        <v>42</v>
      </c>
      <c r="AG7" s="33" t="s">
        <v>43</v>
      </c>
      <c r="AH7" s="33" t="s">
        <v>44</v>
      </c>
      <c r="AI7" s="33" t="s">
        <v>45</v>
      </c>
      <c r="AJ7" s="33" t="s">
        <v>46</v>
      </c>
      <c r="AK7" s="33" t="s">
        <v>47</v>
      </c>
      <c r="AL7" s="33" t="s">
        <v>48</v>
      </c>
      <c r="AM7" s="103" t="s">
        <v>58</v>
      </c>
      <c r="AN7" s="104"/>
    </row>
    <row r="8" spans="2:40" ht="15.5">
      <c r="B8" s="105" t="s">
        <v>743</v>
      </c>
      <c r="C8" s="106">
        <v>4014927</v>
      </c>
      <c r="D8" s="107" t="s">
        <v>744</v>
      </c>
      <c r="E8" s="107" t="s">
        <v>745</v>
      </c>
      <c r="F8" s="108">
        <v>199</v>
      </c>
      <c r="G8" s="108">
        <v>199</v>
      </c>
      <c r="H8" s="108"/>
      <c r="I8" s="108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10"/>
      <c r="W8" s="110"/>
      <c r="X8" s="110"/>
      <c r="Y8" s="110"/>
      <c r="Z8" s="110"/>
      <c r="AA8" s="110"/>
      <c r="AB8" s="110">
        <v>169</v>
      </c>
      <c r="AC8" s="110">
        <v>169</v>
      </c>
      <c r="AD8" s="110">
        <v>169</v>
      </c>
      <c r="AE8" s="110">
        <v>169</v>
      </c>
      <c r="AF8" s="110">
        <v>169</v>
      </c>
      <c r="AG8" s="110">
        <v>169</v>
      </c>
      <c r="AH8" s="110">
        <v>169</v>
      </c>
      <c r="AI8" s="110">
        <v>169</v>
      </c>
      <c r="AJ8" s="110">
        <v>169</v>
      </c>
      <c r="AK8" s="110">
        <v>169</v>
      </c>
      <c r="AL8" s="110">
        <v>169</v>
      </c>
      <c r="AM8" s="111" t="s">
        <v>746</v>
      </c>
    </row>
    <row r="9" spans="2:40" ht="15.5">
      <c r="B9" s="105" t="s">
        <v>747</v>
      </c>
      <c r="C9" s="106">
        <v>4016500</v>
      </c>
      <c r="D9" s="107" t="s">
        <v>748</v>
      </c>
      <c r="E9" s="107" t="s">
        <v>749</v>
      </c>
      <c r="F9" s="108">
        <v>199</v>
      </c>
      <c r="G9" s="108">
        <v>199</v>
      </c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10"/>
      <c r="Z9" s="110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11" t="s">
        <v>746</v>
      </c>
    </row>
    <row r="10" spans="2:40" ht="15.5">
      <c r="B10" s="105" t="s">
        <v>750</v>
      </c>
      <c r="C10" s="106">
        <v>4017131</v>
      </c>
      <c r="D10" s="107" t="s">
        <v>751</v>
      </c>
      <c r="E10" s="107" t="s">
        <v>752</v>
      </c>
      <c r="F10" s="108">
        <v>2499</v>
      </c>
      <c r="G10" s="108">
        <v>2499</v>
      </c>
      <c r="H10" s="109">
        <v>2499</v>
      </c>
      <c r="I10" s="109">
        <v>2499</v>
      </c>
      <c r="J10" s="109">
        <v>2449</v>
      </c>
      <c r="K10" s="109">
        <v>2449</v>
      </c>
      <c r="L10" s="109">
        <v>2449</v>
      </c>
      <c r="M10" s="109">
        <v>2449</v>
      </c>
      <c r="N10" s="109">
        <v>2449</v>
      </c>
      <c r="O10" s="109">
        <v>2399</v>
      </c>
      <c r="P10" s="109">
        <v>2299</v>
      </c>
      <c r="Q10" s="109">
        <v>2099</v>
      </c>
      <c r="R10" s="109">
        <v>2399</v>
      </c>
      <c r="S10" s="109">
        <v>2299</v>
      </c>
      <c r="T10" s="109">
        <v>2099</v>
      </c>
      <c r="U10" s="109">
        <v>2099</v>
      </c>
      <c r="V10" s="109">
        <v>2099</v>
      </c>
      <c r="W10" s="109">
        <v>2099</v>
      </c>
      <c r="X10" s="109">
        <v>1999</v>
      </c>
      <c r="Y10" s="110">
        <v>1699</v>
      </c>
      <c r="Z10" s="110">
        <v>1699</v>
      </c>
      <c r="AA10" s="109">
        <v>1649</v>
      </c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11" t="s">
        <v>746</v>
      </c>
    </row>
    <row r="11" spans="2:40" ht="15.5">
      <c r="B11" s="112" t="s">
        <v>753</v>
      </c>
      <c r="C11" s="106">
        <v>4014444</v>
      </c>
      <c r="D11" s="113" t="s">
        <v>754</v>
      </c>
      <c r="E11" s="107" t="s">
        <v>755</v>
      </c>
      <c r="F11" s="110">
        <v>799</v>
      </c>
      <c r="G11" s="110">
        <v>799</v>
      </c>
      <c r="H11" s="109">
        <v>799</v>
      </c>
      <c r="I11" s="109">
        <v>799</v>
      </c>
      <c r="J11" s="109">
        <v>749</v>
      </c>
      <c r="K11" s="109">
        <v>749</v>
      </c>
      <c r="L11" s="109">
        <v>749</v>
      </c>
      <c r="M11" s="114">
        <v>749</v>
      </c>
      <c r="N11" s="114">
        <v>749</v>
      </c>
      <c r="O11" s="109">
        <v>699</v>
      </c>
      <c r="P11" s="109">
        <v>599</v>
      </c>
      <c r="Q11" s="109">
        <v>449</v>
      </c>
      <c r="R11" s="114">
        <v>699</v>
      </c>
      <c r="S11" s="114">
        <v>599</v>
      </c>
      <c r="T11" s="114">
        <v>449</v>
      </c>
      <c r="U11" s="114">
        <v>449</v>
      </c>
      <c r="V11" s="114">
        <v>449</v>
      </c>
      <c r="W11" s="114">
        <v>449</v>
      </c>
      <c r="X11" s="114">
        <v>449</v>
      </c>
      <c r="Y11" s="114">
        <v>449</v>
      </c>
      <c r="Z11" s="114">
        <v>449</v>
      </c>
      <c r="AA11" s="114">
        <v>449</v>
      </c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1" t="s">
        <v>746</v>
      </c>
    </row>
    <row r="12" spans="2:40" ht="15.5">
      <c r="B12" s="112" t="s">
        <v>753</v>
      </c>
      <c r="C12" s="106">
        <v>4017142</v>
      </c>
      <c r="D12" s="113" t="s">
        <v>756</v>
      </c>
      <c r="E12" s="107" t="s">
        <v>757</v>
      </c>
      <c r="F12" s="110">
        <v>999</v>
      </c>
      <c r="G12" s="110">
        <v>999</v>
      </c>
      <c r="H12" s="109">
        <v>999</v>
      </c>
      <c r="I12" s="109">
        <v>999</v>
      </c>
      <c r="J12" s="109">
        <v>949</v>
      </c>
      <c r="K12" s="109">
        <v>949</v>
      </c>
      <c r="L12" s="109">
        <v>949</v>
      </c>
      <c r="M12" s="114">
        <v>949</v>
      </c>
      <c r="N12" s="114">
        <v>949</v>
      </c>
      <c r="O12" s="109">
        <v>899</v>
      </c>
      <c r="P12" s="109">
        <v>799</v>
      </c>
      <c r="Q12" s="109">
        <v>599</v>
      </c>
      <c r="R12" s="114">
        <v>899</v>
      </c>
      <c r="S12" s="114">
        <v>799</v>
      </c>
      <c r="T12" s="114">
        <v>599</v>
      </c>
      <c r="U12" s="114">
        <v>599</v>
      </c>
      <c r="V12" s="114">
        <v>599</v>
      </c>
      <c r="W12" s="114">
        <v>599</v>
      </c>
      <c r="X12" s="114">
        <v>549</v>
      </c>
      <c r="Y12" s="114">
        <v>549</v>
      </c>
      <c r="Z12" s="114">
        <v>549</v>
      </c>
      <c r="AA12" s="114">
        <v>549</v>
      </c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1" t="s">
        <v>746</v>
      </c>
    </row>
    <row r="13" spans="2:40" ht="15.5">
      <c r="B13" s="112" t="s">
        <v>753</v>
      </c>
      <c r="C13" s="106">
        <v>4014958</v>
      </c>
      <c r="D13" s="105" t="s">
        <v>758</v>
      </c>
      <c r="E13" s="107" t="s">
        <v>759</v>
      </c>
      <c r="F13" s="108">
        <v>299</v>
      </c>
      <c r="G13" s="108">
        <v>399</v>
      </c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1" t="s">
        <v>746</v>
      </c>
    </row>
    <row r="14" spans="2:40" ht="15.5">
      <c r="B14" s="112" t="s">
        <v>760</v>
      </c>
      <c r="C14" s="106">
        <v>4017062</v>
      </c>
      <c r="D14" s="115" t="s">
        <v>761</v>
      </c>
      <c r="E14" s="107" t="s">
        <v>762</v>
      </c>
      <c r="F14" s="116">
        <v>699</v>
      </c>
      <c r="G14" s="117">
        <v>899</v>
      </c>
      <c r="H14" s="116">
        <v>699</v>
      </c>
      <c r="I14" s="116">
        <v>699</v>
      </c>
      <c r="J14" s="118">
        <v>599</v>
      </c>
      <c r="K14" s="118">
        <v>599</v>
      </c>
      <c r="L14" s="118">
        <v>599</v>
      </c>
      <c r="M14" s="118">
        <v>599</v>
      </c>
      <c r="N14" s="118">
        <v>599</v>
      </c>
      <c r="O14" s="118">
        <v>599</v>
      </c>
      <c r="P14" s="118">
        <v>599</v>
      </c>
      <c r="Q14" s="118">
        <v>349</v>
      </c>
      <c r="R14" s="118">
        <v>599</v>
      </c>
      <c r="S14" s="118">
        <v>499</v>
      </c>
      <c r="T14" s="118">
        <v>349</v>
      </c>
      <c r="U14" s="118">
        <v>349</v>
      </c>
      <c r="V14" s="118">
        <v>349</v>
      </c>
      <c r="W14" s="118">
        <v>349</v>
      </c>
      <c r="X14" s="118">
        <v>349</v>
      </c>
      <c r="Y14" s="118">
        <v>349</v>
      </c>
      <c r="Z14" s="118">
        <v>349</v>
      </c>
      <c r="AA14" s="118">
        <v>349</v>
      </c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1" t="s">
        <v>746</v>
      </c>
    </row>
    <row r="15" spans="2:40" ht="15.5">
      <c r="B15" s="112" t="s">
        <v>753</v>
      </c>
      <c r="C15" s="106">
        <v>4016330</v>
      </c>
      <c r="D15" s="105" t="s">
        <v>763</v>
      </c>
      <c r="E15" s="107" t="s">
        <v>764</v>
      </c>
      <c r="F15" s="108">
        <v>199</v>
      </c>
      <c r="G15" s="108">
        <v>199</v>
      </c>
      <c r="H15" s="108">
        <v>199</v>
      </c>
      <c r="I15" s="108">
        <v>199</v>
      </c>
      <c r="J15" s="109">
        <v>149</v>
      </c>
      <c r="K15" s="109">
        <v>149</v>
      </c>
      <c r="L15" s="108">
        <v>149</v>
      </c>
      <c r="M15" s="109">
        <v>149</v>
      </c>
      <c r="N15" s="109">
        <v>149</v>
      </c>
      <c r="O15" s="108">
        <v>149</v>
      </c>
      <c r="P15" s="108">
        <v>149</v>
      </c>
      <c r="Q15" s="109">
        <v>149</v>
      </c>
      <c r="R15" s="108">
        <v>149</v>
      </c>
      <c r="S15" s="108">
        <v>149</v>
      </c>
      <c r="T15" s="109">
        <v>149</v>
      </c>
      <c r="U15" s="109">
        <v>149</v>
      </c>
      <c r="V15" s="109">
        <v>149</v>
      </c>
      <c r="W15" s="109">
        <v>149</v>
      </c>
      <c r="X15" s="109">
        <v>149</v>
      </c>
      <c r="Y15" s="109">
        <v>149</v>
      </c>
      <c r="Z15" s="109">
        <v>149</v>
      </c>
      <c r="AA15" s="109">
        <v>149</v>
      </c>
      <c r="AB15" s="109">
        <v>149</v>
      </c>
      <c r="AC15" s="109">
        <v>149</v>
      </c>
      <c r="AD15" s="109">
        <v>149</v>
      </c>
      <c r="AE15" s="109">
        <v>149</v>
      </c>
      <c r="AF15" s="109">
        <v>149</v>
      </c>
      <c r="AG15" s="109">
        <v>149</v>
      </c>
      <c r="AH15" s="109">
        <v>149</v>
      </c>
      <c r="AI15" s="109">
        <v>149</v>
      </c>
      <c r="AJ15" s="109">
        <v>149</v>
      </c>
      <c r="AK15" s="109">
        <v>149</v>
      </c>
      <c r="AL15" s="109">
        <v>149</v>
      </c>
      <c r="AM15" s="111" t="s">
        <v>746</v>
      </c>
    </row>
    <row r="16" spans="2:40" ht="15.5">
      <c r="B16" s="112" t="s">
        <v>765</v>
      </c>
      <c r="C16" s="106">
        <v>4018060</v>
      </c>
      <c r="D16" s="119" t="s">
        <v>766</v>
      </c>
      <c r="E16" s="107" t="s">
        <v>767</v>
      </c>
      <c r="F16" s="116">
        <v>299</v>
      </c>
      <c r="G16" s="117">
        <v>299</v>
      </c>
      <c r="H16" s="116">
        <v>299</v>
      </c>
      <c r="I16" s="116">
        <v>299</v>
      </c>
      <c r="J16" s="118">
        <v>199</v>
      </c>
      <c r="K16" s="118">
        <v>199</v>
      </c>
      <c r="L16" s="118">
        <v>199</v>
      </c>
      <c r="M16" s="118">
        <v>199</v>
      </c>
      <c r="N16" s="118">
        <v>199</v>
      </c>
      <c r="O16" s="118">
        <v>199</v>
      </c>
      <c r="P16" s="118">
        <v>199</v>
      </c>
      <c r="Q16" s="118">
        <v>99</v>
      </c>
      <c r="R16" s="118">
        <v>199</v>
      </c>
      <c r="S16" s="118">
        <v>99</v>
      </c>
      <c r="T16" s="118">
        <v>99</v>
      </c>
      <c r="U16" s="118">
        <v>99</v>
      </c>
      <c r="V16" s="118">
        <v>99</v>
      </c>
      <c r="W16" s="118">
        <v>99</v>
      </c>
      <c r="X16" s="118">
        <v>99</v>
      </c>
      <c r="Y16" s="118">
        <v>99</v>
      </c>
      <c r="Z16" s="118">
        <v>99</v>
      </c>
      <c r="AA16" s="118">
        <v>99</v>
      </c>
      <c r="AB16" s="118">
        <v>199</v>
      </c>
      <c r="AC16" s="118">
        <v>199</v>
      </c>
      <c r="AD16" s="118">
        <v>199</v>
      </c>
      <c r="AE16" s="118">
        <v>199</v>
      </c>
      <c r="AF16" s="118">
        <v>199</v>
      </c>
      <c r="AG16" s="118">
        <v>199</v>
      </c>
      <c r="AH16" s="118">
        <v>199</v>
      </c>
      <c r="AI16" s="118">
        <v>99</v>
      </c>
      <c r="AJ16" s="118">
        <v>99</v>
      </c>
      <c r="AK16" s="118">
        <v>99</v>
      </c>
      <c r="AL16" s="118">
        <v>99</v>
      </c>
      <c r="AM16" s="111" t="s">
        <v>746</v>
      </c>
    </row>
    <row r="17" spans="2:39" ht="15.5">
      <c r="B17" s="120" t="s">
        <v>753</v>
      </c>
      <c r="C17" s="121">
        <v>4015270</v>
      </c>
      <c r="D17" s="122" t="s">
        <v>768</v>
      </c>
      <c r="E17" s="107" t="s">
        <v>769</v>
      </c>
      <c r="F17" s="123">
        <v>1999</v>
      </c>
      <c r="G17" s="123">
        <v>1999</v>
      </c>
      <c r="H17" s="124">
        <v>1999</v>
      </c>
      <c r="I17" s="124">
        <v>1999</v>
      </c>
      <c r="J17" s="124">
        <v>1949</v>
      </c>
      <c r="K17" s="124">
        <v>1949</v>
      </c>
      <c r="L17" s="124">
        <v>1949</v>
      </c>
      <c r="M17" s="125">
        <v>1949</v>
      </c>
      <c r="N17" s="125">
        <v>1949</v>
      </c>
      <c r="O17" s="124">
        <v>1899</v>
      </c>
      <c r="P17" s="124">
        <v>1799</v>
      </c>
      <c r="Q17" s="124">
        <v>1599</v>
      </c>
      <c r="R17" s="125">
        <v>1899</v>
      </c>
      <c r="S17" s="125">
        <v>1799</v>
      </c>
      <c r="T17" s="125">
        <v>1599</v>
      </c>
      <c r="U17" s="125">
        <v>1599</v>
      </c>
      <c r="V17" s="125">
        <v>1599</v>
      </c>
      <c r="W17" s="125">
        <v>1599</v>
      </c>
      <c r="X17" s="125">
        <v>1499</v>
      </c>
      <c r="Y17" s="125">
        <v>1199</v>
      </c>
      <c r="Z17" s="125">
        <v>1199</v>
      </c>
      <c r="AA17" s="125">
        <v>1149</v>
      </c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11" t="s">
        <v>746</v>
      </c>
    </row>
    <row r="18" spans="2:39" ht="15.5">
      <c r="B18" s="120" t="s">
        <v>753</v>
      </c>
      <c r="C18" s="121">
        <v>4015688</v>
      </c>
      <c r="D18" s="122" t="s">
        <v>768</v>
      </c>
      <c r="E18" s="107" t="s">
        <v>770</v>
      </c>
      <c r="F18" s="123">
        <v>1999</v>
      </c>
      <c r="G18" s="123">
        <v>1999</v>
      </c>
      <c r="H18" s="124">
        <v>1999</v>
      </c>
      <c r="I18" s="124">
        <v>1999</v>
      </c>
      <c r="J18" s="124">
        <v>1949</v>
      </c>
      <c r="K18" s="124">
        <v>1949</v>
      </c>
      <c r="L18" s="124">
        <v>1949</v>
      </c>
      <c r="M18" s="125">
        <v>1949</v>
      </c>
      <c r="N18" s="125">
        <v>1949</v>
      </c>
      <c r="O18" s="124">
        <v>1899</v>
      </c>
      <c r="P18" s="124">
        <v>1799</v>
      </c>
      <c r="Q18" s="124">
        <v>1599</v>
      </c>
      <c r="R18" s="125">
        <v>1899</v>
      </c>
      <c r="S18" s="125">
        <v>1799</v>
      </c>
      <c r="T18" s="125">
        <v>1599</v>
      </c>
      <c r="U18" s="125">
        <v>1599</v>
      </c>
      <c r="V18" s="125">
        <v>1599</v>
      </c>
      <c r="W18" s="125">
        <v>1599</v>
      </c>
      <c r="X18" s="125">
        <v>1499</v>
      </c>
      <c r="Y18" s="125">
        <v>1199</v>
      </c>
      <c r="Z18" s="125">
        <v>1199</v>
      </c>
      <c r="AA18" s="125">
        <v>1149</v>
      </c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11" t="s">
        <v>746</v>
      </c>
    </row>
    <row r="19" spans="2:39" ht="15.5">
      <c r="B19" s="120" t="s">
        <v>750</v>
      </c>
      <c r="C19" s="121">
        <v>4017260</v>
      </c>
      <c r="D19" s="126" t="s">
        <v>771</v>
      </c>
      <c r="E19" s="107" t="s">
        <v>772</v>
      </c>
      <c r="F19" s="116">
        <v>2499</v>
      </c>
      <c r="G19" s="117">
        <v>1999</v>
      </c>
      <c r="H19" s="116">
        <v>2499</v>
      </c>
      <c r="I19" s="116">
        <v>2499</v>
      </c>
      <c r="J19" s="118">
        <v>2399</v>
      </c>
      <c r="K19" s="118">
        <v>2399</v>
      </c>
      <c r="L19" s="118">
        <v>2399</v>
      </c>
      <c r="M19" s="118">
        <v>2399</v>
      </c>
      <c r="N19" s="118">
        <v>2399</v>
      </c>
      <c r="O19" s="118">
        <v>2399</v>
      </c>
      <c r="P19" s="118">
        <v>2399</v>
      </c>
      <c r="Q19" s="118">
        <v>1999</v>
      </c>
      <c r="R19" s="118">
        <v>2399</v>
      </c>
      <c r="S19" s="118">
        <v>2299</v>
      </c>
      <c r="T19" s="118">
        <v>1999</v>
      </c>
      <c r="U19" s="118">
        <v>1999</v>
      </c>
      <c r="V19" s="118">
        <v>1799</v>
      </c>
      <c r="W19" s="118">
        <v>1699</v>
      </c>
      <c r="X19" s="118">
        <v>1699</v>
      </c>
      <c r="Y19" s="118">
        <v>999</v>
      </c>
      <c r="Z19" s="118">
        <v>999</v>
      </c>
      <c r="AA19" s="118">
        <v>999</v>
      </c>
      <c r="AB19" s="118">
        <v>2399</v>
      </c>
      <c r="AC19" s="118">
        <v>2399</v>
      </c>
      <c r="AD19" s="118">
        <v>2399</v>
      </c>
      <c r="AE19" s="118">
        <v>2399</v>
      </c>
      <c r="AF19" s="118">
        <v>2399</v>
      </c>
      <c r="AG19" s="118">
        <v>2399</v>
      </c>
      <c r="AH19" s="118">
        <v>2399</v>
      </c>
      <c r="AI19" s="118">
        <v>1999</v>
      </c>
      <c r="AJ19" s="118">
        <v>1999</v>
      </c>
      <c r="AK19" s="118">
        <v>1999</v>
      </c>
      <c r="AL19" s="118">
        <v>999</v>
      </c>
      <c r="AM19" s="111" t="s">
        <v>746</v>
      </c>
    </row>
    <row r="20" spans="2:39" ht="15.5">
      <c r="B20" s="120" t="s">
        <v>750</v>
      </c>
      <c r="C20" s="121">
        <v>4018025</v>
      </c>
      <c r="D20" s="126" t="s">
        <v>771</v>
      </c>
      <c r="E20" s="107" t="s">
        <v>773</v>
      </c>
      <c r="F20" s="116">
        <v>2499</v>
      </c>
      <c r="G20" s="117">
        <v>1999</v>
      </c>
      <c r="H20" s="116">
        <v>2499</v>
      </c>
      <c r="I20" s="116">
        <v>2499</v>
      </c>
      <c r="J20" s="118">
        <v>2399</v>
      </c>
      <c r="K20" s="118">
        <v>2399</v>
      </c>
      <c r="L20" s="118">
        <v>2399</v>
      </c>
      <c r="M20" s="118">
        <v>2399</v>
      </c>
      <c r="N20" s="118">
        <v>2399</v>
      </c>
      <c r="O20" s="118">
        <v>2399</v>
      </c>
      <c r="P20" s="118">
        <v>2399</v>
      </c>
      <c r="Q20" s="118">
        <v>1999</v>
      </c>
      <c r="R20" s="118">
        <v>2399</v>
      </c>
      <c r="S20" s="118">
        <v>2299</v>
      </c>
      <c r="T20" s="118">
        <v>1999</v>
      </c>
      <c r="U20" s="118">
        <v>1999</v>
      </c>
      <c r="V20" s="118">
        <v>1799</v>
      </c>
      <c r="W20" s="118">
        <v>1699</v>
      </c>
      <c r="X20" s="118">
        <v>1699</v>
      </c>
      <c r="Y20" s="118">
        <v>999</v>
      </c>
      <c r="Z20" s="118">
        <v>999</v>
      </c>
      <c r="AA20" s="118">
        <v>999</v>
      </c>
      <c r="AB20" s="118">
        <v>2399</v>
      </c>
      <c r="AC20" s="118">
        <v>2399</v>
      </c>
      <c r="AD20" s="118">
        <v>2399</v>
      </c>
      <c r="AE20" s="118">
        <v>2399</v>
      </c>
      <c r="AF20" s="118">
        <v>2399</v>
      </c>
      <c r="AG20" s="118">
        <v>2399</v>
      </c>
      <c r="AH20" s="118">
        <v>2399</v>
      </c>
      <c r="AI20" s="118">
        <v>1999</v>
      </c>
      <c r="AJ20" s="118">
        <v>1999</v>
      </c>
      <c r="AK20" s="118">
        <v>1999</v>
      </c>
      <c r="AL20" s="118">
        <v>999</v>
      </c>
      <c r="AM20" s="111" t="s">
        <v>746</v>
      </c>
    </row>
    <row r="21" spans="2:39" ht="15.5">
      <c r="B21" s="122" t="s">
        <v>760</v>
      </c>
      <c r="C21" s="121">
        <v>4016358</v>
      </c>
      <c r="D21" s="127" t="s">
        <v>774</v>
      </c>
      <c r="E21" s="107" t="s">
        <v>775</v>
      </c>
      <c r="F21" s="116">
        <v>349</v>
      </c>
      <c r="G21" s="117">
        <v>399</v>
      </c>
      <c r="H21" s="116">
        <v>349</v>
      </c>
      <c r="I21" s="116">
        <v>349</v>
      </c>
      <c r="J21" s="118">
        <v>249</v>
      </c>
      <c r="K21" s="118">
        <v>249</v>
      </c>
      <c r="L21" s="118">
        <v>249</v>
      </c>
      <c r="M21" s="118">
        <v>249</v>
      </c>
      <c r="N21" s="118">
        <v>249</v>
      </c>
      <c r="O21" s="118">
        <v>249</v>
      </c>
      <c r="P21" s="118">
        <v>249</v>
      </c>
      <c r="Q21" s="118">
        <v>169</v>
      </c>
      <c r="R21" s="118">
        <v>249</v>
      </c>
      <c r="S21" s="118">
        <v>169</v>
      </c>
      <c r="T21" s="118">
        <v>169</v>
      </c>
      <c r="U21" s="118">
        <v>169</v>
      </c>
      <c r="V21" s="118">
        <v>169</v>
      </c>
      <c r="W21" s="118">
        <v>169</v>
      </c>
      <c r="X21" s="118">
        <v>169</v>
      </c>
      <c r="Y21" s="118">
        <v>169</v>
      </c>
      <c r="Z21" s="118">
        <v>169</v>
      </c>
      <c r="AA21" s="118">
        <v>169</v>
      </c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11" t="s">
        <v>746</v>
      </c>
    </row>
    <row r="22" spans="2:39" ht="15.5">
      <c r="B22" s="120" t="s">
        <v>753</v>
      </c>
      <c r="C22" s="121">
        <v>4016341</v>
      </c>
      <c r="D22" s="122" t="s">
        <v>776</v>
      </c>
      <c r="E22" s="107" t="s">
        <v>777</v>
      </c>
      <c r="F22" s="123">
        <v>1199</v>
      </c>
      <c r="G22" s="123">
        <v>1199</v>
      </c>
      <c r="H22" s="124"/>
      <c r="I22" s="124"/>
      <c r="J22" s="109"/>
      <c r="K22" s="109"/>
      <c r="L22" s="109"/>
      <c r="M22" s="125"/>
      <c r="N22" s="125"/>
      <c r="O22" s="109"/>
      <c r="P22" s="109"/>
      <c r="Q22" s="109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11" t="s">
        <v>746</v>
      </c>
    </row>
    <row r="23" spans="2:39" ht="15.5">
      <c r="B23" s="120" t="s">
        <v>753</v>
      </c>
      <c r="C23" s="121">
        <v>4015273</v>
      </c>
      <c r="D23" s="122" t="s">
        <v>776</v>
      </c>
      <c r="E23" s="107" t="s">
        <v>778</v>
      </c>
      <c r="F23" s="123">
        <v>1199</v>
      </c>
      <c r="G23" s="123">
        <v>1199</v>
      </c>
      <c r="H23" s="124"/>
      <c r="I23" s="124"/>
      <c r="J23" s="109"/>
      <c r="K23" s="109"/>
      <c r="L23" s="109"/>
      <c r="M23" s="125"/>
      <c r="N23" s="125"/>
      <c r="O23" s="109"/>
      <c r="P23" s="109"/>
      <c r="Q23" s="109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11" t="s">
        <v>746</v>
      </c>
    </row>
    <row r="24" spans="2:39" ht="15.5">
      <c r="B24" s="120" t="s">
        <v>750</v>
      </c>
      <c r="C24" s="121">
        <v>4017944</v>
      </c>
      <c r="D24" s="126" t="s">
        <v>779</v>
      </c>
      <c r="E24" s="107" t="s">
        <v>780</v>
      </c>
      <c r="F24" s="116">
        <v>1999</v>
      </c>
      <c r="G24" s="117">
        <v>1899</v>
      </c>
      <c r="H24" s="116">
        <v>1999</v>
      </c>
      <c r="I24" s="116">
        <v>1999</v>
      </c>
      <c r="J24" s="118">
        <v>1899</v>
      </c>
      <c r="K24" s="118">
        <v>1899</v>
      </c>
      <c r="L24" s="118">
        <v>1899</v>
      </c>
      <c r="M24" s="118">
        <v>1899</v>
      </c>
      <c r="N24" s="118">
        <v>1899</v>
      </c>
      <c r="O24" s="118">
        <v>1899</v>
      </c>
      <c r="P24" s="118">
        <v>1899</v>
      </c>
      <c r="Q24" s="118">
        <v>1799</v>
      </c>
      <c r="R24" s="118">
        <v>1899</v>
      </c>
      <c r="S24" s="118">
        <v>1799</v>
      </c>
      <c r="T24" s="118">
        <v>1499</v>
      </c>
      <c r="U24" s="118">
        <v>1299</v>
      </c>
      <c r="V24" s="118">
        <v>1299</v>
      </c>
      <c r="W24" s="118">
        <v>1199</v>
      </c>
      <c r="X24" s="118">
        <v>1199</v>
      </c>
      <c r="Y24" s="118">
        <v>999</v>
      </c>
      <c r="Z24" s="118">
        <v>999</v>
      </c>
      <c r="AA24" s="118">
        <v>999</v>
      </c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11" t="s">
        <v>746</v>
      </c>
    </row>
    <row r="25" spans="2:39" ht="15.5">
      <c r="B25" s="120" t="s">
        <v>750</v>
      </c>
      <c r="C25" s="121">
        <v>4018027</v>
      </c>
      <c r="D25" s="126" t="s">
        <v>781</v>
      </c>
      <c r="E25" s="107" t="s">
        <v>782</v>
      </c>
      <c r="F25" s="116">
        <v>1299</v>
      </c>
      <c r="G25" s="123">
        <v>899</v>
      </c>
      <c r="H25" s="116">
        <v>1299</v>
      </c>
      <c r="I25" s="116">
        <v>1299</v>
      </c>
      <c r="J25" s="118">
        <v>1199</v>
      </c>
      <c r="K25" s="118">
        <v>1199</v>
      </c>
      <c r="L25" s="118">
        <v>1199</v>
      </c>
      <c r="M25" s="118">
        <v>1199</v>
      </c>
      <c r="N25" s="118">
        <v>1199</v>
      </c>
      <c r="O25" s="118">
        <v>1199</v>
      </c>
      <c r="P25" s="118">
        <v>1199</v>
      </c>
      <c r="Q25" s="118">
        <v>799</v>
      </c>
      <c r="R25" s="118">
        <v>1199</v>
      </c>
      <c r="S25" s="118">
        <v>1099</v>
      </c>
      <c r="T25" s="118">
        <v>799</v>
      </c>
      <c r="U25" s="118">
        <v>799</v>
      </c>
      <c r="V25" s="118">
        <v>649</v>
      </c>
      <c r="W25" s="118">
        <v>649</v>
      </c>
      <c r="X25" s="118">
        <v>649</v>
      </c>
      <c r="Y25" s="118">
        <v>649</v>
      </c>
      <c r="Z25" s="118">
        <v>649</v>
      </c>
      <c r="AA25" s="118">
        <v>649</v>
      </c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11" t="s">
        <v>746</v>
      </c>
    </row>
    <row r="26" spans="2:39" ht="15.5">
      <c r="B26" s="120" t="s">
        <v>753</v>
      </c>
      <c r="C26" s="121">
        <v>4017250</v>
      </c>
      <c r="D26" s="126" t="s">
        <v>783</v>
      </c>
      <c r="E26" s="107" t="s">
        <v>784</v>
      </c>
      <c r="F26" s="116">
        <v>1299</v>
      </c>
      <c r="G26" s="128">
        <v>899</v>
      </c>
      <c r="H26" s="116">
        <v>1299</v>
      </c>
      <c r="I26" s="116">
        <v>1299</v>
      </c>
      <c r="J26" s="118">
        <v>1199</v>
      </c>
      <c r="K26" s="118">
        <v>1199</v>
      </c>
      <c r="L26" s="118">
        <v>1199</v>
      </c>
      <c r="M26" s="118">
        <v>1199</v>
      </c>
      <c r="N26" s="118">
        <v>1199</v>
      </c>
      <c r="O26" s="118">
        <v>1199</v>
      </c>
      <c r="P26" s="118">
        <v>1199</v>
      </c>
      <c r="Q26" s="118">
        <v>799</v>
      </c>
      <c r="R26" s="118">
        <v>1199</v>
      </c>
      <c r="S26" s="118">
        <v>1099</v>
      </c>
      <c r="T26" s="118">
        <v>799</v>
      </c>
      <c r="U26" s="118">
        <v>799</v>
      </c>
      <c r="V26" s="118">
        <v>649</v>
      </c>
      <c r="W26" s="118">
        <v>649</v>
      </c>
      <c r="X26" s="118">
        <v>649</v>
      </c>
      <c r="Y26" s="118">
        <v>649</v>
      </c>
      <c r="Z26" s="118">
        <v>649</v>
      </c>
      <c r="AA26" s="118">
        <v>649</v>
      </c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1" t="s">
        <v>746</v>
      </c>
    </row>
    <row r="27" spans="2:39" ht="15.5">
      <c r="B27" s="120" t="s">
        <v>750</v>
      </c>
      <c r="C27" s="121">
        <v>4017581</v>
      </c>
      <c r="D27" s="122" t="s">
        <v>785</v>
      </c>
      <c r="E27" s="107" t="s">
        <v>786</v>
      </c>
      <c r="F27" s="123">
        <v>219</v>
      </c>
      <c r="G27" s="123">
        <v>219</v>
      </c>
      <c r="H27" s="123"/>
      <c r="I27" s="123"/>
      <c r="J27" s="109"/>
      <c r="K27" s="109"/>
      <c r="L27" s="109"/>
      <c r="M27" s="124"/>
      <c r="N27" s="124"/>
      <c r="O27" s="109"/>
      <c r="P27" s="109"/>
      <c r="Q27" s="109"/>
      <c r="R27" s="124"/>
      <c r="S27" s="124"/>
      <c r="T27" s="124"/>
      <c r="U27" s="124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11" t="s">
        <v>746</v>
      </c>
    </row>
    <row r="28" spans="2:39" ht="15.5">
      <c r="B28" s="122" t="s">
        <v>760</v>
      </c>
      <c r="C28" s="121">
        <v>4017638</v>
      </c>
      <c r="D28" s="127" t="s">
        <v>787</v>
      </c>
      <c r="E28" s="107" t="s">
        <v>788</v>
      </c>
      <c r="F28" s="116">
        <v>449</v>
      </c>
      <c r="G28" s="117">
        <v>549</v>
      </c>
      <c r="H28" s="116">
        <v>449</v>
      </c>
      <c r="I28" s="116">
        <v>449</v>
      </c>
      <c r="J28" s="118">
        <v>349</v>
      </c>
      <c r="K28" s="118">
        <v>349</v>
      </c>
      <c r="L28" s="118">
        <v>349</v>
      </c>
      <c r="M28" s="118">
        <v>349</v>
      </c>
      <c r="N28" s="118">
        <v>349</v>
      </c>
      <c r="O28" s="118">
        <v>349</v>
      </c>
      <c r="P28" s="118">
        <v>349</v>
      </c>
      <c r="Q28" s="118">
        <v>249</v>
      </c>
      <c r="R28" s="118">
        <v>349</v>
      </c>
      <c r="S28" s="118">
        <v>249</v>
      </c>
      <c r="T28" s="118">
        <v>219</v>
      </c>
      <c r="U28" s="118">
        <v>219</v>
      </c>
      <c r="V28" s="118">
        <v>219</v>
      </c>
      <c r="W28" s="118">
        <v>219</v>
      </c>
      <c r="X28" s="118">
        <v>219</v>
      </c>
      <c r="Y28" s="118">
        <v>219</v>
      </c>
      <c r="Z28" s="118">
        <v>219</v>
      </c>
      <c r="AA28" s="118">
        <v>219</v>
      </c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11" t="s">
        <v>746</v>
      </c>
    </row>
    <row r="29" spans="2:39" ht="15.5">
      <c r="B29" s="122" t="s">
        <v>750</v>
      </c>
      <c r="C29" s="121">
        <v>4018207</v>
      </c>
      <c r="D29" s="130" t="s">
        <v>789</v>
      </c>
      <c r="E29" s="107" t="s">
        <v>790</v>
      </c>
      <c r="F29" s="123">
        <v>2499</v>
      </c>
      <c r="G29" s="123">
        <v>2499</v>
      </c>
      <c r="H29" s="123">
        <v>2499</v>
      </c>
      <c r="I29" s="123">
        <v>2499</v>
      </c>
      <c r="J29" s="109">
        <v>2449</v>
      </c>
      <c r="K29" s="109">
        <v>2449</v>
      </c>
      <c r="L29" s="108">
        <v>2449</v>
      </c>
      <c r="M29" s="124">
        <v>2449</v>
      </c>
      <c r="N29" s="124">
        <v>2449</v>
      </c>
      <c r="O29" s="108">
        <v>2399</v>
      </c>
      <c r="P29" s="108">
        <v>2299</v>
      </c>
      <c r="Q29" s="109">
        <v>2099</v>
      </c>
      <c r="R29" s="123">
        <v>2399</v>
      </c>
      <c r="S29" s="123">
        <v>2299</v>
      </c>
      <c r="T29" s="124">
        <v>2099</v>
      </c>
      <c r="U29" s="124">
        <v>2099</v>
      </c>
      <c r="V29" s="124">
        <v>2099</v>
      </c>
      <c r="W29" s="124">
        <v>2099</v>
      </c>
      <c r="X29" s="124">
        <v>1999</v>
      </c>
      <c r="Y29" s="129">
        <v>1699</v>
      </c>
      <c r="Z29" s="129">
        <v>1699</v>
      </c>
      <c r="AA29" s="124">
        <v>1649</v>
      </c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11" t="s">
        <v>746</v>
      </c>
    </row>
    <row r="30" spans="2:39" ht="15.5">
      <c r="B30" s="120" t="s">
        <v>753</v>
      </c>
      <c r="C30" s="121">
        <v>4016351</v>
      </c>
      <c r="D30" s="122" t="s">
        <v>791</v>
      </c>
      <c r="E30" s="130" t="s">
        <v>791</v>
      </c>
      <c r="F30" s="123">
        <v>799</v>
      </c>
      <c r="G30" s="123">
        <v>999</v>
      </c>
      <c r="H30" s="124">
        <v>799</v>
      </c>
      <c r="I30" s="124">
        <v>799</v>
      </c>
      <c r="J30" s="109">
        <v>749</v>
      </c>
      <c r="K30" s="109">
        <v>749</v>
      </c>
      <c r="L30" s="109">
        <v>749</v>
      </c>
      <c r="M30" s="125">
        <v>749</v>
      </c>
      <c r="N30" s="125">
        <v>749</v>
      </c>
      <c r="O30" s="109">
        <v>699</v>
      </c>
      <c r="P30" s="109">
        <v>599</v>
      </c>
      <c r="Q30" s="109">
        <v>449</v>
      </c>
      <c r="R30" s="125">
        <v>699</v>
      </c>
      <c r="S30" s="125">
        <v>599</v>
      </c>
      <c r="T30" s="125">
        <v>449</v>
      </c>
      <c r="U30" s="125">
        <v>449</v>
      </c>
      <c r="V30" s="125">
        <v>449</v>
      </c>
      <c r="W30" s="125">
        <v>449</v>
      </c>
      <c r="X30" s="125">
        <v>449</v>
      </c>
      <c r="Y30" s="125">
        <v>449</v>
      </c>
      <c r="Z30" s="125">
        <v>449</v>
      </c>
      <c r="AA30" s="125">
        <v>449</v>
      </c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11" t="s">
        <v>746</v>
      </c>
    </row>
    <row r="31" spans="2:39" ht="15.5">
      <c r="B31" s="122" t="s">
        <v>792</v>
      </c>
      <c r="C31" s="121">
        <v>4016004</v>
      </c>
      <c r="D31" s="130" t="s">
        <v>793</v>
      </c>
      <c r="E31" s="107" t="s">
        <v>794</v>
      </c>
      <c r="F31" s="123">
        <v>129</v>
      </c>
      <c r="G31" s="123">
        <v>129</v>
      </c>
      <c r="H31" s="124"/>
      <c r="I31" s="124"/>
      <c r="J31" s="109"/>
      <c r="K31" s="109"/>
      <c r="L31" s="109"/>
      <c r="M31" s="124"/>
      <c r="N31" s="124"/>
      <c r="O31" s="109"/>
      <c r="P31" s="109"/>
      <c r="Q31" s="109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11" t="s">
        <v>746</v>
      </c>
    </row>
    <row r="32" spans="2:39" ht="15.5">
      <c r="B32" s="122" t="s">
        <v>792</v>
      </c>
      <c r="C32" s="121">
        <v>4016005</v>
      </c>
      <c r="D32" s="130" t="s">
        <v>795</v>
      </c>
      <c r="E32" s="107" t="s">
        <v>796</v>
      </c>
      <c r="F32" s="123">
        <v>129</v>
      </c>
      <c r="G32" s="123">
        <v>129</v>
      </c>
      <c r="H32" s="124"/>
      <c r="I32" s="124"/>
      <c r="J32" s="109"/>
      <c r="K32" s="109"/>
      <c r="L32" s="109"/>
      <c r="M32" s="124"/>
      <c r="N32" s="124"/>
      <c r="O32" s="109"/>
      <c r="P32" s="109"/>
      <c r="Q32" s="109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11" t="s">
        <v>746</v>
      </c>
    </row>
    <row r="33" spans="2:40" ht="15.5">
      <c r="B33" s="122" t="s">
        <v>792</v>
      </c>
      <c r="C33" s="121">
        <v>4016006</v>
      </c>
      <c r="D33" s="130" t="s">
        <v>797</v>
      </c>
      <c r="E33" s="107" t="s">
        <v>798</v>
      </c>
      <c r="F33" s="123">
        <v>129</v>
      </c>
      <c r="G33" s="123">
        <v>129</v>
      </c>
      <c r="H33" s="124"/>
      <c r="I33" s="124"/>
      <c r="J33" s="109"/>
      <c r="K33" s="109"/>
      <c r="L33" s="109"/>
      <c r="M33" s="124"/>
      <c r="N33" s="124"/>
      <c r="O33" s="109"/>
      <c r="P33" s="109"/>
      <c r="Q33" s="109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11" t="s">
        <v>746</v>
      </c>
      <c r="AN33" s="131"/>
    </row>
    <row r="34" spans="2:40" ht="15.5">
      <c r="B34" s="122" t="s">
        <v>792</v>
      </c>
      <c r="C34" s="121">
        <v>4015729</v>
      </c>
      <c r="D34" s="130" t="s">
        <v>799</v>
      </c>
      <c r="E34" s="107" t="s">
        <v>800</v>
      </c>
      <c r="F34" s="123">
        <v>10</v>
      </c>
      <c r="G34" s="123">
        <v>10</v>
      </c>
      <c r="H34" s="124"/>
      <c r="I34" s="124"/>
      <c r="J34" s="109"/>
      <c r="K34" s="109"/>
      <c r="L34" s="109"/>
      <c r="M34" s="124"/>
      <c r="N34" s="124"/>
      <c r="O34" s="109"/>
      <c r="P34" s="109"/>
      <c r="Q34" s="109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11" t="s">
        <v>746</v>
      </c>
      <c r="AN34" s="131"/>
    </row>
    <row r="35" spans="2:40" ht="15.5">
      <c r="B35" s="132" t="s">
        <v>792</v>
      </c>
      <c r="C35" s="121">
        <v>4013975</v>
      </c>
      <c r="D35" s="130" t="s">
        <v>801</v>
      </c>
      <c r="E35" s="107" t="s">
        <v>802</v>
      </c>
      <c r="F35" s="123">
        <v>219</v>
      </c>
      <c r="G35" s="123">
        <v>219</v>
      </c>
      <c r="H35" s="124"/>
      <c r="I35" s="124"/>
      <c r="J35" s="124"/>
      <c r="K35" s="124"/>
      <c r="L35" s="124"/>
      <c r="M35" s="124"/>
      <c r="N35" s="124"/>
      <c r="O35" s="124"/>
      <c r="P35" s="109"/>
      <c r="Q35" s="109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11" t="s">
        <v>746</v>
      </c>
      <c r="AN35" s="131"/>
    </row>
    <row r="36" spans="2:40" ht="15.5">
      <c r="B36" s="122" t="s">
        <v>803</v>
      </c>
      <c r="C36" s="121">
        <v>4016254</v>
      </c>
      <c r="D36" s="130" t="s">
        <v>804</v>
      </c>
      <c r="E36" s="107" t="s">
        <v>805</v>
      </c>
      <c r="F36" s="123">
        <v>219</v>
      </c>
      <c r="G36" s="123">
        <v>219</v>
      </c>
      <c r="H36" s="124"/>
      <c r="I36" s="124"/>
      <c r="J36" s="124"/>
      <c r="K36" s="124"/>
      <c r="L36" s="124"/>
      <c r="M36" s="124"/>
      <c r="N36" s="124"/>
      <c r="O36" s="124"/>
      <c r="P36" s="109"/>
      <c r="Q36" s="109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11" t="s">
        <v>746</v>
      </c>
      <c r="AN36" s="131"/>
    </row>
    <row r="37" spans="2:40" ht="15.5">
      <c r="B37" s="122" t="s">
        <v>806</v>
      </c>
      <c r="C37" s="121">
        <v>4018040</v>
      </c>
      <c r="D37" s="127" t="s">
        <v>807</v>
      </c>
      <c r="E37" s="107" t="s">
        <v>808</v>
      </c>
      <c r="F37" s="133">
        <v>499</v>
      </c>
      <c r="G37" s="133">
        <v>399</v>
      </c>
      <c r="H37" s="133">
        <v>499</v>
      </c>
      <c r="I37" s="133">
        <v>499</v>
      </c>
      <c r="J37" s="133">
        <v>399</v>
      </c>
      <c r="K37" s="133">
        <v>399</v>
      </c>
      <c r="L37" s="133">
        <v>399</v>
      </c>
      <c r="M37" s="133">
        <v>399</v>
      </c>
      <c r="N37" s="133">
        <v>399</v>
      </c>
      <c r="O37" s="133">
        <v>349</v>
      </c>
      <c r="P37" s="134">
        <v>249</v>
      </c>
      <c r="Q37" s="118">
        <v>199</v>
      </c>
      <c r="R37" s="133">
        <v>349</v>
      </c>
      <c r="S37" s="118">
        <v>199</v>
      </c>
      <c r="T37" s="118">
        <v>199</v>
      </c>
      <c r="U37" s="118">
        <v>199</v>
      </c>
      <c r="V37" s="118">
        <v>199</v>
      </c>
      <c r="W37" s="118">
        <v>199</v>
      </c>
      <c r="X37" s="118">
        <v>199</v>
      </c>
      <c r="Y37" s="118">
        <v>199</v>
      </c>
      <c r="Z37" s="118">
        <v>199</v>
      </c>
      <c r="AA37" s="118">
        <v>199</v>
      </c>
      <c r="AB37" s="118">
        <v>399</v>
      </c>
      <c r="AC37" s="118">
        <v>399</v>
      </c>
      <c r="AD37" s="118">
        <v>399</v>
      </c>
      <c r="AE37" s="118">
        <v>399</v>
      </c>
      <c r="AF37" s="118">
        <v>399</v>
      </c>
      <c r="AG37" s="118">
        <v>399</v>
      </c>
      <c r="AH37" s="118">
        <v>399</v>
      </c>
      <c r="AI37" s="118">
        <v>199</v>
      </c>
      <c r="AJ37" s="118">
        <v>199</v>
      </c>
      <c r="AK37" s="118">
        <v>199</v>
      </c>
      <c r="AL37" s="118">
        <v>199</v>
      </c>
      <c r="AM37" s="111" t="s">
        <v>746</v>
      </c>
      <c r="AN37" s="131"/>
    </row>
    <row r="38" spans="2:40" ht="15.5">
      <c r="B38" s="122" t="s">
        <v>806</v>
      </c>
      <c r="C38" s="121">
        <v>4017939</v>
      </c>
      <c r="D38" s="127" t="s">
        <v>807</v>
      </c>
      <c r="E38" s="107" t="s">
        <v>809</v>
      </c>
      <c r="F38" s="133">
        <v>499</v>
      </c>
      <c r="G38" s="133">
        <v>399</v>
      </c>
      <c r="H38" s="133">
        <v>499</v>
      </c>
      <c r="I38" s="133">
        <v>499</v>
      </c>
      <c r="J38" s="133">
        <v>399</v>
      </c>
      <c r="K38" s="133">
        <v>399</v>
      </c>
      <c r="L38" s="133">
        <v>399</v>
      </c>
      <c r="M38" s="133">
        <v>399</v>
      </c>
      <c r="N38" s="133">
        <v>399</v>
      </c>
      <c r="O38" s="133">
        <v>349</v>
      </c>
      <c r="P38" s="134">
        <v>249</v>
      </c>
      <c r="Q38" s="118">
        <v>199</v>
      </c>
      <c r="R38" s="133">
        <v>349</v>
      </c>
      <c r="S38" s="118">
        <v>199</v>
      </c>
      <c r="T38" s="118">
        <v>199</v>
      </c>
      <c r="U38" s="118">
        <v>199</v>
      </c>
      <c r="V38" s="118">
        <v>199</v>
      </c>
      <c r="W38" s="118">
        <v>199</v>
      </c>
      <c r="X38" s="118">
        <v>199</v>
      </c>
      <c r="Y38" s="118">
        <v>199</v>
      </c>
      <c r="Z38" s="118">
        <v>199</v>
      </c>
      <c r="AA38" s="118">
        <v>199</v>
      </c>
      <c r="AB38" s="118">
        <v>399</v>
      </c>
      <c r="AC38" s="118">
        <v>399</v>
      </c>
      <c r="AD38" s="118">
        <v>399</v>
      </c>
      <c r="AE38" s="118">
        <v>399</v>
      </c>
      <c r="AF38" s="118">
        <v>399</v>
      </c>
      <c r="AG38" s="118">
        <v>399</v>
      </c>
      <c r="AH38" s="118">
        <v>399</v>
      </c>
      <c r="AI38" s="118">
        <v>199</v>
      </c>
      <c r="AJ38" s="118">
        <v>199</v>
      </c>
      <c r="AK38" s="118">
        <v>199</v>
      </c>
      <c r="AL38" s="118">
        <v>199</v>
      </c>
      <c r="AM38" s="111" t="s">
        <v>746</v>
      </c>
      <c r="AN38" s="131"/>
    </row>
    <row r="39" spans="2:40" ht="15.5">
      <c r="B39" s="122" t="s">
        <v>747</v>
      </c>
      <c r="C39" s="121">
        <v>4017938</v>
      </c>
      <c r="D39" s="127" t="s">
        <v>807</v>
      </c>
      <c r="E39" s="107" t="s">
        <v>810</v>
      </c>
      <c r="F39" s="133">
        <v>499</v>
      </c>
      <c r="G39" s="133">
        <v>399</v>
      </c>
      <c r="H39" s="133">
        <v>499</v>
      </c>
      <c r="I39" s="133">
        <v>499</v>
      </c>
      <c r="J39" s="133">
        <v>399</v>
      </c>
      <c r="K39" s="133">
        <v>399</v>
      </c>
      <c r="L39" s="133">
        <v>399</v>
      </c>
      <c r="M39" s="133">
        <v>399</v>
      </c>
      <c r="N39" s="133">
        <v>399</v>
      </c>
      <c r="O39" s="133">
        <v>349</v>
      </c>
      <c r="P39" s="134">
        <v>249</v>
      </c>
      <c r="Q39" s="118">
        <v>199</v>
      </c>
      <c r="R39" s="133">
        <v>349</v>
      </c>
      <c r="S39" s="118">
        <v>199</v>
      </c>
      <c r="T39" s="118">
        <v>199</v>
      </c>
      <c r="U39" s="118">
        <v>199</v>
      </c>
      <c r="V39" s="118">
        <v>199</v>
      </c>
      <c r="W39" s="118">
        <v>199</v>
      </c>
      <c r="X39" s="118">
        <v>199</v>
      </c>
      <c r="Y39" s="118">
        <v>199</v>
      </c>
      <c r="Z39" s="118">
        <v>199</v>
      </c>
      <c r="AA39" s="118">
        <v>199</v>
      </c>
      <c r="AB39" s="118">
        <v>399</v>
      </c>
      <c r="AC39" s="118">
        <v>399</v>
      </c>
      <c r="AD39" s="118">
        <v>399</v>
      </c>
      <c r="AE39" s="118">
        <v>399</v>
      </c>
      <c r="AF39" s="118">
        <v>399</v>
      </c>
      <c r="AG39" s="118">
        <v>399</v>
      </c>
      <c r="AH39" s="118">
        <v>399</v>
      </c>
      <c r="AI39" s="118">
        <v>199</v>
      </c>
      <c r="AJ39" s="118">
        <v>199</v>
      </c>
      <c r="AK39" s="118">
        <v>199</v>
      </c>
      <c r="AL39" s="118">
        <v>199</v>
      </c>
      <c r="AM39" s="111" t="s">
        <v>746</v>
      </c>
      <c r="AN39" s="131"/>
    </row>
    <row r="40" spans="2:40" ht="15.5">
      <c r="B40" s="122" t="s">
        <v>747</v>
      </c>
      <c r="C40" s="121">
        <v>4018041</v>
      </c>
      <c r="D40" s="127" t="s">
        <v>807</v>
      </c>
      <c r="E40" s="107" t="s">
        <v>811</v>
      </c>
      <c r="F40" s="133">
        <v>499</v>
      </c>
      <c r="G40" s="133">
        <v>399</v>
      </c>
      <c r="H40" s="133">
        <v>499</v>
      </c>
      <c r="I40" s="133">
        <v>499</v>
      </c>
      <c r="J40" s="133">
        <v>399</v>
      </c>
      <c r="K40" s="133">
        <v>399</v>
      </c>
      <c r="L40" s="133">
        <v>399</v>
      </c>
      <c r="M40" s="133">
        <v>399</v>
      </c>
      <c r="N40" s="133">
        <v>399</v>
      </c>
      <c r="O40" s="133">
        <v>349</v>
      </c>
      <c r="P40" s="134">
        <v>249</v>
      </c>
      <c r="Q40" s="118">
        <v>199</v>
      </c>
      <c r="R40" s="133">
        <v>349</v>
      </c>
      <c r="S40" s="118">
        <v>199</v>
      </c>
      <c r="T40" s="118">
        <v>199</v>
      </c>
      <c r="U40" s="118">
        <v>199</v>
      </c>
      <c r="V40" s="118">
        <v>199</v>
      </c>
      <c r="W40" s="118">
        <v>199</v>
      </c>
      <c r="X40" s="118">
        <v>199</v>
      </c>
      <c r="Y40" s="118">
        <v>199</v>
      </c>
      <c r="Z40" s="118">
        <v>199</v>
      </c>
      <c r="AA40" s="118">
        <v>199</v>
      </c>
      <c r="AB40" s="118">
        <v>399</v>
      </c>
      <c r="AC40" s="118">
        <v>399</v>
      </c>
      <c r="AD40" s="118">
        <v>399</v>
      </c>
      <c r="AE40" s="118">
        <v>399</v>
      </c>
      <c r="AF40" s="118">
        <v>399</v>
      </c>
      <c r="AG40" s="118">
        <v>399</v>
      </c>
      <c r="AH40" s="118">
        <v>399</v>
      </c>
      <c r="AI40" s="118">
        <v>199</v>
      </c>
      <c r="AJ40" s="118">
        <v>199</v>
      </c>
      <c r="AK40" s="118">
        <v>199</v>
      </c>
      <c r="AL40" s="118">
        <v>199</v>
      </c>
      <c r="AM40" s="111" t="s">
        <v>746</v>
      </c>
      <c r="AN40" s="131"/>
    </row>
    <row r="41" spans="2:40" ht="15.5">
      <c r="B41" s="122" t="s">
        <v>747</v>
      </c>
      <c r="C41" s="121">
        <v>4016340</v>
      </c>
      <c r="D41" s="127" t="s">
        <v>812</v>
      </c>
      <c r="E41" s="107" t="s">
        <v>813</v>
      </c>
      <c r="F41" s="133">
        <v>499</v>
      </c>
      <c r="G41" s="133">
        <v>399</v>
      </c>
      <c r="H41" s="133">
        <v>499</v>
      </c>
      <c r="I41" s="133">
        <v>499</v>
      </c>
      <c r="J41" s="133">
        <v>399</v>
      </c>
      <c r="K41" s="133">
        <v>399</v>
      </c>
      <c r="L41" s="133">
        <v>399</v>
      </c>
      <c r="M41" s="133">
        <v>399</v>
      </c>
      <c r="N41" s="133">
        <v>399</v>
      </c>
      <c r="O41" s="133">
        <v>349</v>
      </c>
      <c r="P41" s="134">
        <v>249</v>
      </c>
      <c r="Q41" s="118">
        <v>199</v>
      </c>
      <c r="R41" s="133">
        <v>349</v>
      </c>
      <c r="S41" s="118">
        <v>199</v>
      </c>
      <c r="T41" s="118">
        <v>199</v>
      </c>
      <c r="U41" s="118">
        <v>199</v>
      </c>
      <c r="V41" s="118">
        <v>199</v>
      </c>
      <c r="W41" s="118">
        <v>199</v>
      </c>
      <c r="X41" s="118">
        <v>199</v>
      </c>
      <c r="Y41" s="118">
        <v>199</v>
      </c>
      <c r="Z41" s="118">
        <v>199</v>
      </c>
      <c r="AA41" s="118">
        <v>199</v>
      </c>
      <c r="AB41" s="118">
        <v>399</v>
      </c>
      <c r="AC41" s="118">
        <v>399</v>
      </c>
      <c r="AD41" s="118">
        <v>399</v>
      </c>
      <c r="AE41" s="118">
        <v>399</v>
      </c>
      <c r="AF41" s="118">
        <v>399</v>
      </c>
      <c r="AG41" s="118">
        <v>399</v>
      </c>
      <c r="AH41" s="118">
        <v>399</v>
      </c>
      <c r="AI41" s="118">
        <v>199</v>
      </c>
      <c r="AJ41" s="118">
        <v>199</v>
      </c>
      <c r="AK41" s="118">
        <v>199</v>
      </c>
      <c r="AL41" s="118">
        <v>199</v>
      </c>
      <c r="AM41" s="111" t="s">
        <v>746</v>
      </c>
      <c r="AN41" s="131"/>
    </row>
    <row r="42" spans="2:40" ht="15.5">
      <c r="B42" s="122" t="s">
        <v>747</v>
      </c>
      <c r="C42" s="121">
        <v>4016494</v>
      </c>
      <c r="D42" s="127" t="s">
        <v>812</v>
      </c>
      <c r="E42" s="107" t="s">
        <v>814</v>
      </c>
      <c r="F42" s="133">
        <v>499</v>
      </c>
      <c r="G42" s="133">
        <v>399</v>
      </c>
      <c r="H42" s="133">
        <v>499</v>
      </c>
      <c r="I42" s="133">
        <v>499</v>
      </c>
      <c r="J42" s="133">
        <v>399</v>
      </c>
      <c r="K42" s="133">
        <v>399</v>
      </c>
      <c r="L42" s="133">
        <v>399</v>
      </c>
      <c r="M42" s="133">
        <v>399</v>
      </c>
      <c r="N42" s="133">
        <v>399</v>
      </c>
      <c r="O42" s="133">
        <v>349</v>
      </c>
      <c r="P42" s="134">
        <v>249</v>
      </c>
      <c r="Q42" s="118">
        <v>199</v>
      </c>
      <c r="R42" s="133">
        <v>349</v>
      </c>
      <c r="S42" s="118">
        <v>199</v>
      </c>
      <c r="T42" s="118">
        <v>199</v>
      </c>
      <c r="U42" s="118">
        <v>199</v>
      </c>
      <c r="V42" s="118">
        <v>199</v>
      </c>
      <c r="W42" s="118">
        <v>199</v>
      </c>
      <c r="X42" s="118">
        <v>199</v>
      </c>
      <c r="Y42" s="118">
        <v>199</v>
      </c>
      <c r="Z42" s="118">
        <v>199</v>
      </c>
      <c r="AA42" s="118">
        <v>199</v>
      </c>
      <c r="AB42" s="118">
        <v>399</v>
      </c>
      <c r="AC42" s="118">
        <v>399</v>
      </c>
      <c r="AD42" s="118">
        <v>399</v>
      </c>
      <c r="AE42" s="118">
        <v>399</v>
      </c>
      <c r="AF42" s="118">
        <v>399</v>
      </c>
      <c r="AG42" s="118">
        <v>399</v>
      </c>
      <c r="AH42" s="118">
        <v>399</v>
      </c>
      <c r="AI42" s="118">
        <v>199</v>
      </c>
      <c r="AJ42" s="118">
        <v>199</v>
      </c>
      <c r="AK42" s="118">
        <v>199</v>
      </c>
      <c r="AL42" s="118">
        <v>199</v>
      </c>
      <c r="AM42" s="111" t="s">
        <v>746</v>
      </c>
      <c r="AN42" s="131"/>
    </row>
    <row r="43" spans="2:40" ht="15.5">
      <c r="B43" s="122" t="s">
        <v>747</v>
      </c>
      <c r="C43" s="121">
        <v>4017140</v>
      </c>
      <c r="D43" s="127" t="s">
        <v>812</v>
      </c>
      <c r="E43" s="107" t="s">
        <v>815</v>
      </c>
      <c r="F43" s="133">
        <v>499</v>
      </c>
      <c r="G43" s="133">
        <v>399</v>
      </c>
      <c r="H43" s="133">
        <v>499</v>
      </c>
      <c r="I43" s="133">
        <v>499</v>
      </c>
      <c r="J43" s="133">
        <v>399</v>
      </c>
      <c r="K43" s="133">
        <v>399</v>
      </c>
      <c r="L43" s="133">
        <v>399</v>
      </c>
      <c r="M43" s="133">
        <v>399</v>
      </c>
      <c r="N43" s="133">
        <v>399</v>
      </c>
      <c r="O43" s="133">
        <v>349</v>
      </c>
      <c r="P43" s="134">
        <v>249</v>
      </c>
      <c r="Q43" s="118">
        <v>199</v>
      </c>
      <c r="R43" s="133">
        <v>349</v>
      </c>
      <c r="S43" s="118">
        <v>199</v>
      </c>
      <c r="T43" s="118">
        <v>199</v>
      </c>
      <c r="U43" s="118">
        <v>199</v>
      </c>
      <c r="V43" s="118">
        <v>199</v>
      </c>
      <c r="W43" s="118">
        <v>199</v>
      </c>
      <c r="X43" s="118">
        <v>199</v>
      </c>
      <c r="Y43" s="118">
        <v>199</v>
      </c>
      <c r="Z43" s="118">
        <v>199</v>
      </c>
      <c r="AA43" s="118">
        <v>199</v>
      </c>
      <c r="AB43" s="118">
        <v>399</v>
      </c>
      <c r="AC43" s="118">
        <v>399</v>
      </c>
      <c r="AD43" s="118">
        <v>399</v>
      </c>
      <c r="AE43" s="118">
        <v>399</v>
      </c>
      <c r="AF43" s="118">
        <v>399</v>
      </c>
      <c r="AG43" s="118">
        <v>399</v>
      </c>
      <c r="AH43" s="118">
        <v>399</v>
      </c>
      <c r="AI43" s="118">
        <v>199</v>
      </c>
      <c r="AJ43" s="118">
        <v>199</v>
      </c>
      <c r="AK43" s="118">
        <v>199</v>
      </c>
      <c r="AL43" s="118">
        <v>199</v>
      </c>
      <c r="AM43" s="111" t="s">
        <v>746</v>
      </c>
    </row>
    <row r="44" spans="2:40" ht="15.5">
      <c r="B44" s="122" t="s">
        <v>806</v>
      </c>
      <c r="C44" s="121">
        <v>4016959</v>
      </c>
      <c r="D44" s="127" t="s">
        <v>816</v>
      </c>
      <c r="E44" s="107" t="s">
        <v>817</v>
      </c>
      <c r="F44" s="133">
        <v>499</v>
      </c>
      <c r="G44" s="133">
        <v>399</v>
      </c>
      <c r="H44" s="133">
        <v>499</v>
      </c>
      <c r="I44" s="133">
        <v>499</v>
      </c>
      <c r="J44" s="133">
        <v>399</v>
      </c>
      <c r="K44" s="133">
        <v>399</v>
      </c>
      <c r="L44" s="133">
        <v>399</v>
      </c>
      <c r="M44" s="133">
        <v>399</v>
      </c>
      <c r="N44" s="133">
        <v>399</v>
      </c>
      <c r="O44" s="133">
        <v>349</v>
      </c>
      <c r="P44" s="134">
        <v>249</v>
      </c>
      <c r="Q44" s="118">
        <v>199</v>
      </c>
      <c r="R44" s="133">
        <v>349</v>
      </c>
      <c r="S44" s="118">
        <v>199</v>
      </c>
      <c r="T44" s="118">
        <v>199</v>
      </c>
      <c r="U44" s="118">
        <v>199</v>
      </c>
      <c r="V44" s="118">
        <v>199</v>
      </c>
      <c r="W44" s="118">
        <v>199</v>
      </c>
      <c r="X44" s="118">
        <v>199</v>
      </c>
      <c r="Y44" s="118">
        <v>199</v>
      </c>
      <c r="Z44" s="118">
        <v>199</v>
      </c>
      <c r="AA44" s="118">
        <v>199</v>
      </c>
      <c r="AB44" s="118">
        <v>399</v>
      </c>
      <c r="AC44" s="118">
        <v>399</v>
      </c>
      <c r="AD44" s="118">
        <v>399</v>
      </c>
      <c r="AE44" s="118">
        <v>399</v>
      </c>
      <c r="AF44" s="118">
        <v>399</v>
      </c>
      <c r="AG44" s="118">
        <v>399</v>
      </c>
      <c r="AH44" s="118">
        <v>399</v>
      </c>
      <c r="AI44" s="118">
        <v>199</v>
      </c>
      <c r="AJ44" s="118">
        <v>199</v>
      </c>
      <c r="AK44" s="118">
        <v>199</v>
      </c>
      <c r="AL44" s="118">
        <v>199</v>
      </c>
      <c r="AM44" s="111" t="s">
        <v>746</v>
      </c>
    </row>
    <row r="45" spans="2:40" ht="15.5">
      <c r="B45" s="122" t="s">
        <v>747</v>
      </c>
      <c r="C45" s="135">
        <v>4015506</v>
      </c>
      <c r="D45" s="122" t="s">
        <v>818</v>
      </c>
      <c r="E45" s="107" t="s">
        <v>819</v>
      </c>
      <c r="F45" s="123">
        <v>299</v>
      </c>
      <c r="G45" s="123">
        <v>299</v>
      </c>
      <c r="H45" s="124">
        <v>299</v>
      </c>
      <c r="I45" s="124">
        <v>299</v>
      </c>
      <c r="J45" s="109">
        <v>249</v>
      </c>
      <c r="K45" s="109">
        <v>249</v>
      </c>
      <c r="L45" s="109">
        <v>249</v>
      </c>
      <c r="M45" s="124">
        <v>249</v>
      </c>
      <c r="N45" s="124">
        <v>249</v>
      </c>
      <c r="O45" s="109">
        <v>199</v>
      </c>
      <c r="P45" s="109">
        <v>199</v>
      </c>
      <c r="Q45" s="109">
        <v>199</v>
      </c>
      <c r="R45" s="124">
        <v>199</v>
      </c>
      <c r="S45" s="124">
        <v>199</v>
      </c>
      <c r="T45" s="124">
        <v>199</v>
      </c>
      <c r="U45" s="124">
        <v>199</v>
      </c>
      <c r="V45" s="124">
        <v>199</v>
      </c>
      <c r="W45" s="124">
        <v>199</v>
      </c>
      <c r="X45" s="124">
        <v>199</v>
      </c>
      <c r="Y45" s="129">
        <v>199</v>
      </c>
      <c r="Z45" s="129">
        <v>199</v>
      </c>
      <c r="AA45" s="124">
        <v>199</v>
      </c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11" t="s">
        <v>746</v>
      </c>
    </row>
    <row r="46" spans="2:40" ht="15.5">
      <c r="B46" s="122" t="s">
        <v>820</v>
      </c>
      <c r="C46" s="121">
        <v>4015637</v>
      </c>
      <c r="D46" s="130" t="s">
        <v>821</v>
      </c>
      <c r="E46" s="107" t="s">
        <v>822</v>
      </c>
      <c r="F46" s="123">
        <v>999</v>
      </c>
      <c r="G46" s="123">
        <v>999</v>
      </c>
      <c r="H46" s="124">
        <v>999</v>
      </c>
      <c r="I46" s="124">
        <v>999</v>
      </c>
      <c r="J46" s="124">
        <v>949</v>
      </c>
      <c r="K46" s="124">
        <v>949</v>
      </c>
      <c r="L46" s="124">
        <v>949</v>
      </c>
      <c r="M46" s="124">
        <v>949</v>
      </c>
      <c r="N46" s="124">
        <v>949</v>
      </c>
      <c r="O46" s="124">
        <v>899</v>
      </c>
      <c r="P46" s="124">
        <v>799</v>
      </c>
      <c r="Q46" s="124">
        <v>599</v>
      </c>
      <c r="R46" s="129">
        <v>899</v>
      </c>
      <c r="S46" s="129">
        <v>799</v>
      </c>
      <c r="T46" s="124">
        <v>599</v>
      </c>
      <c r="U46" s="124">
        <v>599</v>
      </c>
      <c r="V46" s="129">
        <v>599</v>
      </c>
      <c r="W46" s="129">
        <v>599</v>
      </c>
      <c r="X46" s="129">
        <v>549</v>
      </c>
      <c r="Y46" s="129">
        <v>549</v>
      </c>
      <c r="Z46" s="129">
        <v>549</v>
      </c>
      <c r="AA46" s="129">
        <v>549</v>
      </c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11" t="s">
        <v>746</v>
      </c>
      <c r="AN46" s="136"/>
    </row>
    <row r="47" spans="2:40" ht="15.5">
      <c r="B47" s="132" t="s">
        <v>820</v>
      </c>
      <c r="C47" s="121">
        <v>4015591</v>
      </c>
      <c r="D47" s="130" t="s">
        <v>823</v>
      </c>
      <c r="E47" s="107" t="s">
        <v>824</v>
      </c>
      <c r="F47" s="123">
        <v>49</v>
      </c>
      <c r="G47" s="123">
        <v>49</v>
      </c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11" t="s">
        <v>746</v>
      </c>
      <c r="AN47" s="136"/>
    </row>
    <row r="48" spans="2:40" ht="15.5">
      <c r="B48" s="137" t="s">
        <v>820</v>
      </c>
      <c r="C48" s="135">
        <v>4015592</v>
      </c>
      <c r="D48" s="122" t="s">
        <v>825</v>
      </c>
      <c r="E48" s="107" t="s">
        <v>826</v>
      </c>
      <c r="F48" s="123">
        <v>89</v>
      </c>
      <c r="G48" s="123">
        <v>89</v>
      </c>
      <c r="H48" s="124"/>
      <c r="I48" s="124"/>
      <c r="J48" s="124"/>
      <c r="K48" s="124"/>
      <c r="L48" s="124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11" t="s">
        <v>746</v>
      </c>
      <c r="AN48" s="136"/>
    </row>
    <row r="49" spans="2:40" ht="15.5">
      <c r="B49" s="122" t="s">
        <v>827</v>
      </c>
      <c r="C49" s="135">
        <v>4013141</v>
      </c>
      <c r="D49" s="122" t="s">
        <v>828</v>
      </c>
      <c r="E49" s="107" t="s">
        <v>829</v>
      </c>
      <c r="F49" s="123">
        <v>199</v>
      </c>
      <c r="G49" s="123">
        <v>199</v>
      </c>
      <c r="H49" s="124"/>
      <c r="I49" s="124"/>
      <c r="J49" s="124"/>
      <c r="K49" s="124"/>
      <c r="L49" s="124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11" t="s">
        <v>746</v>
      </c>
      <c r="AN49" s="136"/>
    </row>
    <row r="50" spans="2:40" ht="15.5">
      <c r="B50" s="122" t="s">
        <v>827</v>
      </c>
      <c r="C50" s="135">
        <v>4015880</v>
      </c>
      <c r="D50" s="122" t="s">
        <v>830</v>
      </c>
      <c r="E50" s="107" t="s">
        <v>831</v>
      </c>
      <c r="F50" s="123">
        <v>199</v>
      </c>
      <c r="G50" s="123">
        <v>199</v>
      </c>
      <c r="H50" s="124"/>
      <c r="I50" s="124"/>
      <c r="J50" s="109"/>
      <c r="K50" s="109"/>
      <c r="L50" s="109"/>
      <c r="M50" s="125"/>
      <c r="N50" s="125"/>
      <c r="O50" s="114"/>
      <c r="P50" s="114"/>
      <c r="Q50" s="114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11" t="s">
        <v>746</v>
      </c>
      <c r="AN50" s="136"/>
    </row>
    <row r="51" spans="2:40" ht="15.5">
      <c r="B51" s="122" t="s">
        <v>827</v>
      </c>
      <c r="C51" s="135">
        <v>4016971</v>
      </c>
      <c r="D51" s="122" t="s">
        <v>832</v>
      </c>
      <c r="E51" s="107" t="s">
        <v>833</v>
      </c>
      <c r="F51" s="123">
        <v>199</v>
      </c>
      <c r="G51" s="123">
        <v>199</v>
      </c>
      <c r="H51" s="124"/>
      <c r="I51" s="124"/>
      <c r="J51" s="109"/>
      <c r="K51" s="109"/>
      <c r="L51" s="109"/>
      <c r="M51" s="125"/>
      <c r="N51" s="125"/>
      <c r="O51" s="114"/>
      <c r="P51" s="114"/>
      <c r="Q51" s="114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11" t="s">
        <v>746</v>
      </c>
      <c r="AN51" s="136"/>
    </row>
    <row r="52" spans="2:40" ht="15.5">
      <c r="B52" s="122" t="s">
        <v>827</v>
      </c>
      <c r="C52" s="135">
        <v>4016096</v>
      </c>
      <c r="D52" s="122" t="s">
        <v>834</v>
      </c>
      <c r="E52" s="107" t="s">
        <v>835</v>
      </c>
      <c r="F52" s="123">
        <v>49</v>
      </c>
      <c r="G52" s="123">
        <v>99</v>
      </c>
      <c r="H52" s="124"/>
      <c r="I52" s="124"/>
      <c r="J52" s="109"/>
      <c r="K52" s="109"/>
      <c r="L52" s="109"/>
      <c r="M52" s="125"/>
      <c r="N52" s="125"/>
      <c r="O52" s="114"/>
      <c r="P52" s="114"/>
      <c r="Q52" s="114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11" t="s">
        <v>746</v>
      </c>
      <c r="AN52" s="136"/>
    </row>
    <row r="53" spans="2:40" ht="15.5">
      <c r="B53" s="122" t="s">
        <v>827</v>
      </c>
      <c r="C53" s="121">
        <v>4013617</v>
      </c>
      <c r="D53" s="126" t="s">
        <v>836</v>
      </c>
      <c r="E53" s="107" t="s">
        <v>837</v>
      </c>
      <c r="F53" s="128">
        <v>79</v>
      </c>
      <c r="G53" s="123">
        <v>99</v>
      </c>
      <c r="H53" s="128"/>
      <c r="I53" s="128"/>
      <c r="J53" s="138"/>
      <c r="K53" s="138"/>
      <c r="L53" s="128"/>
      <c r="M53" s="116"/>
      <c r="N53" s="116"/>
      <c r="O53" s="128"/>
      <c r="P53" s="128"/>
      <c r="Q53" s="139"/>
      <c r="R53" s="128"/>
      <c r="S53" s="128"/>
      <c r="T53" s="116"/>
      <c r="U53" s="116"/>
      <c r="V53" s="116"/>
      <c r="W53" s="116"/>
      <c r="X53" s="116"/>
      <c r="Y53" s="116"/>
      <c r="Z53" s="116"/>
      <c r="AA53" s="116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11" t="s">
        <v>746</v>
      </c>
    </row>
    <row r="54" spans="2:40" ht="15.5">
      <c r="B54" s="122" t="s">
        <v>827</v>
      </c>
      <c r="C54" s="121">
        <v>4014261</v>
      </c>
      <c r="D54" s="122" t="s">
        <v>838</v>
      </c>
      <c r="E54" s="107" t="s">
        <v>839</v>
      </c>
      <c r="F54" s="123">
        <v>149</v>
      </c>
      <c r="G54" s="123">
        <v>149</v>
      </c>
      <c r="H54" s="124"/>
      <c r="I54" s="124"/>
      <c r="J54" s="124"/>
      <c r="K54" s="124"/>
      <c r="L54" s="124"/>
      <c r="M54" s="125"/>
      <c r="N54" s="125"/>
      <c r="O54" s="125"/>
      <c r="P54" s="114"/>
      <c r="Q54" s="114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11" t="s">
        <v>746</v>
      </c>
    </row>
    <row r="55" spans="2:40" ht="15.5">
      <c r="B55" s="122" t="s">
        <v>827</v>
      </c>
      <c r="C55" s="121">
        <v>4015696</v>
      </c>
      <c r="D55" s="130" t="s">
        <v>840</v>
      </c>
      <c r="E55" s="107" t="s">
        <v>841</v>
      </c>
      <c r="F55" s="123">
        <v>199</v>
      </c>
      <c r="G55" s="123">
        <v>199</v>
      </c>
      <c r="H55" s="124">
        <v>199</v>
      </c>
      <c r="I55" s="124">
        <v>199</v>
      </c>
      <c r="J55" s="124">
        <v>149</v>
      </c>
      <c r="K55" s="124">
        <v>149</v>
      </c>
      <c r="L55" s="124">
        <v>149</v>
      </c>
      <c r="M55" s="124">
        <v>149</v>
      </c>
      <c r="N55" s="124">
        <v>149</v>
      </c>
      <c r="O55" s="124">
        <v>99</v>
      </c>
      <c r="P55" s="109">
        <v>99</v>
      </c>
      <c r="Q55" s="109">
        <v>99</v>
      </c>
      <c r="R55" s="129">
        <v>99</v>
      </c>
      <c r="S55" s="129">
        <v>99</v>
      </c>
      <c r="T55" s="124">
        <v>99</v>
      </c>
      <c r="U55" s="124">
        <v>99</v>
      </c>
      <c r="V55" s="129">
        <v>99</v>
      </c>
      <c r="W55" s="129">
        <v>99</v>
      </c>
      <c r="X55" s="129">
        <v>99</v>
      </c>
      <c r="Y55" s="129">
        <v>99</v>
      </c>
      <c r="Z55" s="129">
        <v>99</v>
      </c>
      <c r="AA55" s="129">
        <v>99</v>
      </c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11" t="s">
        <v>746</v>
      </c>
    </row>
    <row r="56" spans="2:40" ht="15.5">
      <c r="B56" s="122" t="s">
        <v>827</v>
      </c>
      <c r="C56" s="121">
        <v>4016533</v>
      </c>
      <c r="D56" s="130" t="s">
        <v>842</v>
      </c>
      <c r="E56" s="107" t="s">
        <v>843</v>
      </c>
      <c r="F56" s="123">
        <v>599</v>
      </c>
      <c r="G56" s="123">
        <v>799</v>
      </c>
      <c r="H56" s="124">
        <v>599</v>
      </c>
      <c r="I56" s="124">
        <v>599</v>
      </c>
      <c r="J56" s="109">
        <v>549</v>
      </c>
      <c r="K56" s="109">
        <v>549</v>
      </c>
      <c r="L56" s="109">
        <v>549</v>
      </c>
      <c r="M56" s="124">
        <v>549</v>
      </c>
      <c r="N56" s="124">
        <v>549</v>
      </c>
      <c r="O56" s="109">
        <v>499</v>
      </c>
      <c r="P56" s="109">
        <v>399</v>
      </c>
      <c r="Q56" s="109">
        <v>349</v>
      </c>
      <c r="R56" s="129">
        <v>499</v>
      </c>
      <c r="S56" s="129">
        <v>399</v>
      </c>
      <c r="T56" s="124">
        <v>349</v>
      </c>
      <c r="U56" s="124">
        <v>349</v>
      </c>
      <c r="V56" s="129">
        <v>349</v>
      </c>
      <c r="W56" s="129">
        <v>349</v>
      </c>
      <c r="X56" s="129">
        <v>349</v>
      </c>
      <c r="Y56" s="129">
        <v>349</v>
      </c>
      <c r="Z56" s="129">
        <v>349</v>
      </c>
      <c r="AA56" s="129">
        <v>349</v>
      </c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11" t="s">
        <v>746</v>
      </c>
    </row>
    <row r="57" spans="2:40" ht="15.5">
      <c r="B57" s="122" t="s">
        <v>827</v>
      </c>
      <c r="C57" s="121">
        <v>4016531</v>
      </c>
      <c r="D57" s="130" t="s">
        <v>842</v>
      </c>
      <c r="E57" s="107" t="s">
        <v>844</v>
      </c>
      <c r="F57" s="123">
        <v>599</v>
      </c>
      <c r="G57" s="123">
        <v>799</v>
      </c>
      <c r="H57" s="124">
        <v>599</v>
      </c>
      <c r="I57" s="124">
        <v>599</v>
      </c>
      <c r="J57" s="109">
        <v>549</v>
      </c>
      <c r="K57" s="109">
        <v>549</v>
      </c>
      <c r="L57" s="109">
        <v>549</v>
      </c>
      <c r="M57" s="124">
        <v>549</v>
      </c>
      <c r="N57" s="124">
        <v>549</v>
      </c>
      <c r="O57" s="109">
        <v>499</v>
      </c>
      <c r="P57" s="109">
        <v>399</v>
      </c>
      <c r="Q57" s="109">
        <v>349</v>
      </c>
      <c r="R57" s="129">
        <v>499</v>
      </c>
      <c r="S57" s="129">
        <v>399</v>
      </c>
      <c r="T57" s="124">
        <v>349</v>
      </c>
      <c r="U57" s="124">
        <v>349</v>
      </c>
      <c r="V57" s="129">
        <v>349</v>
      </c>
      <c r="W57" s="129">
        <v>349</v>
      </c>
      <c r="X57" s="129">
        <v>349</v>
      </c>
      <c r="Y57" s="129">
        <v>349</v>
      </c>
      <c r="Z57" s="129">
        <v>349</v>
      </c>
      <c r="AA57" s="129">
        <v>349</v>
      </c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11" t="s">
        <v>746</v>
      </c>
    </row>
    <row r="58" spans="2:40" ht="15.5">
      <c r="B58" s="122" t="s">
        <v>827</v>
      </c>
      <c r="C58" s="121">
        <v>4017404</v>
      </c>
      <c r="D58" s="130" t="s">
        <v>845</v>
      </c>
      <c r="E58" s="107" t="s">
        <v>846</v>
      </c>
      <c r="F58" s="123">
        <v>1099</v>
      </c>
      <c r="G58" s="123">
        <v>1099</v>
      </c>
      <c r="H58" s="124">
        <v>1099</v>
      </c>
      <c r="I58" s="124">
        <v>1099</v>
      </c>
      <c r="J58" s="109">
        <v>1049</v>
      </c>
      <c r="K58" s="109">
        <v>1049</v>
      </c>
      <c r="L58" s="109">
        <v>1049</v>
      </c>
      <c r="M58" s="124">
        <v>1049</v>
      </c>
      <c r="N58" s="124">
        <v>1049</v>
      </c>
      <c r="O58" s="109">
        <v>999</v>
      </c>
      <c r="P58" s="109">
        <v>899</v>
      </c>
      <c r="Q58" s="109">
        <v>699</v>
      </c>
      <c r="R58" s="124">
        <v>999</v>
      </c>
      <c r="S58" s="124">
        <v>899</v>
      </c>
      <c r="T58" s="124">
        <v>699</v>
      </c>
      <c r="U58" s="124">
        <v>699</v>
      </c>
      <c r="V58" s="124">
        <v>699</v>
      </c>
      <c r="W58" s="124">
        <v>699</v>
      </c>
      <c r="X58" s="124">
        <v>599</v>
      </c>
      <c r="Y58" s="129">
        <v>599</v>
      </c>
      <c r="Z58" s="129">
        <v>599</v>
      </c>
      <c r="AA58" s="124">
        <v>599</v>
      </c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11" t="s">
        <v>746</v>
      </c>
    </row>
    <row r="59" spans="2:40" ht="15.5">
      <c r="B59" s="122" t="s">
        <v>827</v>
      </c>
      <c r="C59" s="121">
        <v>4016537</v>
      </c>
      <c r="D59" s="130" t="s">
        <v>847</v>
      </c>
      <c r="E59" s="107" t="s">
        <v>848</v>
      </c>
      <c r="F59" s="123">
        <v>1199</v>
      </c>
      <c r="G59" s="123">
        <v>1199</v>
      </c>
      <c r="H59" s="124">
        <v>1199</v>
      </c>
      <c r="I59" s="124">
        <v>1199</v>
      </c>
      <c r="J59" s="124">
        <v>1149</v>
      </c>
      <c r="K59" s="124">
        <v>1149</v>
      </c>
      <c r="L59" s="124">
        <v>1149</v>
      </c>
      <c r="M59" s="124">
        <v>1149</v>
      </c>
      <c r="N59" s="124">
        <v>1149</v>
      </c>
      <c r="O59" s="124">
        <v>1099</v>
      </c>
      <c r="P59" s="124">
        <v>999</v>
      </c>
      <c r="Q59" s="124">
        <v>799</v>
      </c>
      <c r="R59" s="124">
        <v>1099</v>
      </c>
      <c r="S59" s="124">
        <v>999</v>
      </c>
      <c r="T59" s="124">
        <v>799</v>
      </c>
      <c r="U59" s="124">
        <v>799</v>
      </c>
      <c r="V59" s="124">
        <v>799</v>
      </c>
      <c r="W59" s="124">
        <v>799</v>
      </c>
      <c r="X59" s="124">
        <v>799</v>
      </c>
      <c r="Y59" s="129">
        <v>799</v>
      </c>
      <c r="Z59" s="129">
        <v>799</v>
      </c>
      <c r="AA59" s="124">
        <v>799</v>
      </c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11" t="s">
        <v>746</v>
      </c>
    </row>
    <row r="60" spans="2:40" ht="15.5">
      <c r="B60" s="122" t="s">
        <v>827</v>
      </c>
      <c r="C60" s="121">
        <v>4017785</v>
      </c>
      <c r="D60" s="127" t="s">
        <v>849</v>
      </c>
      <c r="E60" s="107" t="s">
        <v>850</v>
      </c>
      <c r="F60" s="116">
        <v>1199</v>
      </c>
      <c r="G60" s="117">
        <v>1399</v>
      </c>
      <c r="H60" s="116">
        <v>1199</v>
      </c>
      <c r="I60" s="116">
        <v>1199</v>
      </c>
      <c r="J60" s="118">
        <v>1099</v>
      </c>
      <c r="K60" s="118">
        <v>1099</v>
      </c>
      <c r="L60" s="118">
        <v>1099</v>
      </c>
      <c r="M60" s="118">
        <v>1099</v>
      </c>
      <c r="N60" s="118">
        <v>1099</v>
      </c>
      <c r="O60" s="118">
        <v>1099</v>
      </c>
      <c r="P60" s="118">
        <v>1099</v>
      </c>
      <c r="Q60" s="118">
        <v>999</v>
      </c>
      <c r="R60" s="118">
        <v>1099</v>
      </c>
      <c r="S60" s="118">
        <v>999</v>
      </c>
      <c r="T60" s="118">
        <v>699</v>
      </c>
      <c r="U60" s="118">
        <v>599</v>
      </c>
      <c r="V60" s="118">
        <v>599</v>
      </c>
      <c r="W60" s="118">
        <v>599</v>
      </c>
      <c r="X60" s="118">
        <v>599</v>
      </c>
      <c r="Y60" s="118">
        <v>599</v>
      </c>
      <c r="Z60" s="118">
        <v>599</v>
      </c>
      <c r="AA60" s="118">
        <v>599</v>
      </c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11" t="s">
        <v>746</v>
      </c>
    </row>
    <row r="61" spans="2:40" ht="15.5">
      <c r="B61" s="122" t="s">
        <v>827</v>
      </c>
      <c r="C61" s="121">
        <v>4017780</v>
      </c>
      <c r="D61" s="127" t="s">
        <v>851</v>
      </c>
      <c r="E61" s="107" t="s">
        <v>852</v>
      </c>
      <c r="F61" s="116">
        <v>1499</v>
      </c>
      <c r="G61" s="117">
        <v>1699</v>
      </c>
      <c r="H61" s="116">
        <v>1499</v>
      </c>
      <c r="I61" s="116">
        <v>1499</v>
      </c>
      <c r="J61" s="118">
        <v>1399</v>
      </c>
      <c r="K61" s="118">
        <v>1399</v>
      </c>
      <c r="L61" s="118">
        <v>1399</v>
      </c>
      <c r="M61" s="118">
        <v>1399</v>
      </c>
      <c r="N61" s="118">
        <v>1399</v>
      </c>
      <c r="O61" s="118">
        <v>1399</v>
      </c>
      <c r="P61" s="118">
        <v>1399</v>
      </c>
      <c r="Q61" s="118">
        <v>1299</v>
      </c>
      <c r="R61" s="118">
        <v>1399</v>
      </c>
      <c r="S61" s="118">
        <v>1299</v>
      </c>
      <c r="T61" s="118">
        <v>999</v>
      </c>
      <c r="U61" s="118">
        <v>799</v>
      </c>
      <c r="V61" s="118">
        <v>799</v>
      </c>
      <c r="W61" s="118">
        <v>749</v>
      </c>
      <c r="X61" s="118">
        <v>749</v>
      </c>
      <c r="Y61" s="118">
        <v>749</v>
      </c>
      <c r="Z61" s="118">
        <v>749</v>
      </c>
      <c r="AA61" s="118">
        <v>749</v>
      </c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11" t="s">
        <v>746</v>
      </c>
    </row>
    <row r="62" spans="2:40" ht="15.5">
      <c r="B62" s="122" t="s">
        <v>827</v>
      </c>
      <c r="C62" s="121">
        <v>4017339</v>
      </c>
      <c r="D62" s="130" t="s">
        <v>853</v>
      </c>
      <c r="E62" s="107" t="s">
        <v>854</v>
      </c>
      <c r="F62" s="125">
        <v>299</v>
      </c>
      <c r="G62" s="125">
        <v>299</v>
      </c>
      <c r="H62" s="125">
        <v>299</v>
      </c>
      <c r="I62" s="125">
        <v>299</v>
      </c>
      <c r="J62" s="125">
        <v>249</v>
      </c>
      <c r="K62" s="125">
        <v>249</v>
      </c>
      <c r="L62" s="125">
        <v>249</v>
      </c>
      <c r="M62" s="125">
        <v>249</v>
      </c>
      <c r="N62" s="125">
        <v>249</v>
      </c>
      <c r="O62" s="125">
        <v>199</v>
      </c>
      <c r="P62" s="125">
        <v>199</v>
      </c>
      <c r="Q62" s="125">
        <v>199</v>
      </c>
      <c r="R62" s="125">
        <v>199</v>
      </c>
      <c r="S62" s="125">
        <v>199</v>
      </c>
      <c r="T62" s="125">
        <v>199</v>
      </c>
      <c r="U62" s="125">
        <v>199</v>
      </c>
      <c r="V62" s="125">
        <v>199</v>
      </c>
      <c r="W62" s="125">
        <v>199</v>
      </c>
      <c r="X62" s="125">
        <v>199</v>
      </c>
      <c r="Y62" s="125">
        <v>199</v>
      </c>
      <c r="Z62" s="125">
        <v>199</v>
      </c>
      <c r="AA62" s="125">
        <v>199</v>
      </c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11" t="s">
        <v>746</v>
      </c>
    </row>
    <row r="63" spans="2:40" ht="15.5">
      <c r="B63" s="122" t="s">
        <v>827</v>
      </c>
      <c r="C63" s="121">
        <v>4017398</v>
      </c>
      <c r="D63" s="130" t="s">
        <v>853</v>
      </c>
      <c r="E63" s="130" t="s">
        <v>855</v>
      </c>
      <c r="F63" s="125">
        <v>299</v>
      </c>
      <c r="G63" s="125">
        <v>299</v>
      </c>
      <c r="H63" s="125">
        <v>299</v>
      </c>
      <c r="I63" s="125">
        <v>299</v>
      </c>
      <c r="J63" s="125">
        <v>249</v>
      </c>
      <c r="K63" s="125">
        <v>249</v>
      </c>
      <c r="L63" s="125">
        <v>249</v>
      </c>
      <c r="M63" s="125">
        <v>249</v>
      </c>
      <c r="N63" s="125">
        <v>249</v>
      </c>
      <c r="O63" s="125">
        <v>199</v>
      </c>
      <c r="P63" s="125">
        <v>199</v>
      </c>
      <c r="Q63" s="125">
        <v>199</v>
      </c>
      <c r="R63" s="125">
        <v>199</v>
      </c>
      <c r="S63" s="125">
        <v>199</v>
      </c>
      <c r="T63" s="125">
        <v>199</v>
      </c>
      <c r="U63" s="125">
        <v>199</v>
      </c>
      <c r="V63" s="125">
        <v>199</v>
      </c>
      <c r="W63" s="125">
        <v>199</v>
      </c>
      <c r="X63" s="125">
        <v>199</v>
      </c>
      <c r="Y63" s="125">
        <v>199</v>
      </c>
      <c r="Z63" s="125">
        <v>199</v>
      </c>
      <c r="AA63" s="125">
        <v>199</v>
      </c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11" t="s">
        <v>746</v>
      </c>
    </row>
    <row r="64" spans="2:40" ht="15.5">
      <c r="B64" s="122" t="s">
        <v>827</v>
      </c>
      <c r="C64" s="121">
        <v>4016523</v>
      </c>
      <c r="D64" s="130" t="s">
        <v>856</v>
      </c>
      <c r="E64" s="107" t="s">
        <v>857</v>
      </c>
      <c r="F64" s="123">
        <v>199</v>
      </c>
      <c r="G64" s="123">
        <v>199</v>
      </c>
      <c r="H64" s="124">
        <v>199</v>
      </c>
      <c r="I64" s="124">
        <v>199</v>
      </c>
      <c r="J64" s="109">
        <v>149</v>
      </c>
      <c r="K64" s="109">
        <v>149</v>
      </c>
      <c r="L64" s="109">
        <v>149</v>
      </c>
      <c r="M64" s="124">
        <v>149</v>
      </c>
      <c r="N64" s="124">
        <v>149</v>
      </c>
      <c r="O64" s="109">
        <v>99</v>
      </c>
      <c r="P64" s="109">
        <v>99</v>
      </c>
      <c r="Q64" s="109">
        <v>99</v>
      </c>
      <c r="R64" s="129">
        <v>99</v>
      </c>
      <c r="S64" s="129">
        <v>99</v>
      </c>
      <c r="T64" s="124">
        <v>99</v>
      </c>
      <c r="U64" s="124">
        <v>99</v>
      </c>
      <c r="V64" s="129">
        <v>99</v>
      </c>
      <c r="W64" s="129">
        <v>99</v>
      </c>
      <c r="X64" s="129">
        <v>99</v>
      </c>
      <c r="Y64" s="129">
        <v>99</v>
      </c>
      <c r="Z64" s="129">
        <v>99</v>
      </c>
      <c r="AA64" s="129">
        <v>99</v>
      </c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11" t="s">
        <v>746</v>
      </c>
    </row>
    <row r="65" spans="2:39" ht="15" customHeight="1">
      <c r="B65" s="122" t="s">
        <v>827</v>
      </c>
      <c r="C65" s="121">
        <v>4017661</v>
      </c>
      <c r="D65" s="127" t="s">
        <v>858</v>
      </c>
      <c r="E65" s="107" t="s">
        <v>859</v>
      </c>
      <c r="F65" s="116">
        <v>399</v>
      </c>
      <c r="G65" s="117">
        <v>499</v>
      </c>
      <c r="H65" s="116">
        <v>399</v>
      </c>
      <c r="I65" s="116">
        <v>399</v>
      </c>
      <c r="J65" s="118">
        <v>299</v>
      </c>
      <c r="K65" s="118">
        <v>299</v>
      </c>
      <c r="L65" s="118">
        <v>299</v>
      </c>
      <c r="M65" s="118">
        <v>299</v>
      </c>
      <c r="N65" s="118">
        <v>299</v>
      </c>
      <c r="O65" s="118">
        <v>299</v>
      </c>
      <c r="P65" s="118">
        <v>299</v>
      </c>
      <c r="Q65" s="118">
        <v>199</v>
      </c>
      <c r="R65" s="118">
        <v>299</v>
      </c>
      <c r="S65" s="118">
        <v>199</v>
      </c>
      <c r="T65" s="118">
        <v>199</v>
      </c>
      <c r="U65" s="118">
        <v>199</v>
      </c>
      <c r="V65" s="118">
        <v>199</v>
      </c>
      <c r="W65" s="118">
        <v>199</v>
      </c>
      <c r="X65" s="118">
        <v>199</v>
      </c>
      <c r="Y65" s="118">
        <v>199</v>
      </c>
      <c r="Z65" s="118">
        <v>199</v>
      </c>
      <c r="AA65" s="118">
        <v>199</v>
      </c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11" t="s">
        <v>746</v>
      </c>
    </row>
    <row r="66" spans="2:39" ht="15.5">
      <c r="B66" s="122" t="s">
        <v>827</v>
      </c>
      <c r="C66" s="121">
        <v>4016484</v>
      </c>
      <c r="D66" s="130" t="s">
        <v>860</v>
      </c>
      <c r="E66" s="107" t="s">
        <v>861</v>
      </c>
      <c r="F66" s="123">
        <v>299</v>
      </c>
      <c r="G66" s="123">
        <v>299</v>
      </c>
      <c r="H66" s="123">
        <v>299</v>
      </c>
      <c r="I66" s="123">
        <v>299</v>
      </c>
      <c r="J66" s="124">
        <v>249</v>
      </c>
      <c r="K66" s="124">
        <v>249</v>
      </c>
      <c r="L66" s="124">
        <v>249</v>
      </c>
      <c r="M66" s="124">
        <v>249</v>
      </c>
      <c r="N66" s="124">
        <v>249</v>
      </c>
      <c r="O66" s="124">
        <v>199</v>
      </c>
      <c r="P66" s="124">
        <v>199</v>
      </c>
      <c r="Q66" s="124">
        <v>199</v>
      </c>
      <c r="R66" s="124">
        <v>199</v>
      </c>
      <c r="S66" s="124">
        <v>199</v>
      </c>
      <c r="T66" s="124">
        <v>199</v>
      </c>
      <c r="U66" s="124">
        <v>199</v>
      </c>
      <c r="V66" s="124">
        <v>199</v>
      </c>
      <c r="W66" s="124">
        <v>199</v>
      </c>
      <c r="X66" s="124">
        <v>199</v>
      </c>
      <c r="Y66" s="129">
        <v>199</v>
      </c>
      <c r="Z66" s="129">
        <v>199</v>
      </c>
      <c r="AA66" s="124">
        <v>199</v>
      </c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11" t="s">
        <v>746</v>
      </c>
    </row>
    <row r="67" spans="2:39" ht="15.5">
      <c r="B67" s="122" t="s">
        <v>827</v>
      </c>
      <c r="C67" s="121">
        <v>4016483</v>
      </c>
      <c r="D67" s="130" t="s">
        <v>862</v>
      </c>
      <c r="E67" s="107" t="s">
        <v>863</v>
      </c>
      <c r="F67" s="123">
        <v>299</v>
      </c>
      <c r="G67" s="123">
        <v>299</v>
      </c>
      <c r="H67" s="123">
        <v>299</v>
      </c>
      <c r="I67" s="123">
        <v>299</v>
      </c>
      <c r="J67" s="124">
        <v>199</v>
      </c>
      <c r="K67" s="124">
        <v>199</v>
      </c>
      <c r="L67" s="123">
        <v>199</v>
      </c>
      <c r="M67" s="124">
        <v>199</v>
      </c>
      <c r="N67" s="124">
        <v>199</v>
      </c>
      <c r="O67" s="123">
        <v>199</v>
      </c>
      <c r="P67" s="123">
        <v>199</v>
      </c>
      <c r="Q67" s="124">
        <v>199</v>
      </c>
      <c r="R67" s="123">
        <v>199</v>
      </c>
      <c r="S67" s="123">
        <v>199</v>
      </c>
      <c r="T67" s="124">
        <v>199</v>
      </c>
      <c r="U67" s="124">
        <v>199</v>
      </c>
      <c r="V67" s="124">
        <v>199</v>
      </c>
      <c r="W67" s="124">
        <v>199</v>
      </c>
      <c r="X67" s="124">
        <v>199</v>
      </c>
      <c r="Y67" s="129">
        <v>199</v>
      </c>
      <c r="Z67" s="129">
        <v>199</v>
      </c>
      <c r="AA67" s="124">
        <v>199</v>
      </c>
      <c r="AB67" s="124">
        <v>199</v>
      </c>
      <c r="AC67" s="124">
        <v>199</v>
      </c>
      <c r="AD67" s="124">
        <v>199</v>
      </c>
      <c r="AE67" s="124">
        <v>199</v>
      </c>
      <c r="AF67" s="124">
        <v>199</v>
      </c>
      <c r="AG67" s="124">
        <v>199</v>
      </c>
      <c r="AH67" s="124">
        <v>199</v>
      </c>
      <c r="AI67" s="124">
        <v>199</v>
      </c>
      <c r="AJ67" s="124">
        <v>199</v>
      </c>
      <c r="AK67" s="124">
        <v>199</v>
      </c>
      <c r="AL67" s="124">
        <v>199</v>
      </c>
      <c r="AM67" s="111" t="s">
        <v>746</v>
      </c>
    </row>
    <row r="68" spans="2:39" ht="15.5">
      <c r="B68" s="122" t="s">
        <v>827</v>
      </c>
      <c r="C68" s="121">
        <v>4016310</v>
      </c>
      <c r="D68" s="130" t="s">
        <v>864</v>
      </c>
      <c r="E68" s="107" t="s">
        <v>865</v>
      </c>
      <c r="F68" s="123">
        <v>399</v>
      </c>
      <c r="G68" s="123">
        <v>399</v>
      </c>
      <c r="H68" s="124">
        <v>399</v>
      </c>
      <c r="I68" s="124">
        <v>399</v>
      </c>
      <c r="J68" s="124">
        <v>349</v>
      </c>
      <c r="K68" s="124">
        <v>349</v>
      </c>
      <c r="L68" s="124">
        <v>349</v>
      </c>
      <c r="M68" s="124">
        <v>349</v>
      </c>
      <c r="N68" s="124">
        <v>349</v>
      </c>
      <c r="O68" s="124">
        <v>299</v>
      </c>
      <c r="P68" s="124">
        <v>299</v>
      </c>
      <c r="Q68" s="124">
        <v>249</v>
      </c>
      <c r="R68" s="129">
        <v>299</v>
      </c>
      <c r="S68" s="129">
        <v>249</v>
      </c>
      <c r="T68" s="124">
        <v>249</v>
      </c>
      <c r="U68" s="124">
        <v>249</v>
      </c>
      <c r="V68" s="129">
        <v>249</v>
      </c>
      <c r="W68" s="129">
        <v>249</v>
      </c>
      <c r="X68" s="129">
        <v>249</v>
      </c>
      <c r="Y68" s="129">
        <v>249</v>
      </c>
      <c r="Z68" s="129">
        <v>249</v>
      </c>
      <c r="AA68" s="129">
        <v>249</v>
      </c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11" t="s">
        <v>746</v>
      </c>
    </row>
    <row r="69" spans="2:39" ht="15.5">
      <c r="B69" s="122" t="s">
        <v>827</v>
      </c>
      <c r="C69" s="121">
        <v>4016311</v>
      </c>
      <c r="D69" s="130" t="s">
        <v>864</v>
      </c>
      <c r="E69" s="107" t="s">
        <v>866</v>
      </c>
      <c r="F69" s="123">
        <v>399</v>
      </c>
      <c r="G69" s="123">
        <v>399</v>
      </c>
      <c r="H69" s="124">
        <v>399</v>
      </c>
      <c r="I69" s="124">
        <v>399</v>
      </c>
      <c r="J69" s="124">
        <v>349</v>
      </c>
      <c r="K69" s="124">
        <v>349</v>
      </c>
      <c r="L69" s="124">
        <v>349</v>
      </c>
      <c r="M69" s="124">
        <v>349</v>
      </c>
      <c r="N69" s="124">
        <v>349</v>
      </c>
      <c r="O69" s="124">
        <v>299</v>
      </c>
      <c r="P69" s="124">
        <v>299</v>
      </c>
      <c r="Q69" s="124">
        <v>249</v>
      </c>
      <c r="R69" s="129">
        <v>299</v>
      </c>
      <c r="S69" s="129">
        <v>249</v>
      </c>
      <c r="T69" s="124">
        <v>249</v>
      </c>
      <c r="U69" s="124">
        <v>249</v>
      </c>
      <c r="V69" s="129">
        <v>249</v>
      </c>
      <c r="W69" s="129">
        <v>249</v>
      </c>
      <c r="X69" s="129">
        <v>249</v>
      </c>
      <c r="Y69" s="129">
        <v>249</v>
      </c>
      <c r="Z69" s="129">
        <v>249</v>
      </c>
      <c r="AA69" s="129">
        <v>249</v>
      </c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11" t="s">
        <v>746</v>
      </c>
    </row>
    <row r="70" spans="2:39" ht="15.5">
      <c r="B70" s="122" t="s">
        <v>753</v>
      </c>
      <c r="C70" s="121">
        <v>4016544</v>
      </c>
      <c r="D70" s="130" t="s">
        <v>867</v>
      </c>
      <c r="E70" s="107" t="s">
        <v>868</v>
      </c>
      <c r="F70" s="125">
        <v>199</v>
      </c>
      <c r="G70" s="125">
        <v>199</v>
      </c>
      <c r="H70" s="125">
        <v>199</v>
      </c>
      <c r="I70" s="125">
        <v>199</v>
      </c>
      <c r="J70" s="125">
        <v>99</v>
      </c>
      <c r="K70" s="125">
        <v>99</v>
      </c>
      <c r="L70" s="125">
        <v>99</v>
      </c>
      <c r="M70" s="125">
        <v>99</v>
      </c>
      <c r="N70" s="125">
        <v>99</v>
      </c>
      <c r="O70" s="125">
        <v>99</v>
      </c>
      <c r="P70" s="125">
        <v>99</v>
      </c>
      <c r="Q70" s="125">
        <v>99</v>
      </c>
      <c r="R70" s="125">
        <v>99</v>
      </c>
      <c r="S70" s="125">
        <v>99</v>
      </c>
      <c r="T70" s="125">
        <v>99</v>
      </c>
      <c r="U70" s="125">
        <v>99</v>
      </c>
      <c r="V70" s="125">
        <v>99</v>
      </c>
      <c r="W70" s="125">
        <v>99</v>
      </c>
      <c r="X70" s="125">
        <v>99</v>
      </c>
      <c r="Y70" s="125">
        <v>99</v>
      </c>
      <c r="Z70" s="125">
        <v>99</v>
      </c>
      <c r="AA70" s="125">
        <v>99</v>
      </c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11" t="s">
        <v>746</v>
      </c>
    </row>
    <row r="71" spans="2:39" ht="15.5">
      <c r="B71" s="122" t="s">
        <v>820</v>
      </c>
      <c r="C71" s="121">
        <v>4016406</v>
      </c>
      <c r="D71" s="130" t="s">
        <v>869</v>
      </c>
      <c r="E71" s="107" t="s">
        <v>870</v>
      </c>
      <c r="F71" s="123">
        <v>599</v>
      </c>
      <c r="G71" s="123">
        <v>799</v>
      </c>
      <c r="H71" s="124">
        <v>599</v>
      </c>
      <c r="I71" s="124">
        <v>599</v>
      </c>
      <c r="J71" s="109">
        <v>549</v>
      </c>
      <c r="K71" s="109">
        <v>549</v>
      </c>
      <c r="L71" s="109">
        <v>549</v>
      </c>
      <c r="M71" s="124">
        <v>549</v>
      </c>
      <c r="N71" s="124">
        <v>549</v>
      </c>
      <c r="O71" s="109">
        <v>499</v>
      </c>
      <c r="P71" s="109">
        <v>399</v>
      </c>
      <c r="Q71" s="109">
        <v>349</v>
      </c>
      <c r="R71" s="124">
        <v>499</v>
      </c>
      <c r="S71" s="124">
        <v>399</v>
      </c>
      <c r="T71" s="124">
        <v>349</v>
      </c>
      <c r="U71" s="124">
        <v>349</v>
      </c>
      <c r="V71" s="124">
        <v>349</v>
      </c>
      <c r="W71" s="124">
        <v>349</v>
      </c>
      <c r="X71" s="124">
        <v>349</v>
      </c>
      <c r="Y71" s="129">
        <v>349</v>
      </c>
      <c r="Z71" s="129">
        <v>349</v>
      </c>
      <c r="AA71" s="124">
        <v>349</v>
      </c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11" t="s">
        <v>746</v>
      </c>
    </row>
    <row r="72" spans="2:39" ht="15.5">
      <c r="B72" s="122" t="s">
        <v>820</v>
      </c>
      <c r="C72" s="121">
        <v>4016403</v>
      </c>
      <c r="D72" s="130" t="s">
        <v>869</v>
      </c>
      <c r="E72" s="107" t="s">
        <v>871</v>
      </c>
      <c r="F72" s="123">
        <v>599</v>
      </c>
      <c r="G72" s="123">
        <v>799</v>
      </c>
      <c r="H72" s="124">
        <v>599</v>
      </c>
      <c r="I72" s="124">
        <v>599</v>
      </c>
      <c r="J72" s="109">
        <v>549</v>
      </c>
      <c r="K72" s="109">
        <v>549</v>
      </c>
      <c r="L72" s="109">
        <v>549</v>
      </c>
      <c r="M72" s="124">
        <v>549</v>
      </c>
      <c r="N72" s="124">
        <v>549</v>
      </c>
      <c r="O72" s="109">
        <v>499</v>
      </c>
      <c r="P72" s="109">
        <v>399</v>
      </c>
      <c r="Q72" s="109">
        <v>349</v>
      </c>
      <c r="R72" s="124">
        <v>499</v>
      </c>
      <c r="S72" s="124">
        <v>399</v>
      </c>
      <c r="T72" s="124">
        <v>349</v>
      </c>
      <c r="U72" s="124">
        <v>349</v>
      </c>
      <c r="V72" s="124">
        <v>349</v>
      </c>
      <c r="W72" s="124">
        <v>349</v>
      </c>
      <c r="X72" s="124">
        <v>349</v>
      </c>
      <c r="Y72" s="129">
        <v>349</v>
      </c>
      <c r="Z72" s="129">
        <v>349</v>
      </c>
      <c r="AA72" s="124">
        <v>349</v>
      </c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  <c r="AM72" s="111" t="s">
        <v>746</v>
      </c>
    </row>
    <row r="73" spans="2:39" ht="15.5">
      <c r="B73" s="122" t="s">
        <v>827</v>
      </c>
      <c r="C73" s="121">
        <v>4016367</v>
      </c>
      <c r="D73" s="127" t="s">
        <v>872</v>
      </c>
      <c r="E73" s="107" t="s">
        <v>873</v>
      </c>
      <c r="F73" s="141">
        <v>99</v>
      </c>
      <c r="G73" s="123">
        <v>129</v>
      </c>
      <c r="H73" s="128"/>
      <c r="I73" s="128"/>
      <c r="J73" s="138"/>
      <c r="K73" s="138"/>
      <c r="L73" s="128"/>
      <c r="M73" s="141"/>
      <c r="N73" s="141"/>
      <c r="O73" s="138"/>
      <c r="P73" s="138"/>
      <c r="Q73" s="138"/>
      <c r="R73" s="142"/>
      <c r="S73" s="143"/>
      <c r="T73" s="141"/>
      <c r="U73" s="141"/>
      <c r="V73" s="143"/>
      <c r="W73" s="143"/>
      <c r="X73" s="143"/>
      <c r="Y73" s="143"/>
      <c r="Z73" s="143"/>
      <c r="AA73" s="143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11" t="s">
        <v>746</v>
      </c>
    </row>
    <row r="74" spans="2:39" ht="15.5">
      <c r="B74" s="122" t="s">
        <v>765</v>
      </c>
      <c r="C74" s="121">
        <v>4016410</v>
      </c>
      <c r="D74" s="130" t="s">
        <v>874</v>
      </c>
      <c r="E74" s="107" t="s">
        <v>875</v>
      </c>
      <c r="F74" s="123">
        <v>2999</v>
      </c>
      <c r="G74" s="123">
        <v>2199</v>
      </c>
      <c r="H74" s="124">
        <v>2999</v>
      </c>
      <c r="I74" s="124">
        <v>2999</v>
      </c>
      <c r="J74" s="109">
        <v>2949</v>
      </c>
      <c r="K74" s="109">
        <v>2949</v>
      </c>
      <c r="L74" s="109">
        <v>2949</v>
      </c>
      <c r="M74" s="124">
        <v>2949</v>
      </c>
      <c r="N74" s="124">
        <v>2949</v>
      </c>
      <c r="O74" s="109">
        <v>2899</v>
      </c>
      <c r="P74" s="109">
        <v>2799</v>
      </c>
      <c r="Q74" s="109">
        <v>2599</v>
      </c>
      <c r="R74" s="124">
        <v>2899</v>
      </c>
      <c r="S74" s="124">
        <v>2799</v>
      </c>
      <c r="T74" s="109">
        <v>2599</v>
      </c>
      <c r="U74" s="124">
        <v>2599</v>
      </c>
      <c r="V74" s="124">
        <v>2599</v>
      </c>
      <c r="W74" s="124">
        <v>2599</v>
      </c>
      <c r="X74" s="124">
        <v>2499</v>
      </c>
      <c r="Y74" s="129">
        <v>2199</v>
      </c>
      <c r="Z74" s="129">
        <v>2199</v>
      </c>
      <c r="AA74" s="129">
        <v>2149</v>
      </c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11" t="s">
        <v>746</v>
      </c>
    </row>
    <row r="75" spans="2:39" ht="15.5">
      <c r="B75" s="120" t="s">
        <v>753</v>
      </c>
      <c r="C75" s="121">
        <v>4015498</v>
      </c>
      <c r="D75" s="122" t="s">
        <v>876</v>
      </c>
      <c r="E75" s="107" t="s">
        <v>877</v>
      </c>
      <c r="F75" s="123">
        <v>149</v>
      </c>
      <c r="G75" s="123">
        <v>199</v>
      </c>
      <c r="H75" s="124">
        <v>0</v>
      </c>
      <c r="I75" s="124">
        <v>0</v>
      </c>
      <c r="J75" s="109">
        <v>0</v>
      </c>
      <c r="K75" s="109">
        <v>0</v>
      </c>
      <c r="L75" s="109">
        <v>0</v>
      </c>
      <c r="M75" s="125">
        <v>0</v>
      </c>
      <c r="N75" s="125">
        <v>0</v>
      </c>
      <c r="O75" s="109">
        <v>0</v>
      </c>
      <c r="P75" s="109">
        <v>0</v>
      </c>
      <c r="Q75" s="109">
        <v>0</v>
      </c>
      <c r="R75" s="125">
        <v>0</v>
      </c>
      <c r="S75" s="125">
        <v>0</v>
      </c>
      <c r="T75" s="125">
        <v>0</v>
      </c>
      <c r="U75" s="125">
        <v>0</v>
      </c>
      <c r="V75" s="125">
        <v>0</v>
      </c>
      <c r="W75" s="125">
        <v>0</v>
      </c>
      <c r="X75" s="125">
        <v>0</v>
      </c>
      <c r="Y75" s="125">
        <v>0</v>
      </c>
      <c r="Z75" s="125">
        <v>0</v>
      </c>
      <c r="AA75" s="125">
        <v>0</v>
      </c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11" t="s">
        <v>746</v>
      </c>
    </row>
    <row r="76" spans="2:39" ht="15.5">
      <c r="B76" s="122" t="s">
        <v>827</v>
      </c>
      <c r="C76" s="121">
        <v>4017807</v>
      </c>
      <c r="D76" s="127" t="s">
        <v>878</v>
      </c>
      <c r="E76" s="107" t="s">
        <v>879</v>
      </c>
      <c r="F76" s="128">
        <v>199</v>
      </c>
      <c r="G76" s="123">
        <v>219</v>
      </c>
      <c r="H76" s="128"/>
      <c r="I76" s="128"/>
      <c r="J76" s="138"/>
      <c r="K76" s="138"/>
      <c r="L76" s="128"/>
      <c r="M76" s="141"/>
      <c r="N76" s="141"/>
      <c r="O76" s="128"/>
      <c r="P76" s="128"/>
      <c r="Q76" s="138"/>
      <c r="R76" s="141"/>
      <c r="S76" s="141"/>
      <c r="T76" s="141"/>
      <c r="U76" s="141"/>
      <c r="V76" s="141"/>
      <c r="W76" s="141"/>
      <c r="X76" s="141"/>
      <c r="Y76" s="143"/>
      <c r="Z76" s="143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11" t="s">
        <v>746</v>
      </c>
    </row>
    <row r="77" spans="2:39" ht="15.5">
      <c r="B77" s="120" t="s">
        <v>753</v>
      </c>
      <c r="C77" s="121">
        <v>4016014</v>
      </c>
      <c r="D77" s="122" t="s">
        <v>880</v>
      </c>
      <c r="E77" s="107" t="s">
        <v>881</v>
      </c>
      <c r="F77" s="123">
        <v>399</v>
      </c>
      <c r="G77" s="123">
        <v>399</v>
      </c>
      <c r="H77" s="124">
        <v>399</v>
      </c>
      <c r="I77" s="124">
        <v>399</v>
      </c>
      <c r="J77" s="109">
        <v>349</v>
      </c>
      <c r="K77" s="109">
        <v>349</v>
      </c>
      <c r="L77" s="109">
        <v>349</v>
      </c>
      <c r="M77" s="125">
        <v>349</v>
      </c>
      <c r="N77" s="125">
        <v>349</v>
      </c>
      <c r="O77" s="109">
        <v>299</v>
      </c>
      <c r="P77" s="109">
        <v>299</v>
      </c>
      <c r="Q77" s="109">
        <v>249</v>
      </c>
      <c r="R77" s="125">
        <v>299</v>
      </c>
      <c r="S77" s="125">
        <v>249</v>
      </c>
      <c r="T77" s="125">
        <v>249</v>
      </c>
      <c r="U77" s="125">
        <v>249</v>
      </c>
      <c r="V77" s="125">
        <v>249</v>
      </c>
      <c r="W77" s="125">
        <v>249</v>
      </c>
      <c r="X77" s="125">
        <v>249</v>
      </c>
      <c r="Y77" s="125">
        <v>249</v>
      </c>
      <c r="Z77" s="125">
        <v>249</v>
      </c>
      <c r="AA77" s="125">
        <v>249</v>
      </c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11" t="s">
        <v>746</v>
      </c>
    </row>
    <row r="78" spans="2:39" ht="15.5">
      <c r="B78" s="122" t="s">
        <v>827</v>
      </c>
      <c r="C78" s="121">
        <v>4017808</v>
      </c>
      <c r="D78" s="127" t="s">
        <v>882</v>
      </c>
      <c r="E78" s="107" t="s">
        <v>883</v>
      </c>
      <c r="F78" s="116">
        <v>299</v>
      </c>
      <c r="G78" s="117">
        <v>399</v>
      </c>
      <c r="H78" s="116">
        <v>299</v>
      </c>
      <c r="I78" s="116">
        <v>299</v>
      </c>
      <c r="J78" s="118">
        <v>199</v>
      </c>
      <c r="K78" s="118">
        <v>199</v>
      </c>
      <c r="L78" s="118">
        <v>199</v>
      </c>
      <c r="M78" s="118">
        <v>199</v>
      </c>
      <c r="N78" s="118">
        <v>199</v>
      </c>
      <c r="O78" s="118">
        <v>199</v>
      </c>
      <c r="P78" s="118">
        <v>199</v>
      </c>
      <c r="Q78" s="118">
        <v>149</v>
      </c>
      <c r="R78" s="118">
        <v>199</v>
      </c>
      <c r="S78" s="118">
        <v>149</v>
      </c>
      <c r="T78" s="118">
        <v>149</v>
      </c>
      <c r="U78" s="118">
        <v>149</v>
      </c>
      <c r="V78" s="118">
        <v>149</v>
      </c>
      <c r="W78" s="118">
        <v>149</v>
      </c>
      <c r="X78" s="118">
        <v>149</v>
      </c>
      <c r="Y78" s="118">
        <v>149</v>
      </c>
      <c r="Z78" s="118">
        <v>149</v>
      </c>
      <c r="AA78" s="118">
        <v>149</v>
      </c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11" t="s">
        <v>746</v>
      </c>
    </row>
    <row r="79" spans="2:39" ht="15.5">
      <c r="B79" s="122" t="s">
        <v>750</v>
      </c>
      <c r="C79" s="121">
        <v>4018204</v>
      </c>
      <c r="D79" s="130" t="s">
        <v>884</v>
      </c>
      <c r="E79" s="107" t="s">
        <v>885</v>
      </c>
      <c r="F79" s="123">
        <v>249</v>
      </c>
      <c r="G79" s="123">
        <v>249</v>
      </c>
      <c r="H79" s="123"/>
      <c r="I79" s="123"/>
      <c r="J79" s="109"/>
      <c r="K79" s="109"/>
      <c r="L79" s="108"/>
      <c r="M79" s="109"/>
      <c r="N79" s="109"/>
      <c r="O79" s="108"/>
      <c r="P79" s="108"/>
      <c r="Q79" s="109"/>
      <c r="R79" s="108"/>
      <c r="S79" s="108"/>
      <c r="T79" s="109"/>
      <c r="U79" s="109"/>
      <c r="V79" s="109"/>
      <c r="W79" s="109"/>
      <c r="X79" s="109"/>
      <c r="Y79" s="110"/>
      <c r="Z79" s="110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11" t="s">
        <v>746</v>
      </c>
    </row>
    <row r="80" spans="2:39" ht="15.5">
      <c r="B80" s="120" t="s">
        <v>747</v>
      </c>
      <c r="C80" s="121">
        <v>4016400</v>
      </c>
      <c r="D80" s="144" t="s">
        <v>886</v>
      </c>
      <c r="E80" s="107" t="s">
        <v>887</v>
      </c>
      <c r="F80" s="123">
        <v>299</v>
      </c>
      <c r="G80" s="123">
        <v>299</v>
      </c>
      <c r="H80" s="124">
        <v>299</v>
      </c>
      <c r="I80" s="124">
        <v>299</v>
      </c>
      <c r="J80" s="109">
        <v>249</v>
      </c>
      <c r="K80" s="109">
        <v>249</v>
      </c>
      <c r="L80" s="109">
        <v>249</v>
      </c>
      <c r="M80" s="114">
        <v>249</v>
      </c>
      <c r="N80" s="114">
        <v>249</v>
      </c>
      <c r="O80" s="109">
        <v>199</v>
      </c>
      <c r="P80" s="109">
        <v>199</v>
      </c>
      <c r="Q80" s="109">
        <v>199</v>
      </c>
      <c r="R80" s="114">
        <v>199</v>
      </c>
      <c r="S80" s="114">
        <v>199</v>
      </c>
      <c r="T80" s="114">
        <v>199</v>
      </c>
      <c r="U80" s="114">
        <v>199</v>
      </c>
      <c r="V80" s="114">
        <v>199</v>
      </c>
      <c r="W80" s="114">
        <v>199</v>
      </c>
      <c r="X80" s="114">
        <v>199</v>
      </c>
      <c r="Y80" s="114">
        <v>199</v>
      </c>
      <c r="Z80" s="114">
        <v>199</v>
      </c>
      <c r="AA80" s="114">
        <v>199</v>
      </c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1" t="s">
        <v>746</v>
      </c>
    </row>
    <row r="81" spans="2:39" ht="15.5">
      <c r="B81" s="122" t="s">
        <v>747</v>
      </c>
      <c r="C81" s="121">
        <v>4016502</v>
      </c>
      <c r="D81" s="130" t="s">
        <v>888</v>
      </c>
      <c r="E81" s="107" t="s">
        <v>889</v>
      </c>
      <c r="F81" s="123">
        <v>599</v>
      </c>
      <c r="G81" s="123">
        <v>599</v>
      </c>
      <c r="H81" s="124">
        <v>599</v>
      </c>
      <c r="I81" s="124">
        <v>599</v>
      </c>
      <c r="J81" s="109">
        <v>549</v>
      </c>
      <c r="K81" s="109">
        <v>549</v>
      </c>
      <c r="L81" s="109">
        <v>549</v>
      </c>
      <c r="M81" s="109">
        <v>549</v>
      </c>
      <c r="N81" s="109">
        <v>549</v>
      </c>
      <c r="O81" s="109">
        <v>499</v>
      </c>
      <c r="P81" s="109">
        <v>399</v>
      </c>
      <c r="Q81" s="109">
        <v>349</v>
      </c>
      <c r="R81" s="109">
        <v>499</v>
      </c>
      <c r="S81" s="109">
        <v>399</v>
      </c>
      <c r="T81" s="109">
        <v>349</v>
      </c>
      <c r="U81" s="109">
        <v>349</v>
      </c>
      <c r="V81" s="109">
        <v>349</v>
      </c>
      <c r="W81" s="109">
        <v>349</v>
      </c>
      <c r="X81" s="109">
        <v>349</v>
      </c>
      <c r="Y81" s="110">
        <v>349</v>
      </c>
      <c r="Z81" s="110">
        <v>349</v>
      </c>
      <c r="AA81" s="109">
        <v>349</v>
      </c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11" t="s">
        <v>746</v>
      </c>
    </row>
    <row r="82" spans="2:39" ht="15.5">
      <c r="B82" s="120" t="s">
        <v>890</v>
      </c>
      <c r="C82" s="135">
        <v>4015538</v>
      </c>
      <c r="D82" s="122" t="s">
        <v>891</v>
      </c>
      <c r="E82" s="107" t="s">
        <v>892</v>
      </c>
      <c r="F82" s="123">
        <v>699</v>
      </c>
      <c r="G82" s="123">
        <v>699</v>
      </c>
      <c r="H82" s="124">
        <v>699</v>
      </c>
      <c r="I82" s="124">
        <v>699</v>
      </c>
      <c r="J82" s="109">
        <v>649</v>
      </c>
      <c r="K82" s="109">
        <v>649</v>
      </c>
      <c r="L82" s="109">
        <v>649</v>
      </c>
      <c r="M82" s="125">
        <v>649</v>
      </c>
      <c r="N82" s="125">
        <v>649</v>
      </c>
      <c r="O82" s="109">
        <v>599</v>
      </c>
      <c r="P82" s="109">
        <v>599</v>
      </c>
      <c r="Q82" s="109">
        <v>399</v>
      </c>
      <c r="R82" s="125">
        <v>599</v>
      </c>
      <c r="S82" s="125">
        <v>499</v>
      </c>
      <c r="T82" s="125">
        <v>399</v>
      </c>
      <c r="U82" s="125">
        <v>399</v>
      </c>
      <c r="V82" s="125">
        <v>399</v>
      </c>
      <c r="W82" s="125">
        <v>399</v>
      </c>
      <c r="X82" s="125">
        <v>399</v>
      </c>
      <c r="Y82" s="125">
        <v>399</v>
      </c>
      <c r="Z82" s="125">
        <v>399</v>
      </c>
      <c r="AA82" s="125">
        <v>399</v>
      </c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11" t="s">
        <v>746</v>
      </c>
    </row>
    <row r="83" spans="2:39" ht="15.5">
      <c r="B83" s="120" t="s">
        <v>890</v>
      </c>
      <c r="C83" s="121">
        <v>4016434</v>
      </c>
      <c r="D83" s="130" t="s">
        <v>893</v>
      </c>
      <c r="E83" s="107" t="s">
        <v>894</v>
      </c>
      <c r="F83" s="123">
        <v>699</v>
      </c>
      <c r="G83" s="123">
        <v>699</v>
      </c>
      <c r="H83" s="124">
        <v>699</v>
      </c>
      <c r="I83" s="124">
        <v>699</v>
      </c>
      <c r="J83" s="109">
        <v>649</v>
      </c>
      <c r="K83" s="109">
        <v>649</v>
      </c>
      <c r="L83" s="109">
        <v>649</v>
      </c>
      <c r="M83" s="125">
        <v>649</v>
      </c>
      <c r="N83" s="125">
        <v>649</v>
      </c>
      <c r="O83" s="109">
        <v>599</v>
      </c>
      <c r="P83" s="109">
        <v>599</v>
      </c>
      <c r="Q83" s="109">
        <v>399</v>
      </c>
      <c r="R83" s="125">
        <v>599</v>
      </c>
      <c r="S83" s="125">
        <v>499</v>
      </c>
      <c r="T83" s="125">
        <v>399</v>
      </c>
      <c r="U83" s="125">
        <v>399</v>
      </c>
      <c r="V83" s="125">
        <v>399</v>
      </c>
      <c r="W83" s="125">
        <v>399</v>
      </c>
      <c r="X83" s="125">
        <v>399</v>
      </c>
      <c r="Y83" s="125">
        <v>399</v>
      </c>
      <c r="Z83" s="125">
        <v>399</v>
      </c>
      <c r="AA83" s="125">
        <v>399</v>
      </c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11" t="s">
        <v>746</v>
      </c>
    </row>
    <row r="84" spans="2:39" ht="15.5">
      <c r="B84" s="120" t="s">
        <v>895</v>
      </c>
      <c r="C84" s="121">
        <v>4018205</v>
      </c>
      <c r="D84" s="130" t="s">
        <v>896</v>
      </c>
      <c r="E84" s="107" t="s">
        <v>897</v>
      </c>
      <c r="F84" s="123">
        <v>299</v>
      </c>
      <c r="G84" s="123">
        <v>299</v>
      </c>
      <c r="H84" s="124"/>
      <c r="I84" s="124"/>
      <c r="J84" s="109"/>
      <c r="K84" s="109"/>
      <c r="L84" s="109"/>
      <c r="M84" s="125"/>
      <c r="N84" s="125"/>
      <c r="O84" s="109"/>
      <c r="P84" s="109"/>
      <c r="Q84" s="109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11" t="s">
        <v>746</v>
      </c>
    </row>
    <row r="85" spans="2:39" ht="15.5">
      <c r="B85" s="122" t="s">
        <v>820</v>
      </c>
      <c r="C85" s="121">
        <v>4018208</v>
      </c>
      <c r="D85" s="127" t="s">
        <v>898</v>
      </c>
      <c r="E85" s="130" t="s">
        <v>899</v>
      </c>
      <c r="F85" s="128">
        <v>299</v>
      </c>
      <c r="G85" s="123">
        <v>399</v>
      </c>
      <c r="H85" s="145">
        <v>299</v>
      </c>
      <c r="I85" s="145">
        <v>299</v>
      </c>
      <c r="J85" s="146">
        <v>199</v>
      </c>
      <c r="K85" s="146">
        <v>199</v>
      </c>
      <c r="L85" s="146">
        <v>199</v>
      </c>
      <c r="M85" s="147">
        <v>199</v>
      </c>
      <c r="N85" s="147">
        <v>199</v>
      </c>
      <c r="O85" s="146">
        <v>199</v>
      </c>
      <c r="P85" s="146">
        <v>199</v>
      </c>
      <c r="Q85" s="146">
        <v>149</v>
      </c>
      <c r="R85" s="147">
        <v>199</v>
      </c>
      <c r="S85" s="147">
        <v>149</v>
      </c>
      <c r="T85" s="147">
        <v>149</v>
      </c>
      <c r="U85" s="147">
        <v>149</v>
      </c>
      <c r="V85" s="147">
        <v>149</v>
      </c>
      <c r="W85" s="147">
        <v>149</v>
      </c>
      <c r="X85" s="147">
        <v>149</v>
      </c>
      <c r="Y85" s="147">
        <v>149</v>
      </c>
      <c r="Z85" s="147">
        <v>149</v>
      </c>
      <c r="AA85" s="147">
        <v>149</v>
      </c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11" t="s">
        <v>746</v>
      </c>
    </row>
    <row r="86" spans="2:39" ht="15.5">
      <c r="B86" s="120" t="s">
        <v>743</v>
      </c>
      <c r="C86" s="135">
        <v>4014960</v>
      </c>
      <c r="D86" s="122" t="s">
        <v>900</v>
      </c>
      <c r="E86" s="107" t="s">
        <v>901</v>
      </c>
      <c r="F86" s="123">
        <v>299</v>
      </c>
      <c r="G86" s="123">
        <v>299</v>
      </c>
      <c r="H86" s="124"/>
      <c r="I86" s="124"/>
      <c r="J86" s="109"/>
      <c r="K86" s="109"/>
      <c r="L86" s="109"/>
      <c r="M86" s="125"/>
      <c r="N86" s="125"/>
      <c r="O86" s="109"/>
      <c r="P86" s="109"/>
      <c r="Q86" s="109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>
        <v>289</v>
      </c>
      <c r="AC86" s="125">
        <v>289</v>
      </c>
      <c r="AD86" s="125">
        <v>289</v>
      </c>
      <c r="AE86" s="125">
        <v>289</v>
      </c>
      <c r="AF86" s="125">
        <v>289</v>
      </c>
      <c r="AG86" s="125">
        <v>289</v>
      </c>
      <c r="AH86" s="125">
        <v>289</v>
      </c>
      <c r="AI86" s="125">
        <v>289</v>
      </c>
      <c r="AJ86" s="125">
        <v>289</v>
      </c>
      <c r="AK86" s="125">
        <v>289</v>
      </c>
      <c r="AL86" s="125">
        <v>289</v>
      </c>
      <c r="AM86" s="111" t="s">
        <v>746</v>
      </c>
    </row>
    <row r="87" spans="2:39" ht="15.5">
      <c r="B87" s="122" t="s">
        <v>820</v>
      </c>
      <c r="C87" s="135">
        <v>4018057</v>
      </c>
      <c r="D87" s="126" t="s">
        <v>902</v>
      </c>
      <c r="E87" s="107" t="s">
        <v>903</v>
      </c>
      <c r="F87" s="116">
        <v>299</v>
      </c>
      <c r="G87" s="117">
        <v>349</v>
      </c>
      <c r="H87" s="116">
        <v>299</v>
      </c>
      <c r="I87" s="116">
        <v>299</v>
      </c>
      <c r="J87" s="118">
        <v>199</v>
      </c>
      <c r="K87" s="118">
        <v>199</v>
      </c>
      <c r="L87" s="118">
        <v>199</v>
      </c>
      <c r="M87" s="118">
        <v>199</v>
      </c>
      <c r="N87" s="118">
        <v>199</v>
      </c>
      <c r="O87" s="118">
        <v>199</v>
      </c>
      <c r="P87" s="118">
        <v>199</v>
      </c>
      <c r="Q87" s="118">
        <v>149</v>
      </c>
      <c r="R87" s="118">
        <v>199</v>
      </c>
      <c r="S87" s="118">
        <v>149</v>
      </c>
      <c r="T87" s="118">
        <v>149</v>
      </c>
      <c r="U87" s="118">
        <v>149</v>
      </c>
      <c r="V87" s="118">
        <v>149</v>
      </c>
      <c r="W87" s="118">
        <v>149</v>
      </c>
      <c r="X87" s="118">
        <v>149</v>
      </c>
      <c r="Y87" s="118">
        <v>149</v>
      </c>
      <c r="Z87" s="118">
        <v>149</v>
      </c>
      <c r="AA87" s="118">
        <v>149</v>
      </c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11" t="s">
        <v>746</v>
      </c>
    </row>
    <row r="88" spans="2:39" ht="15.5">
      <c r="B88" s="122" t="s">
        <v>747</v>
      </c>
      <c r="C88" s="121">
        <v>4015580</v>
      </c>
      <c r="D88" s="130" t="s">
        <v>904</v>
      </c>
      <c r="E88" s="107" t="s">
        <v>905</v>
      </c>
      <c r="F88" s="123">
        <v>2499</v>
      </c>
      <c r="G88" s="123">
        <v>2499</v>
      </c>
      <c r="H88" s="124">
        <v>2499</v>
      </c>
      <c r="I88" s="124">
        <v>2499</v>
      </c>
      <c r="J88" s="109">
        <v>2449</v>
      </c>
      <c r="K88" s="109">
        <v>2449</v>
      </c>
      <c r="L88" s="109">
        <v>2449</v>
      </c>
      <c r="M88" s="124">
        <v>2449</v>
      </c>
      <c r="N88" s="124">
        <v>2449</v>
      </c>
      <c r="O88" s="109">
        <v>2399</v>
      </c>
      <c r="P88" s="109">
        <v>2399</v>
      </c>
      <c r="Q88" s="109">
        <v>2099</v>
      </c>
      <c r="R88" s="124">
        <v>2399</v>
      </c>
      <c r="S88" s="124">
        <v>2299</v>
      </c>
      <c r="T88" s="124">
        <v>2099</v>
      </c>
      <c r="U88" s="124">
        <v>2099</v>
      </c>
      <c r="V88" s="124">
        <v>2099</v>
      </c>
      <c r="W88" s="124">
        <v>2099</v>
      </c>
      <c r="X88" s="124">
        <v>1999</v>
      </c>
      <c r="Y88" s="129">
        <v>1699</v>
      </c>
      <c r="Z88" s="129">
        <v>1699</v>
      </c>
      <c r="AA88" s="124">
        <v>1649</v>
      </c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11" t="s">
        <v>746</v>
      </c>
    </row>
    <row r="89" spans="2:39" ht="15.5">
      <c r="B89" s="120" t="s">
        <v>820</v>
      </c>
      <c r="C89" s="121">
        <v>4016307</v>
      </c>
      <c r="D89" s="130" t="s">
        <v>906</v>
      </c>
      <c r="E89" s="107" t="s">
        <v>907</v>
      </c>
      <c r="F89" s="123">
        <v>699</v>
      </c>
      <c r="G89" s="123">
        <v>699</v>
      </c>
      <c r="H89" s="123">
        <v>699</v>
      </c>
      <c r="I89" s="123">
        <v>699</v>
      </c>
      <c r="J89" s="109">
        <v>649</v>
      </c>
      <c r="K89" s="109">
        <v>649</v>
      </c>
      <c r="L89" s="109">
        <v>649</v>
      </c>
      <c r="M89" s="124">
        <v>649</v>
      </c>
      <c r="N89" s="124">
        <v>649</v>
      </c>
      <c r="O89" s="109">
        <v>599</v>
      </c>
      <c r="P89" s="109">
        <v>599</v>
      </c>
      <c r="Q89" s="109">
        <v>399</v>
      </c>
      <c r="R89" s="125">
        <v>599</v>
      </c>
      <c r="S89" s="125">
        <v>499</v>
      </c>
      <c r="T89" s="125">
        <v>399</v>
      </c>
      <c r="U89" s="125">
        <v>399</v>
      </c>
      <c r="V89" s="125">
        <v>399</v>
      </c>
      <c r="W89" s="125">
        <v>399</v>
      </c>
      <c r="X89" s="125">
        <v>399</v>
      </c>
      <c r="Y89" s="125">
        <v>399</v>
      </c>
      <c r="Z89" s="125">
        <v>399</v>
      </c>
      <c r="AA89" s="125">
        <v>399</v>
      </c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11" t="s">
        <v>746</v>
      </c>
    </row>
    <row r="90" spans="2:39" ht="15.5">
      <c r="B90" s="120" t="s">
        <v>820</v>
      </c>
      <c r="C90" s="135">
        <v>4016308</v>
      </c>
      <c r="D90" s="122" t="s">
        <v>906</v>
      </c>
      <c r="E90" s="107" t="s">
        <v>908</v>
      </c>
      <c r="F90" s="123">
        <v>699</v>
      </c>
      <c r="G90" s="123">
        <v>699</v>
      </c>
      <c r="H90" s="124">
        <v>699</v>
      </c>
      <c r="I90" s="124">
        <v>699</v>
      </c>
      <c r="J90" s="109">
        <v>649</v>
      </c>
      <c r="K90" s="109">
        <v>649</v>
      </c>
      <c r="L90" s="109">
        <v>649</v>
      </c>
      <c r="M90" s="125">
        <v>649</v>
      </c>
      <c r="N90" s="125">
        <v>649</v>
      </c>
      <c r="O90" s="109">
        <v>599</v>
      </c>
      <c r="P90" s="109">
        <v>599</v>
      </c>
      <c r="Q90" s="109">
        <v>399</v>
      </c>
      <c r="R90" s="125">
        <v>599</v>
      </c>
      <c r="S90" s="125">
        <v>499</v>
      </c>
      <c r="T90" s="125">
        <v>399</v>
      </c>
      <c r="U90" s="125">
        <v>399</v>
      </c>
      <c r="V90" s="125">
        <v>399</v>
      </c>
      <c r="W90" s="125">
        <v>399</v>
      </c>
      <c r="X90" s="125">
        <v>399</v>
      </c>
      <c r="Y90" s="125">
        <v>399</v>
      </c>
      <c r="Z90" s="125">
        <v>399</v>
      </c>
      <c r="AA90" s="125">
        <v>399</v>
      </c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11" t="s">
        <v>746</v>
      </c>
    </row>
    <row r="91" spans="2:39" ht="15.5">
      <c r="B91" s="120" t="s">
        <v>765</v>
      </c>
      <c r="C91" s="121">
        <v>4016180</v>
      </c>
      <c r="D91" s="122" t="s">
        <v>909</v>
      </c>
      <c r="E91" s="107" t="s">
        <v>910</v>
      </c>
      <c r="F91" s="123">
        <v>999</v>
      </c>
      <c r="G91" s="123">
        <v>999</v>
      </c>
      <c r="H91" s="124">
        <v>999</v>
      </c>
      <c r="I91" s="124">
        <v>999</v>
      </c>
      <c r="J91" s="124">
        <v>949</v>
      </c>
      <c r="K91" s="124">
        <v>949</v>
      </c>
      <c r="L91" s="124">
        <v>949</v>
      </c>
      <c r="M91" s="125">
        <v>949</v>
      </c>
      <c r="N91" s="125">
        <v>949</v>
      </c>
      <c r="O91" s="124">
        <v>899</v>
      </c>
      <c r="P91" s="124">
        <v>799</v>
      </c>
      <c r="Q91" s="109">
        <v>599</v>
      </c>
      <c r="R91" s="125">
        <v>899</v>
      </c>
      <c r="S91" s="125">
        <v>799</v>
      </c>
      <c r="T91" s="124">
        <v>599</v>
      </c>
      <c r="U91" s="125">
        <v>599</v>
      </c>
      <c r="V91" s="125">
        <v>599</v>
      </c>
      <c r="W91" s="125">
        <v>599</v>
      </c>
      <c r="X91" s="125">
        <v>549</v>
      </c>
      <c r="Y91" s="125">
        <v>549</v>
      </c>
      <c r="Z91" s="125">
        <v>549</v>
      </c>
      <c r="AA91" s="125">
        <v>549</v>
      </c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11" t="s">
        <v>746</v>
      </c>
    </row>
    <row r="92" spans="2:39" ht="15.5">
      <c r="B92" s="122" t="s">
        <v>806</v>
      </c>
      <c r="C92" s="121">
        <v>4017353</v>
      </c>
      <c r="D92" s="127" t="s">
        <v>911</v>
      </c>
      <c r="E92" s="107" t="s">
        <v>912</v>
      </c>
      <c r="F92" s="133">
        <v>4599</v>
      </c>
      <c r="G92" s="133">
        <v>2999</v>
      </c>
      <c r="H92" s="133">
        <v>4599</v>
      </c>
      <c r="I92" s="133">
        <v>4599</v>
      </c>
      <c r="J92" s="118">
        <v>4499</v>
      </c>
      <c r="K92" s="118">
        <v>4499</v>
      </c>
      <c r="L92" s="118">
        <v>4499</v>
      </c>
      <c r="M92" s="118">
        <v>4499</v>
      </c>
      <c r="N92" s="118">
        <v>4499</v>
      </c>
      <c r="O92" s="118">
        <v>4499</v>
      </c>
      <c r="P92" s="118">
        <v>4499</v>
      </c>
      <c r="Q92" s="118">
        <v>3899</v>
      </c>
      <c r="R92" s="118">
        <v>4499</v>
      </c>
      <c r="S92" s="118">
        <v>4399</v>
      </c>
      <c r="T92" s="118">
        <v>4099</v>
      </c>
      <c r="U92" s="118">
        <v>3899</v>
      </c>
      <c r="V92" s="118">
        <v>3899</v>
      </c>
      <c r="W92" s="118">
        <v>3799</v>
      </c>
      <c r="X92" s="118">
        <v>3799</v>
      </c>
      <c r="Y92" s="118">
        <v>3376</v>
      </c>
      <c r="Z92" s="118">
        <v>3376</v>
      </c>
      <c r="AA92" s="118">
        <v>3376</v>
      </c>
      <c r="AB92" s="118">
        <v>4499</v>
      </c>
      <c r="AC92" s="118">
        <v>4499</v>
      </c>
      <c r="AD92" s="118">
        <v>4499</v>
      </c>
      <c r="AE92" s="118">
        <v>4499</v>
      </c>
      <c r="AF92" s="118">
        <v>4499</v>
      </c>
      <c r="AG92" s="118">
        <v>4499</v>
      </c>
      <c r="AH92" s="118">
        <v>4499</v>
      </c>
      <c r="AI92" s="118">
        <v>3899</v>
      </c>
      <c r="AJ92" s="118">
        <v>3899</v>
      </c>
      <c r="AK92" s="118">
        <v>3899</v>
      </c>
      <c r="AL92" s="118">
        <v>3376</v>
      </c>
      <c r="AM92" s="111" t="s">
        <v>746</v>
      </c>
    </row>
    <row r="93" spans="2:39" ht="15.5">
      <c r="B93" s="122" t="s">
        <v>747</v>
      </c>
      <c r="C93" s="121">
        <v>4016511</v>
      </c>
      <c r="D93" s="127" t="s">
        <v>913</v>
      </c>
      <c r="E93" s="107" t="s">
        <v>914</v>
      </c>
      <c r="F93" s="133">
        <v>4599</v>
      </c>
      <c r="G93" s="133">
        <v>2999</v>
      </c>
      <c r="H93" s="133">
        <v>4599</v>
      </c>
      <c r="I93" s="133">
        <v>4599</v>
      </c>
      <c r="J93" s="118">
        <v>4499</v>
      </c>
      <c r="K93" s="118">
        <v>4499</v>
      </c>
      <c r="L93" s="118">
        <v>4499</v>
      </c>
      <c r="M93" s="118">
        <v>4499</v>
      </c>
      <c r="N93" s="118">
        <v>4499</v>
      </c>
      <c r="O93" s="118">
        <v>4499</v>
      </c>
      <c r="P93" s="118">
        <v>4499</v>
      </c>
      <c r="Q93" s="118">
        <v>3899</v>
      </c>
      <c r="R93" s="118">
        <v>4499</v>
      </c>
      <c r="S93" s="118">
        <v>4399</v>
      </c>
      <c r="T93" s="118">
        <v>4099</v>
      </c>
      <c r="U93" s="118">
        <v>3899</v>
      </c>
      <c r="V93" s="118">
        <v>3899</v>
      </c>
      <c r="W93" s="118">
        <v>3799</v>
      </c>
      <c r="X93" s="118">
        <v>3799</v>
      </c>
      <c r="Y93" s="118">
        <v>3376</v>
      </c>
      <c r="Z93" s="118">
        <v>3376</v>
      </c>
      <c r="AA93" s="118">
        <v>3376</v>
      </c>
      <c r="AB93" s="118">
        <v>4499</v>
      </c>
      <c r="AC93" s="118">
        <v>4499</v>
      </c>
      <c r="AD93" s="118">
        <v>4499</v>
      </c>
      <c r="AE93" s="118">
        <v>4499</v>
      </c>
      <c r="AF93" s="118">
        <v>4499</v>
      </c>
      <c r="AG93" s="118">
        <v>4499</v>
      </c>
      <c r="AH93" s="118">
        <v>4499</v>
      </c>
      <c r="AI93" s="118">
        <v>3899</v>
      </c>
      <c r="AJ93" s="118">
        <v>3899</v>
      </c>
      <c r="AK93" s="118">
        <v>3899</v>
      </c>
      <c r="AL93" s="118">
        <v>3376</v>
      </c>
      <c r="AM93" s="111" t="s">
        <v>746</v>
      </c>
    </row>
    <row r="94" spans="2:39" ht="15.5">
      <c r="B94" s="122" t="s">
        <v>747</v>
      </c>
      <c r="C94" s="121">
        <v>4016960</v>
      </c>
      <c r="D94" s="127" t="s">
        <v>915</v>
      </c>
      <c r="E94" s="107" t="s">
        <v>916</v>
      </c>
      <c r="F94" s="133">
        <v>4599</v>
      </c>
      <c r="G94" s="133">
        <v>2999</v>
      </c>
      <c r="H94" s="133">
        <v>4599</v>
      </c>
      <c r="I94" s="133">
        <v>4599</v>
      </c>
      <c r="J94" s="118">
        <v>4499</v>
      </c>
      <c r="K94" s="118">
        <v>4499</v>
      </c>
      <c r="L94" s="118">
        <v>4499</v>
      </c>
      <c r="M94" s="118">
        <v>4499</v>
      </c>
      <c r="N94" s="118">
        <v>4499</v>
      </c>
      <c r="O94" s="118">
        <v>4499</v>
      </c>
      <c r="P94" s="118">
        <v>4499</v>
      </c>
      <c r="Q94" s="118">
        <v>3899</v>
      </c>
      <c r="R94" s="118">
        <v>4499</v>
      </c>
      <c r="S94" s="118">
        <v>4399</v>
      </c>
      <c r="T94" s="118">
        <v>4099</v>
      </c>
      <c r="U94" s="118">
        <v>3899</v>
      </c>
      <c r="V94" s="118">
        <v>3899</v>
      </c>
      <c r="W94" s="118">
        <v>3799</v>
      </c>
      <c r="X94" s="118">
        <v>3799</v>
      </c>
      <c r="Y94" s="118">
        <v>3376</v>
      </c>
      <c r="Z94" s="118">
        <v>3376</v>
      </c>
      <c r="AA94" s="118">
        <v>3376</v>
      </c>
      <c r="AB94" s="118">
        <v>4499</v>
      </c>
      <c r="AC94" s="118">
        <v>4499</v>
      </c>
      <c r="AD94" s="118">
        <v>4499</v>
      </c>
      <c r="AE94" s="118">
        <v>4499</v>
      </c>
      <c r="AF94" s="118">
        <v>4499</v>
      </c>
      <c r="AG94" s="118">
        <v>4499</v>
      </c>
      <c r="AH94" s="118">
        <v>4499</v>
      </c>
      <c r="AI94" s="118">
        <v>3899</v>
      </c>
      <c r="AJ94" s="118">
        <v>3899</v>
      </c>
      <c r="AK94" s="118">
        <v>3899</v>
      </c>
      <c r="AL94" s="118">
        <v>3376</v>
      </c>
      <c r="AM94" s="111" t="s">
        <v>746</v>
      </c>
    </row>
    <row r="95" spans="2:39" ht="15.5">
      <c r="B95" s="122" t="s">
        <v>747</v>
      </c>
      <c r="C95" s="121">
        <v>4017129</v>
      </c>
      <c r="D95" s="127" t="s">
        <v>917</v>
      </c>
      <c r="E95" s="107" t="s">
        <v>918</v>
      </c>
      <c r="F95" s="133">
        <v>4599</v>
      </c>
      <c r="G95" s="133">
        <v>2999</v>
      </c>
      <c r="H95" s="133">
        <v>4599</v>
      </c>
      <c r="I95" s="133">
        <v>4599</v>
      </c>
      <c r="J95" s="118">
        <v>4499</v>
      </c>
      <c r="K95" s="118">
        <v>4499</v>
      </c>
      <c r="L95" s="118">
        <v>4499</v>
      </c>
      <c r="M95" s="118">
        <v>4499</v>
      </c>
      <c r="N95" s="118">
        <v>4499</v>
      </c>
      <c r="O95" s="118">
        <v>4499</v>
      </c>
      <c r="P95" s="118">
        <v>4499</v>
      </c>
      <c r="Q95" s="118">
        <v>3899</v>
      </c>
      <c r="R95" s="118">
        <v>4499</v>
      </c>
      <c r="S95" s="118">
        <v>4399</v>
      </c>
      <c r="T95" s="118">
        <v>4099</v>
      </c>
      <c r="U95" s="118">
        <v>3899</v>
      </c>
      <c r="V95" s="118">
        <v>3899</v>
      </c>
      <c r="W95" s="118">
        <v>3799</v>
      </c>
      <c r="X95" s="118">
        <v>3799</v>
      </c>
      <c r="Y95" s="118">
        <v>3376</v>
      </c>
      <c r="Z95" s="118">
        <v>3376</v>
      </c>
      <c r="AA95" s="118">
        <v>3376</v>
      </c>
      <c r="AB95" s="118">
        <v>4499</v>
      </c>
      <c r="AC95" s="118">
        <v>4499</v>
      </c>
      <c r="AD95" s="118">
        <v>4499</v>
      </c>
      <c r="AE95" s="118">
        <v>4499</v>
      </c>
      <c r="AF95" s="118">
        <v>4499</v>
      </c>
      <c r="AG95" s="118">
        <v>4499</v>
      </c>
      <c r="AH95" s="118">
        <v>4499</v>
      </c>
      <c r="AI95" s="118">
        <v>3899</v>
      </c>
      <c r="AJ95" s="118">
        <v>3899</v>
      </c>
      <c r="AK95" s="118">
        <v>3899</v>
      </c>
      <c r="AL95" s="118">
        <v>3376</v>
      </c>
      <c r="AM95" s="111" t="s">
        <v>746</v>
      </c>
    </row>
    <row r="96" spans="2:39" ht="15.5">
      <c r="B96" s="122" t="s">
        <v>747</v>
      </c>
      <c r="C96" s="121">
        <v>4016309</v>
      </c>
      <c r="D96" s="127" t="s">
        <v>919</v>
      </c>
      <c r="E96" s="107" t="s">
        <v>920</v>
      </c>
      <c r="F96" s="133">
        <v>5099</v>
      </c>
      <c r="G96" s="133">
        <v>3999</v>
      </c>
      <c r="H96" s="133">
        <v>5099</v>
      </c>
      <c r="I96" s="133">
        <v>5099</v>
      </c>
      <c r="J96" s="118">
        <v>4999</v>
      </c>
      <c r="K96" s="118">
        <v>4999</v>
      </c>
      <c r="L96" s="118">
        <v>4999</v>
      </c>
      <c r="M96" s="118">
        <v>4999</v>
      </c>
      <c r="N96" s="118">
        <v>4999</v>
      </c>
      <c r="O96" s="118">
        <v>4999</v>
      </c>
      <c r="P96" s="118">
        <v>4999</v>
      </c>
      <c r="Q96" s="118">
        <v>4399</v>
      </c>
      <c r="R96" s="118">
        <v>4999</v>
      </c>
      <c r="S96" s="118">
        <v>4899</v>
      </c>
      <c r="T96" s="118">
        <v>4599</v>
      </c>
      <c r="U96" s="118">
        <v>4399</v>
      </c>
      <c r="V96" s="118">
        <v>4399</v>
      </c>
      <c r="W96" s="118">
        <v>4299</v>
      </c>
      <c r="X96" s="118">
        <v>4299</v>
      </c>
      <c r="Y96" s="118">
        <v>3876</v>
      </c>
      <c r="Z96" s="118">
        <v>3876</v>
      </c>
      <c r="AA96" s="118">
        <v>3876</v>
      </c>
      <c r="AB96" s="118">
        <v>4999</v>
      </c>
      <c r="AC96" s="118">
        <v>4999</v>
      </c>
      <c r="AD96" s="118">
        <v>4999</v>
      </c>
      <c r="AE96" s="118">
        <v>4999</v>
      </c>
      <c r="AF96" s="118">
        <v>4999</v>
      </c>
      <c r="AG96" s="118">
        <v>4999</v>
      </c>
      <c r="AH96" s="118">
        <v>4999</v>
      </c>
      <c r="AI96" s="118">
        <v>4399</v>
      </c>
      <c r="AJ96" s="118">
        <v>4399</v>
      </c>
      <c r="AK96" s="118">
        <v>4399</v>
      </c>
      <c r="AL96" s="118">
        <v>3876</v>
      </c>
      <c r="AM96" s="111" t="s">
        <v>746</v>
      </c>
    </row>
    <row r="97" spans="2:40" ht="15.5">
      <c r="B97" s="122" t="s">
        <v>806</v>
      </c>
      <c r="C97" s="121">
        <v>4016958</v>
      </c>
      <c r="D97" s="127" t="s">
        <v>921</v>
      </c>
      <c r="E97" s="107" t="s">
        <v>922</v>
      </c>
      <c r="F97" s="133">
        <v>5099</v>
      </c>
      <c r="G97" s="133">
        <v>3999</v>
      </c>
      <c r="H97" s="133">
        <v>5099</v>
      </c>
      <c r="I97" s="133">
        <v>5099</v>
      </c>
      <c r="J97" s="118">
        <v>4999</v>
      </c>
      <c r="K97" s="118">
        <v>4999</v>
      </c>
      <c r="L97" s="118">
        <v>4999</v>
      </c>
      <c r="M97" s="118">
        <v>4999</v>
      </c>
      <c r="N97" s="118">
        <v>4999</v>
      </c>
      <c r="O97" s="118">
        <v>4999</v>
      </c>
      <c r="P97" s="118">
        <v>4999</v>
      </c>
      <c r="Q97" s="118">
        <v>4399</v>
      </c>
      <c r="R97" s="118">
        <v>4999</v>
      </c>
      <c r="S97" s="118">
        <v>4899</v>
      </c>
      <c r="T97" s="118">
        <v>4599</v>
      </c>
      <c r="U97" s="118">
        <v>4399</v>
      </c>
      <c r="V97" s="118">
        <v>4399</v>
      </c>
      <c r="W97" s="118">
        <v>4299</v>
      </c>
      <c r="X97" s="118">
        <v>4299</v>
      </c>
      <c r="Y97" s="118">
        <v>3876</v>
      </c>
      <c r="Z97" s="118">
        <v>3876</v>
      </c>
      <c r="AA97" s="118">
        <v>3876</v>
      </c>
      <c r="AB97" s="118">
        <v>4999</v>
      </c>
      <c r="AC97" s="118">
        <v>4999</v>
      </c>
      <c r="AD97" s="118">
        <v>4999</v>
      </c>
      <c r="AE97" s="118">
        <v>4999</v>
      </c>
      <c r="AF97" s="118">
        <v>4999</v>
      </c>
      <c r="AG97" s="118">
        <v>4999</v>
      </c>
      <c r="AH97" s="118">
        <v>4999</v>
      </c>
      <c r="AI97" s="118">
        <v>4399</v>
      </c>
      <c r="AJ97" s="118">
        <v>4399</v>
      </c>
      <c r="AK97" s="118">
        <v>4399</v>
      </c>
      <c r="AL97" s="118">
        <v>3876</v>
      </c>
      <c r="AM97" s="111" t="s">
        <v>746</v>
      </c>
    </row>
    <row r="98" spans="2:40" ht="15.5">
      <c r="B98" s="122" t="s">
        <v>747</v>
      </c>
      <c r="C98" s="121">
        <v>4017128</v>
      </c>
      <c r="D98" s="127" t="s">
        <v>923</v>
      </c>
      <c r="E98" s="107" t="s">
        <v>924</v>
      </c>
      <c r="F98" s="133">
        <v>5099</v>
      </c>
      <c r="G98" s="133">
        <v>3999</v>
      </c>
      <c r="H98" s="133">
        <v>5099</v>
      </c>
      <c r="I98" s="133">
        <v>5099</v>
      </c>
      <c r="J98" s="118">
        <v>4999</v>
      </c>
      <c r="K98" s="118">
        <v>4999</v>
      </c>
      <c r="L98" s="118">
        <v>4999</v>
      </c>
      <c r="M98" s="118">
        <v>4999</v>
      </c>
      <c r="N98" s="118">
        <v>4999</v>
      </c>
      <c r="O98" s="118">
        <v>4999</v>
      </c>
      <c r="P98" s="118">
        <v>4999</v>
      </c>
      <c r="Q98" s="118">
        <v>4399</v>
      </c>
      <c r="R98" s="118">
        <v>4999</v>
      </c>
      <c r="S98" s="118">
        <v>4899</v>
      </c>
      <c r="T98" s="118">
        <v>4599</v>
      </c>
      <c r="U98" s="118">
        <v>4399</v>
      </c>
      <c r="V98" s="118">
        <v>4399</v>
      </c>
      <c r="W98" s="118">
        <v>4299</v>
      </c>
      <c r="X98" s="118">
        <v>4299</v>
      </c>
      <c r="Y98" s="118">
        <v>3876</v>
      </c>
      <c r="Z98" s="118">
        <v>3876</v>
      </c>
      <c r="AA98" s="118">
        <v>3876</v>
      </c>
      <c r="AB98" s="118">
        <v>4999</v>
      </c>
      <c r="AC98" s="118">
        <v>4999</v>
      </c>
      <c r="AD98" s="118">
        <v>4999</v>
      </c>
      <c r="AE98" s="118">
        <v>4999</v>
      </c>
      <c r="AF98" s="118">
        <v>4999</v>
      </c>
      <c r="AG98" s="118">
        <v>4999</v>
      </c>
      <c r="AH98" s="118">
        <v>4999</v>
      </c>
      <c r="AI98" s="118">
        <v>4399</v>
      </c>
      <c r="AJ98" s="118">
        <v>4399</v>
      </c>
      <c r="AK98" s="118">
        <v>4399</v>
      </c>
      <c r="AL98" s="118">
        <v>3876</v>
      </c>
      <c r="AM98" s="111" t="s">
        <v>746</v>
      </c>
      <c r="AN98" s="148"/>
    </row>
    <row r="99" spans="2:40" ht="15.5">
      <c r="B99" s="122" t="s">
        <v>806</v>
      </c>
      <c r="C99" s="121">
        <v>4017326</v>
      </c>
      <c r="D99" s="127" t="s">
        <v>925</v>
      </c>
      <c r="E99" s="107" t="s">
        <v>926</v>
      </c>
      <c r="F99" s="133">
        <v>5099</v>
      </c>
      <c r="G99" s="133">
        <v>3999</v>
      </c>
      <c r="H99" s="133">
        <v>5099</v>
      </c>
      <c r="I99" s="133">
        <v>5099</v>
      </c>
      <c r="J99" s="118">
        <v>4999</v>
      </c>
      <c r="K99" s="118">
        <v>4999</v>
      </c>
      <c r="L99" s="118">
        <v>4999</v>
      </c>
      <c r="M99" s="118">
        <v>4999</v>
      </c>
      <c r="N99" s="118">
        <v>4999</v>
      </c>
      <c r="O99" s="118">
        <v>4999</v>
      </c>
      <c r="P99" s="118">
        <v>4999</v>
      </c>
      <c r="Q99" s="118">
        <v>4399</v>
      </c>
      <c r="R99" s="118">
        <v>4999</v>
      </c>
      <c r="S99" s="118">
        <v>4899</v>
      </c>
      <c r="T99" s="118">
        <v>4599</v>
      </c>
      <c r="U99" s="118">
        <v>4399</v>
      </c>
      <c r="V99" s="118">
        <v>4399</v>
      </c>
      <c r="W99" s="118">
        <v>4299</v>
      </c>
      <c r="X99" s="118">
        <v>4299</v>
      </c>
      <c r="Y99" s="118">
        <v>3876</v>
      </c>
      <c r="Z99" s="118">
        <v>3876</v>
      </c>
      <c r="AA99" s="118">
        <v>3876</v>
      </c>
      <c r="AB99" s="118">
        <v>4999</v>
      </c>
      <c r="AC99" s="118">
        <v>4999</v>
      </c>
      <c r="AD99" s="118">
        <v>4999</v>
      </c>
      <c r="AE99" s="118">
        <v>4999</v>
      </c>
      <c r="AF99" s="118">
        <v>4999</v>
      </c>
      <c r="AG99" s="118">
        <v>4999</v>
      </c>
      <c r="AH99" s="118">
        <v>4999</v>
      </c>
      <c r="AI99" s="118">
        <v>4399</v>
      </c>
      <c r="AJ99" s="118">
        <v>4399</v>
      </c>
      <c r="AK99" s="118">
        <v>4399</v>
      </c>
      <c r="AL99" s="118">
        <v>3876</v>
      </c>
      <c r="AM99" s="111" t="s">
        <v>746</v>
      </c>
      <c r="AN99" s="148"/>
    </row>
    <row r="100" spans="2:40" ht="15.5">
      <c r="B100" s="120" t="s">
        <v>743</v>
      </c>
      <c r="C100" s="121">
        <v>4016298</v>
      </c>
      <c r="D100" s="122" t="s">
        <v>927</v>
      </c>
      <c r="E100" s="107" t="s">
        <v>928</v>
      </c>
      <c r="F100" s="123">
        <v>649</v>
      </c>
      <c r="G100" s="123">
        <v>649</v>
      </c>
      <c r="H100" s="124">
        <v>649</v>
      </c>
      <c r="I100" s="124">
        <v>649</v>
      </c>
      <c r="J100" s="109">
        <v>599</v>
      </c>
      <c r="K100" s="109">
        <v>599</v>
      </c>
      <c r="L100" s="109">
        <v>599</v>
      </c>
      <c r="M100" s="125">
        <v>599</v>
      </c>
      <c r="N100" s="125">
        <v>599</v>
      </c>
      <c r="O100" s="109">
        <v>549</v>
      </c>
      <c r="P100" s="109">
        <v>449</v>
      </c>
      <c r="Q100" s="109">
        <v>349</v>
      </c>
      <c r="R100" s="125">
        <v>549</v>
      </c>
      <c r="S100" s="125">
        <v>449</v>
      </c>
      <c r="T100" s="125">
        <v>349</v>
      </c>
      <c r="U100" s="125">
        <v>349</v>
      </c>
      <c r="V100" s="125">
        <v>349</v>
      </c>
      <c r="W100" s="125">
        <v>349</v>
      </c>
      <c r="X100" s="125">
        <v>349</v>
      </c>
      <c r="Y100" s="125">
        <v>349</v>
      </c>
      <c r="Z100" s="125">
        <v>349</v>
      </c>
      <c r="AA100" s="125">
        <v>349</v>
      </c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11" t="s">
        <v>746</v>
      </c>
      <c r="AN100" s="148"/>
    </row>
    <row r="101" spans="2:40" ht="15.5">
      <c r="B101" s="120" t="s">
        <v>820</v>
      </c>
      <c r="C101" s="121">
        <v>4015924</v>
      </c>
      <c r="D101" s="122" t="s">
        <v>929</v>
      </c>
      <c r="E101" s="107" t="s">
        <v>930</v>
      </c>
      <c r="F101" s="123">
        <v>299</v>
      </c>
      <c r="G101" s="123">
        <v>399</v>
      </c>
      <c r="H101" s="124">
        <v>299</v>
      </c>
      <c r="I101" s="124">
        <v>299</v>
      </c>
      <c r="J101" s="109">
        <v>249</v>
      </c>
      <c r="K101" s="109">
        <v>249</v>
      </c>
      <c r="L101" s="109">
        <v>249</v>
      </c>
      <c r="M101" s="125">
        <v>249</v>
      </c>
      <c r="N101" s="125">
        <v>249</v>
      </c>
      <c r="O101" s="109">
        <v>199</v>
      </c>
      <c r="P101" s="109">
        <v>199</v>
      </c>
      <c r="Q101" s="109">
        <v>199</v>
      </c>
      <c r="R101" s="125">
        <v>199</v>
      </c>
      <c r="S101" s="125">
        <v>199</v>
      </c>
      <c r="T101" s="125">
        <v>199</v>
      </c>
      <c r="U101" s="125">
        <v>199</v>
      </c>
      <c r="V101" s="125">
        <v>199</v>
      </c>
      <c r="W101" s="125">
        <v>199</v>
      </c>
      <c r="X101" s="125">
        <v>199</v>
      </c>
      <c r="Y101" s="125">
        <v>199</v>
      </c>
      <c r="Z101" s="125">
        <v>199</v>
      </c>
      <c r="AA101" s="125">
        <v>199</v>
      </c>
      <c r="AB101" s="125">
        <v>249</v>
      </c>
      <c r="AC101" s="125">
        <v>249</v>
      </c>
      <c r="AD101" s="125">
        <v>249</v>
      </c>
      <c r="AE101" s="125">
        <v>199</v>
      </c>
      <c r="AF101" s="125">
        <v>199</v>
      </c>
      <c r="AG101" s="125">
        <v>199</v>
      </c>
      <c r="AH101" s="125">
        <v>199</v>
      </c>
      <c r="AI101" s="125">
        <v>199</v>
      </c>
      <c r="AJ101" s="125">
        <v>199</v>
      </c>
      <c r="AK101" s="125">
        <v>199</v>
      </c>
      <c r="AL101" s="125">
        <v>199</v>
      </c>
      <c r="AM101" s="111" t="s">
        <v>746</v>
      </c>
      <c r="AN101" s="148"/>
    </row>
    <row r="102" spans="2:40" ht="15.5">
      <c r="B102" s="120" t="s">
        <v>820</v>
      </c>
      <c r="C102" s="121">
        <v>4015922</v>
      </c>
      <c r="D102" s="122" t="s">
        <v>929</v>
      </c>
      <c r="E102" s="107" t="s">
        <v>931</v>
      </c>
      <c r="F102" s="123">
        <v>299</v>
      </c>
      <c r="G102" s="123">
        <v>399</v>
      </c>
      <c r="H102" s="124">
        <v>299</v>
      </c>
      <c r="I102" s="124">
        <v>299</v>
      </c>
      <c r="J102" s="109">
        <v>249</v>
      </c>
      <c r="K102" s="109">
        <v>249</v>
      </c>
      <c r="L102" s="109">
        <v>249</v>
      </c>
      <c r="M102" s="114">
        <v>249</v>
      </c>
      <c r="N102" s="114">
        <v>249</v>
      </c>
      <c r="O102" s="109">
        <v>199</v>
      </c>
      <c r="P102" s="109">
        <v>199</v>
      </c>
      <c r="Q102" s="109">
        <v>199</v>
      </c>
      <c r="R102" s="125">
        <v>199</v>
      </c>
      <c r="S102" s="125">
        <v>199</v>
      </c>
      <c r="T102" s="125">
        <v>199</v>
      </c>
      <c r="U102" s="125">
        <v>199</v>
      </c>
      <c r="V102" s="125">
        <v>199</v>
      </c>
      <c r="W102" s="125">
        <v>199</v>
      </c>
      <c r="X102" s="125">
        <v>199</v>
      </c>
      <c r="Y102" s="125">
        <v>199</v>
      </c>
      <c r="Z102" s="125">
        <v>199</v>
      </c>
      <c r="AA102" s="125">
        <v>199</v>
      </c>
      <c r="AB102" s="125">
        <v>249</v>
      </c>
      <c r="AC102" s="125">
        <v>249</v>
      </c>
      <c r="AD102" s="125">
        <v>249</v>
      </c>
      <c r="AE102" s="125">
        <v>199</v>
      </c>
      <c r="AF102" s="125">
        <v>199</v>
      </c>
      <c r="AG102" s="125">
        <v>199</v>
      </c>
      <c r="AH102" s="125">
        <v>199</v>
      </c>
      <c r="AI102" s="125">
        <v>199</v>
      </c>
      <c r="AJ102" s="125">
        <v>199</v>
      </c>
      <c r="AK102" s="125">
        <v>199</v>
      </c>
      <c r="AL102" s="125">
        <v>199</v>
      </c>
      <c r="AM102" s="111" t="s">
        <v>746</v>
      </c>
      <c r="AN102" s="148"/>
    </row>
    <row r="103" spans="2:40" ht="15.5">
      <c r="B103" s="120" t="s">
        <v>820</v>
      </c>
      <c r="C103" s="121">
        <v>4017419</v>
      </c>
      <c r="D103" s="122" t="s">
        <v>932</v>
      </c>
      <c r="E103" s="107" t="s">
        <v>933</v>
      </c>
      <c r="F103" s="123">
        <v>299</v>
      </c>
      <c r="G103" s="123">
        <v>399</v>
      </c>
      <c r="H103" s="124">
        <v>299</v>
      </c>
      <c r="I103" s="124">
        <v>299</v>
      </c>
      <c r="J103" s="109">
        <v>249</v>
      </c>
      <c r="K103" s="109">
        <v>249</v>
      </c>
      <c r="L103" s="109">
        <v>249</v>
      </c>
      <c r="M103" s="125">
        <v>249</v>
      </c>
      <c r="N103" s="125">
        <v>249</v>
      </c>
      <c r="O103" s="109">
        <v>199</v>
      </c>
      <c r="P103" s="109">
        <v>199</v>
      </c>
      <c r="Q103" s="109">
        <v>199</v>
      </c>
      <c r="R103" s="125">
        <v>199</v>
      </c>
      <c r="S103" s="125">
        <v>199</v>
      </c>
      <c r="T103" s="125">
        <v>199</v>
      </c>
      <c r="U103" s="125">
        <v>199</v>
      </c>
      <c r="V103" s="125">
        <v>199</v>
      </c>
      <c r="W103" s="125">
        <v>199</v>
      </c>
      <c r="X103" s="125">
        <v>199</v>
      </c>
      <c r="Y103" s="125">
        <v>199</v>
      </c>
      <c r="Z103" s="125">
        <v>199</v>
      </c>
      <c r="AA103" s="125">
        <v>199</v>
      </c>
      <c r="AB103" s="125">
        <v>249</v>
      </c>
      <c r="AC103" s="125">
        <v>249</v>
      </c>
      <c r="AD103" s="125">
        <v>249</v>
      </c>
      <c r="AE103" s="125">
        <v>199</v>
      </c>
      <c r="AF103" s="125">
        <v>199</v>
      </c>
      <c r="AG103" s="125">
        <v>199</v>
      </c>
      <c r="AH103" s="125">
        <v>199</v>
      </c>
      <c r="AI103" s="125">
        <v>199</v>
      </c>
      <c r="AJ103" s="125">
        <v>199</v>
      </c>
      <c r="AK103" s="125">
        <v>199</v>
      </c>
      <c r="AL103" s="125">
        <v>199</v>
      </c>
      <c r="AM103" s="111" t="s">
        <v>746</v>
      </c>
    </row>
    <row r="104" spans="2:40" ht="15.5">
      <c r="B104" s="120" t="s">
        <v>820</v>
      </c>
      <c r="C104" s="121">
        <v>4017414</v>
      </c>
      <c r="D104" s="122" t="s">
        <v>932</v>
      </c>
      <c r="E104" s="107" t="s">
        <v>934</v>
      </c>
      <c r="F104" s="123">
        <v>299</v>
      </c>
      <c r="G104" s="123">
        <v>399</v>
      </c>
      <c r="H104" s="124">
        <v>299</v>
      </c>
      <c r="I104" s="124">
        <v>299</v>
      </c>
      <c r="J104" s="109">
        <v>249</v>
      </c>
      <c r="K104" s="109">
        <v>249</v>
      </c>
      <c r="L104" s="109">
        <v>249</v>
      </c>
      <c r="M104" s="125">
        <v>249</v>
      </c>
      <c r="N104" s="125">
        <v>249</v>
      </c>
      <c r="O104" s="109">
        <v>199</v>
      </c>
      <c r="P104" s="109">
        <v>199</v>
      </c>
      <c r="Q104" s="109">
        <v>199</v>
      </c>
      <c r="R104" s="125">
        <v>199</v>
      </c>
      <c r="S104" s="125">
        <v>199</v>
      </c>
      <c r="T104" s="125">
        <v>199</v>
      </c>
      <c r="U104" s="125">
        <v>199</v>
      </c>
      <c r="V104" s="125">
        <v>199</v>
      </c>
      <c r="W104" s="125">
        <v>199</v>
      </c>
      <c r="X104" s="125">
        <v>199</v>
      </c>
      <c r="Y104" s="125">
        <v>199</v>
      </c>
      <c r="Z104" s="125">
        <v>199</v>
      </c>
      <c r="AA104" s="125">
        <v>199</v>
      </c>
      <c r="AB104" s="125">
        <v>249</v>
      </c>
      <c r="AC104" s="125">
        <v>249</v>
      </c>
      <c r="AD104" s="125">
        <v>249</v>
      </c>
      <c r="AE104" s="125">
        <v>199</v>
      </c>
      <c r="AF104" s="125">
        <v>199</v>
      </c>
      <c r="AG104" s="125">
        <v>199</v>
      </c>
      <c r="AH104" s="125">
        <v>199</v>
      </c>
      <c r="AI104" s="125">
        <v>199</v>
      </c>
      <c r="AJ104" s="125">
        <v>199</v>
      </c>
      <c r="AK104" s="125">
        <v>199</v>
      </c>
      <c r="AL104" s="125">
        <v>199</v>
      </c>
      <c r="AM104" s="111" t="s">
        <v>746</v>
      </c>
    </row>
    <row r="105" spans="2:40" ht="15.5">
      <c r="B105" s="120" t="s">
        <v>820</v>
      </c>
      <c r="C105" s="135">
        <v>4015728</v>
      </c>
      <c r="D105" s="122" t="s">
        <v>935</v>
      </c>
      <c r="E105" s="107" t="s">
        <v>936</v>
      </c>
      <c r="F105" s="123">
        <v>199</v>
      </c>
      <c r="G105" s="123">
        <v>199</v>
      </c>
      <c r="H105" s="124"/>
      <c r="I105" s="124"/>
      <c r="J105" s="109"/>
      <c r="K105" s="109"/>
      <c r="L105" s="109"/>
      <c r="M105" s="125"/>
      <c r="N105" s="125"/>
      <c r="O105" s="114"/>
      <c r="P105" s="109"/>
      <c r="Q105" s="109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11" t="s">
        <v>746</v>
      </c>
    </row>
    <row r="106" spans="2:40" ht="15.5">
      <c r="B106" s="120" t="s">
        <v>820</v>
      </c>
      <c r="C106" s="135">
        <v>4015883</v>
      </c>
      <c r="D106" s="122" t="s">
        <v>937</v>
      </c>
      <c r="E106" s="107" t="s">
        <v>938</v>
      </c>
      <c r="F106" s="123">
        <v>199</v>
      </c>
      <c r="G106" s="123">
        <v>199</v>
      </c>
      <c r="H106" s="124"/>
      <c r="I106" s="124"/>
      <c r="J106" s="109"/>
      <c r="K106" s="109"/>
      <c r="L106" s="109"/>
      <c r="M106" s="125"/>
      <c r="N106" s="125"/>
      <c r="O106" s="114"/>
      <c r="P106" s="109"/>
      <c r="Q106" s="109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11" t="s">
        <v>746</v>
      </c>
    </row>
    <row r="107" spans="2:40" ht="15.5">
      <c r="B107" s="122" t="s">
        <v>820</v>
      </c>
      <c r="C107" s="121">
        <v>4015882</v>
      </c>
      <c r="D107" s="130" t="s">
        <v>937</v>
      </c>
      <c r="E107" s="107" t="s">
        <v>939</v>
      </c>
      <c r="F107" s="123">
        <v>199</v>
      </c>
      <c r="G107" s="123">
        <v>199</v>
      </c>
      <c r="H107" s="124"/>
      <c r="I107" s="124"/>
      <c r="J107" s="109"/>
      <c r="K107" s="109"/>
      <c r="L107" s="109"/>
      <c r="M107" s="124"/>
      <c r="N107" s="124"/>
      <c r="O107" s="109"/>
      <c r="P107" s="109"/>
      <c r="Q107" s="109"/>
      <c r="R107" s="124"/>
      <c r="S107" s="124"/>
      <c r="T107" s="124"/>
      <c r="U107" s="124"/>
      <c r="V107" s="124"/>
      <c r="W107" s="124"/>
      <c r="X107" s="124"/>
      <c r="Y107" s="129"/>
      <c r="Z107" s="129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11" t="s">
        <v>746</v>
      </c>
    </row>
    <row r="108" spans="2:40" ht="15.5">
      <c r="B108" s="122" t="s">
        <v>820</v>
      </c>
      <c r="C108" s="121">
        <v>4016401</v>
      </c>
      <c r="D108" s="130" t="s">
        <v>940</v>
      </c>
      <c r="E108" s="107" t="s">
        <v>941</v>
      </c>
      <c r="F108" s="123">
        <v>799</v>
      </c>
      <c r="G108" s="123">
        <v>799</v>
      </c>
      <c r="H108" s="123">
        <v>799</v>
      </c>
      <c r="I108" s="124">
        <v>799</v>
      </c>
      <c r="J108" s="124">
        <v>749</v>
      </c>
      <c r="K108" s="124">
        <v>749</v>
      </c>
      <c r="L108" s="124">
        <v>749</v>
      </c>
      <c r="M108" s="124">
        <v>749</v>
      </c>
      <c r="N108" s="124">
        <v>749</v>
      </c>
      <c r="O108" s="124">
        <v>699</v>
      </c>
      <c r="P108" s="109">
        <v>599</v>
      </c>
      <c r="Q108" s="109">
        <v>449</v>
      </c>
      <c r="R108" s="124">
        <v>699</v>
      </c>
      <c r="S108" s="124">
        <v>599</v>
      </c>
      <c r="T108" s="124">
        <v>449</v>
      </c>
      <c r="U108" s="124">
        <v>449</v>
      </c>
      <c r="V108" s="124">
        <v>449</v>
      </c>
      <c r="W108" s="124">
        <v>449</v>
      </c>
      <c r="X108" s="124">
        <v>449</v>
      </c>
      <c r="Y108" s="124">
        <v>449</v>
      </c>
      <c r="Z108" s="124">
        <v>449</v>
      </c>
      <c r="AA108" s="124">
        <v>449</v>
      </c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11" t="s">
        <v>746</v>
      </c>
    </row>
    <row r="109" spans="2:40" ht="15.5">
      <c r="B109" s="122" t="s">
        <v>820</v>
      </c>
      <c r="C109" s="121">
        <v>4016405</v>
      </c>
      <c r="D109" s="130" t="s">
        <v>940</v>
      </c>
      <c r="E109" s="107" t="s">
        <v>942</v>
      </c>
      <c r="F109" s="123">
        <v>799</v>
      </c>
      <c r="G109" s="123">
        <v>799</v>
      </c>
      <c r="H109" s="123">
        <v>799</v>
      </c>
      <c r="I109" s="124">
        <v>799</v>
      </c>
      <c r="J109" s="109">
        <v>749</v>
      </c>
      <c r="K109" s="109">
        <v>749</v>
      </c>
      <c r="L109" s="109">
        <v>749</v>
      </c>
      <c r="M109" s="124">
        <v>749</v>
      </c>
      <c r="N109" s="124">
        <v>749</v>
      </c>
      <c r="O109" s="109">
        <v>699</v>
      </c>
      <c r="P109" s="109">
        <v>599</v>
      </c>
      <c r="Q109" s="109">
        <v>449</v>
      </c>
      <c r="R109" s="124">
        <v>699</v>
      </c>
      <c r="S109" s="124">
        <v>599</v>
      </c>
      <c r="T109" s="124">
        <v>449</v>
      </c>
      <c r="U109" s="124">
        <v>449</v>
      </c>
      <c r="V109" s="124">
        <v>449</v>
      </c>
      <c r="W109" s="124">
        <v>449</v>
      </c>
      <c r="X109" s="124">
        <v>449</v>
      </c>
      <c r="Y109" s="124">
        <v>449</v>
      </c>
      <c r="Z109" s="124">
        <v>449</v>
      </c>
      <c r="AA109" s="124">
        <v>449</v>
      </c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11" t="s">
        <v>746</v>
      </c>
    </row>
    <row r="110" spans="2:40" ht="15.5">
      <c r="B110" s="122" t="s">
        <v>820</v>
      </c>
      <c r="C110" s="121">
        <v>4016413</v>
      </c>
      <c r="D110" s="130" t="s">
        <v>943</v>
      </c>
      <c r="E110" s="130" t="s">
        <v>944</v>
      </c>
      <c r="F110" s="123">
        <v>799</v>
      </c>
      <c r="G110" s="123">
        <v>799</v>
      </c>
      <c r="H110" s="123">
        <v>799</v>
      </c>
      <c r="I110" s="123">
        <v>799</v>
      </c>
      <c r="J110" s="109">
        <v>749</v>
      </c>
      <c r="K110" s="109">
        <v>749</v>
      </c>
      <c r="L110" s="109">
        <v>749</v>
      </c>
      <c r="M110" s="124">
        <v>749</v>
      </c>
      <c r="N110" s="124">
        <v>749</v>
      </c>
      <c r="O110" s="109">
        <v>699</v>
      </c>
      <c r="P110" s="109">
        <v>599</v>
      </c>
      <c r="Q110" s="109">
        <v>449</v>
      </c>
      <c r="R110" s="124">
        <v>699</v>
      </c>
      <c r="S110" s="124">
        <v>599</v>
      </c>
      <c r="T110" s="124">
        <v>449</v>
      </c>
      <c r="U110" s="124">
        <v>449</v>
      </c>
      <c r="V110" s="124">
        <v>449</v>
      </c>
      <c r="W110" s="124">
        <v>449</v>
      </c>
      <c r="X110" s="124">
        <v>449</v>
      </c>
      <c r="Y110" s="124">
        <v>449</v>
      </c>
      <c r="Z110" s="124">
        <v>449</v>
      </c>
      <c r="AA110" s="124">
        <v>449</v>
      </c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11" t="s">
        <v>746</v>
      </c>
    </row>
    <row r="111" spans="2:40" ht="15.5">
      <c r="B111" s="122" t="s">
        <v>820</v>
      </c>
      <c r="C111" s="121">
        <v>4016414</v>
      </c>
      <c r="D111" s="130" t="s">
        <v>943</v>
      </c>
      <c r="E111" s="107" t="s">
        <v>945</v>
      </c>
      <c r="F111" s="123">
        <v>799</v>
      </c>
      <c r="G111" s="123">
        <v>799</v>
      </c>
      <c r="H111" s="123">
        <v>799</v>
      </c>
      <c r="I111" s="123">
        <v>799</v>
      </c>
      <c r="J111" s="109">
        <v>749</v>
      </c>
      <c r="K111" s="109">
        <v>749</v>
      </c>
      <c r="L111" s="109">
        <v>749</v>
      </c>
      <c r="M111" s="124">
        <v>749</v>
      </c>
      <c r="N111" s="124">
        <v>749</v>
      </c>
      <c r="O111" s="109">
        <v>699</v>
      </c>
      <c r="P111" s="109">
        <v>599</v>
      </c>
      <c r="Q111" s="109">
        <v>449</v>
      </c>
      <c r="R111" s="124">
        <v>699</v>
      </c>
      <c r="S111" s="124">
        <v>599</v>
      </c>
      <c r="T111" s="124">
        <v>449</v>
      </c>
      <c r="U111" s="124">
        <v>449</v>
      </c>
      <c r="V111" s="124">
        <v>449</v>
      </c>
      <c r="W111" s="124">
        <v>449</v>
      </c>
      <c r="X111" s="124">
        <v>449</v>
      </c>
      <c r="Y111" s="124">
        <v>449</v>
      </c>
      <c r="Z111" s="124">
        <v>449</v>
      </c>
      <c r="AA111" s="124">
        <v>449</v>
      </c>
      <c r="AB111" s="124"/>
      <c r="AC111" s="124"/>
      <c r="AD111" s="124"/>
      <c r="AE111" s="124"/>
      <c r="AF111" s="124"/>
      <c r="AG111" s="124"/>
      <c r="AH111" s="124"/>
      <c r="AI111" s="124"/>
      <c r="AJ111" s="124"/>
      <c r="AK111" s="124"/>
      <c r="AL111" s="124"/>
      <c r="AM111" s="111" t="s">
        <v>746</v>
      </c>
    </row>
    <row r="112" spans="2:40" ht="15.5">
      <c r="B112" s="122" t="s">
        <v>820</v>
      </c>
      <c r="C112" s="121">
        <v>4017227</v>
      </c>
      <c r="D112" s="127" t="s">
        <v>946</v>
      </c>
      <c r="E112" s="107" t="s">
        <v>947</v>
      </c>
      <c r="F112" s="123">
        <v>1499</v>
      </c>
      <c r="G112" s="123">
        <v>1499</v>
      </c>
      <c r="H112" s="123">
        <v>1499</v>
      </c>
      <c r="I112" s="123">
        <v>1499</v>
      </c>
      <c r="J112" s="118">
        <v>1399</v>
      </c>
      <c r="K112" s="118">
        <v>1399</v>
      </c>
      <c r="L112" s="118">
        <v>1399</v>
      </c>
      <c r="M112" s="118">
        <v>1399</v>
      </c>
      <c r="N112" s="118">
        <v>1399</v>
      </c>
      <c r="O112" s="118">
        <v>1399</v>
      </c>
      <c r="P112" s="118">
        <v>1399</v>
      </c>
      <c r="Q112" s="118">
        <v>799</v>
      </c>
      <c r="R112" s="118">
        <v>1399</v>
      </c>
      <c r="S112" s="118">
        <v>799</v>
      </c>
      <c r="T112" s="118">
        <v>799</v>
      </c>
      <c r="U112" s="118">
        <v>799</v>
      </c>
      <c r="V112" s="118">
        <v>799</v>
      </c>
      <c r="W112" s="118">
        <v>799</v>
      </c>
      <c r="X112" s="118">
        <v>799</v>
      </c>
      <c r="Y112" s="118">
        <v>799</v>
      </c>
      <c r="Z112" s="118">
        <v>799</v>
      </c>
      <c r="AA112" s="118">
        <v>799</v>
      </c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11" t="s">
        <v>746</v>
      </c>
    </row>
    <row r="113" spans="2:39" ht="15.5">
      <c r="B113" s="122" t="s">
        <v>820</v>
      </c>
      <c r="C113" s="121">
        <v>4017223</v>
      </c>
      <c r="D113" s="127" t="s">
        <v>948</v>
      </c>
      <c r="E113" s="107" t="s">
        <v>949</v>
      </c>
      <c r="F113" s="123">
        <v>1699</v>
      </c>
      <c r="G113" s="123">
        <v>1699</v>
      </c>
      <c r="H113" s="123">
        <v>1699</v>
      </c>
      <c r="I113" s="123">
        <v>1699</v>
      </c>
      <c r="J113" s="118">
        <v>1599</v>
      </c>
      <c r="K113" s="118">
        <v>1599</v>
      </c>
      <c r="L113" s="118">
        <v>1599</v>
      </c>
      <c r="M113" s="118">
        <v>1599</v>
      </c>
      <c r="N113" s="118">
        <v>1599</v>
      </c>
      <c r="O113" s="118">
        <v>1599</v>
      </c>
      <c r="P113" s="118">
        <v>1599</v>
      </c>
      <c r="Q113" s="118">
        <v>799</v>
      </c>
      <c r="R113" s="118">
        <v>1599</v>
      </c>
      <c r="S113" s="118">
        <v>799</v>
      </c>
      <c r="T113" s="118">
        <v>799</v>
      </c>
      <c r="U113" s="118">
        <v>799</v>
      </c>
      <c r="V113" s="118">
        <v>799</v>
      </c>
      <c r="W113" s="118">
        <v>799</v>
      </c>
      <c r="X113" s="118">
        <v>799</v>
      </c>
      <c r="Y113" s="118">
        <v>799</v>
      </c>
      <c r="Z113" s="118">
        <v>799</v>
      </c>
      <c r="AA113" s="118">
        <v>799</v>
      </c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11" t="s">
        <v>746</v>
      </c>
    </row>
    <row r="114" spans="2:39" ht="15.5">
      <c r="B114" s="122" t="s">
        <v>820</v>
      </c>
      <c r="C114" s="121">
        <v>4018151</v>
      </c>
      <c r="D114" s="127" t="s">
        <v>950</v>
      </c>
      <c r="E114" s="107" t="s">
        <v>950</v>
      </c>
      <c r="F114" s="116">
        <v>1999</v>
      </c>
      <c r="G114" s="117">
        <v>1799</v>
      </c>
      <c r="H114" s="116">
        <v>1999</v>
      </c>
      <c r="I114" s="116">
        <v>1999</v>
      </c>
      <c r="J114" s="118">
        <v>1899</v>
      </c>
      <c r="K114" s="118">
        <v>1899</v>
      </c>
      <c r="L114" s="118">
        <v>1899</v>
      </c>
      <c r="M114" s="118">
        <v>1899</v>
      </c>
      <c r="N114" s="118">
        <v>1899</v>
      </c>
      <c r="O114" s="118">
        <v>1899</v>
      </c>
      <c r="P114" s="118">
        <v>1899</v>
      </c>
      <c r="Q114" s="118">
        <v>1799</v>
      </c>
      <c r="R114" s="118">
        <v>1899</v>
      </c>
      <c r="S114" s="118">
        <v>1799</v>
      </c>
      <c r="T114" s="118">
        <v>1499</v>
      </c>
      <c r="U114" s="118">
        <v>1299</v>
      </c>
      <c r="V114" s="118">
        <v>1299</v>
      </c>
      <c r="W114" s="118">
        <v>1199</v>
      </c>
      <c r="X114" s="118">
        <v>1199</v>
      </c>
      <c r="Y114" s="118">
        <v>999</v>
      </c>
      <c r="Z114" s="118">
        <v>999</v>
      </c>
      <c r="AA114" s="118">
        <v>999</v>
      </c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11" t="s">
        <v>746</v>
      </c>
    </row>
    <row r="115" spans="2:39" ht="15.5">
      <c r="B115" s="122" t="s">
        <v>820</v>
      </c>
      <c r="C115" s="121">
        <v>4018129</v>
      </c>
      <c r="D115" s="127" t="s">
        <v>951</v>
      </c>
      <c r="E115" s="107" t="s">
        <v>951</v>
      </c>
      <c r="F115" s="116">
        <v>2099</v>
      </c>
      <c r="G115" s="117">
        <v>1999</v>
      </c>
      <c r="H115" s="116">
        <v>2099</v>
      </c>
      <c r="I115" s="116">
        <v>2099</v>
      </c>
      <c r="J115" s="118">
        <v>1999</v>
      </c>
      <c r="K115" s="118">
        <v>1999</v>
      </c>
      <c r="L115" s="118">
        <v>1999</v>
      </c>
      <c r="M115" s="118">
        <v>1999</v>
      </c>
      <c r="N115" s="118">
        <v>1999</v>
      </c>
      <c r="O115" s="118">
        <v>1999</v>
      </c>
      <c r="P115" s="118">
        <v>1999</v>
      </c>
      <c r="Q115" s="118">
        <v>1899</v>
      </c>
      <c r="R115" s="118">
        <v>1999</v>
      </c>
      <c r="S115" s="118">
        <v>1899</v>
      </c>
      <c r="T115" s="118">
        <v>1599</v>
      </c>
      <c r="U115" s="118">
        <v>1399</v>
      </c>
      <c r="V115" s="118">
        <v>1399</v>
      </c>
      <c r="W115" s="118">
        <v>1299</v>
      </c>
      <c r="X115" s="118">
        <v>1299</v>
      </c>
      <c r="Y115" s="118">
        <v>999</v>
      </c>
      <c r="Z115" s="118">
        <v>999</v>
      </c>
      <c r="AA115" s="118">
        <v>999</v>
      </c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11" t="s">
        <v>746</v>
      </c>
    </row>
    <row r="116" spans="2:39" ht="15.5">
      <c r="B116" s="120" t="s">
        <v>743</v>
      </c>
      <c r="C116" s="121">
        <v>4014008</v>
      </c>
      <c r="D116" s="122" t="s">
        <v>952</v>
      </c>
      <c r="E116" s="107" t="s">
        <v>953</v>
      </c>
      <c r="F116" s="123">
        <v>49</v>
      </c>
      <c r="G116" s="123">
        <v>49</v>
      </c>
      <c r="H116" s="124"/>
      <c r="I116" s="124"/>
      <c r="J116" s="109"/>
      <c r="K116" s="109"/>
      <c r="L116" s="109"/>
      <c r="M116" s="125"/>
      <c r="N116" s="125"/>
      <c r="O116" s="114"/>
      <c r="P116" s="109"/>
      <c r="Q116" s="109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>
        <v>39</v>
      </c>
      <c r="AC116" s="125">
        <v>39</v>
      </c>
      <c r="AD116" s="125">
        <v>39</v>
      </c>
      <c r="AE116" s="125">
        <v>39</v>
      </c>
      <c r="AF116" s="125">
        <v>39</v>
      </c>
      <c r="AG116" s="125">
        <v>39</v>
      </c>
      <c r="AH116" s="125">
        <v>39</v>
      </c>
      <c r="AI116" s="125">
        <v>39</v>
      </c>
      <c r="AJ116" s="125">
        <v>39</v>
      </c>
      <c r="AK116" s="125">
        <v>39</v>
      </c>
      <c r="AL116" s="125">
        <v>39</v>
      </c>
      <c r="AM116" s="111" t="s">
        <v>746</v>
      </c>
    </row>
    <row r="117" spans="2:39" ht="15.5">
      <c r="B117" s="120" t="s">
        <v>743</v>
      </c>
      <c r="C117" s="135">
        <v>4013980</v>
      </c>
      <c r="D117" s="122" t="s">
        <v>954</v>
      </c>
      <c r="E117" s="107" t="s">
        <v>955</v>
      </c>
      <c r="F117" s="123">
        <v>299</v>
      </c>
      <c r="G117" s="123">
        <v>299</v>
      </c>
      <c r="H117" s="124"/>
      <c r="I117" s="124"/>
      <c r="J117" s="109"/>
      <c r="K117" s="109"/>
      <c r="L117" s="109"/>
      <c r="M117" s="125"/>
      <c r="N117" s="125"/>
      <c r="O117" s="109"/>
      <c r="P117" s="109"/>
      <c r="Q117" s="109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>
        <v>289</v>
      </c>
      <c r="AC117" s="125">
        <v>289</v>
      </c>
      <c r="AD117" s="125">
        <v>289</v>
      </c>
      <c r="AE117" s="125">
        <v>289</v>
      </c>
      <c r="AF117" s="125">
        <v>289</v>
      </c>
      <c r="AG117" s="125">
        <v>289</v>
      </c>
      <c r="AH117" s="125">
        <v>289</v>
      </c>
      <c r="AI117" s="125">
        <v>289</v>
      </c>
      <c r="AJ117" s="125">
        <v>289</v>
      </c>
      <c r="AK117" s="125">
        <v>289</v>
      </c>
      <c r="AL117" s="125">
        <v>289</v>
      </c>
      <c r="AM117" s="111" t="s">
        <v>746</v>
      </c>
    </row>
    <row r="118" spans="2:39" ht="15.5">
      <c r="B118" s="122" t="s">
        <v>747</v>
      </c>
      <c r="C118" s="121">
        <v>4016356</v>
      </c>
      <c r="D118" s="130" t="s">
        <v>956</v>
      </c>
      <c r="E118" s="107" t="s">
        <v>957</v>
      </c>
      <c r="F118" s="123">
        <v>149</v>
      </c>
      <c r="G118" s="123">
        <v>149</v>
      </c>
      <c r="H118" s="124"/>
      <c r="I118" s="124"/>
      <c r="J118" s="109"/>
      <c r="K118" s="109"/>
      <c r="L118" s="109"/>
      <c r="M118" s="124"/>
      <c r="N118" s="124"/>
      <c r="O118" s="109"/>
      <c r="P118" s="109"/>
      <c r="Q118" s="109"/>
      <c r="R118" s="124"/>
      <c r="S118" s="124"/>
      <c r="T118" s="124"/>
      <c r="U118" s="124"/>
      <c r="V118" s="124"/>
      <c r="W118" s="124"/>
      <c r="X118" s="124"/>
      <c r="Y118" s="129"/>
      <c r="Z118" s="129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11" t="s">
        <v>746</v>
      </c>
    </row>
    <row r="119" spans="2:39" ht="15.5">
      <c r="B119" s="122" t="s">
        <v>820</v>
      </c>
      <c r="C119" s="121">
        <v>4017692</v>
      </c>
      <c r="D119" s="130" t="s">
        <v>958</v>
      </c>
      <c r="E119" s="107" t="s">
        <v>959</v>
      </c>
      <c r="F119" s="123">
        <v>1999</v>
      </c>
      <c r="G119" s="123">
        <v>1999</v>
      </c>
      <c r="H119" s="124">
        <v>1999</v>
      </c>
      <c r="I119" s="124">
        <v>1999</v>
      </c>
      <c r="J119" s="109">
        <v>1949</v>
      </c>
      <c r="K119" s="109">
        <v>1949</v>
      </c>
      <c r="L119" s="109">
        <v>1949</v>
      </c>
      <c r="M119" s="124">
        <v>1949</v>
      </c>
      <c r="N119" s="124">
        <v>1949</v>
      </c>
      <c r="O119" s="109">
        <v>1899</v>
      </c>
      <c r="P119" s="109">
        <v>1799</v>
      </c>
      <c r="Q119" s="109">
        <v>1599</v>
      </c>
      <c r="R119" s="124">
        <v>1899</v>
      </c>
      <c r="S119" s="124">
        <v>1799</v>
      </c>
      <c r="T119" s="124">
        <v>1599</v>
      </c>
      <c r="U119" s="124">
        <v>1599</v>
      </c>
      <c r="V119" s="124">
        <v>1599</v>
      </c>
      <c r="W119" s="124">
        <v>1599</v>
      </c>
      <c r="X119" s="124">
        <v>1499</v>
      </c>
      <c r="Y119" s="129">
        <v>1199</v>
      </c>
      <c r="Z119" s="129">
        <v>1199</v>
      </c>
      <c r="AA119" s="124">
        <v>1149</v>
      </c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11" t="s">
        <v>746</v>
      </c>
    </row>
    <row r="120" spans="2:39" ht="15.5">
      <c r="B120" s="122" t="s">
        <v>820</v>
      </c>
      <c r="C120" s="122">
        <v>4017240</v>
      </c>
      <c r="D120" s="122" t="s">
        <v>960</v>
      </c>
      <c r="E120" s="122" t="s">
        <v>961</v>
      </c>
      <c r="F120" s="123">
        <v>1999</v>
      </c>
      <c r="G120" s="123">
        <v>1999</v>
      </c>
      <c r="H120" s="124">
        <v>1999</v>
      </c>
      <c r="I120" s="124">
        <v>1999</v>
      </c>
      <c r="J120" s="109">
        <v>1949</v>
      </c>
      <c r="K120" s="109">
        <v>1949</v>
      </c>
      <c r="L120" s="109">
        <v>1949</v>
      </c>
      <c r="M120" s="124">
        <v>1949</v>
      </c>
      <c r="N120" s="124">
        <v>1949</v>
      </c>
      <c r="O120" s="109">
        <v>1899</v>
      </c>
      <c r="P120" s="109">
        <v>1799</v>
      </c>
      <c r="Q120" s="109">
        <v>1599</v>
      </c>
      <c r="R120" s="124">
        <v>1899</v>
      </c>
      <c r="S120" s="124">
        <v>1799</v>
      </c>
      <c r="T120" s="124">
        <v>1599</v>
      </c>
      <c r="U120" s="124">
        <v>1599</v>
      </c>
      <c r="V120" s="124">
        <v>1599</v>
      </c>
      <c r="W120" s="124">
        <v>1599</v>
      </c>
      <c r="X120" s="124">
        <v>1499</v>
      </c>
      <c r="Y120" s="129">
        <v>999</v>
      </c>
      <c r="Z120" s="129">
        <v>999</v>
      </c>
      <c r="AA120" s="124">
        <v>999</v>
      </c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11" t="s">
        <v>746</v>
      </c>
    </row>
    <row r="121" spans="2:39" ht="15.5">
      <c r="B121" s="122" t="s">
        <v>820</v>
      </c>
      <c r="C121" s="122">
        <v>4018211</v>
      </c>
      <c r="D121" s="126" t="s">
        <v>962</v>
      </c>
      <c r="E121" s="122" t="s">
        <v>963</v>
      </c>
      <c r="F121" s="123">
        <v>2799</v>
      </c>
      <c r="G121" s="123">
        <v>2999</v>
      </c>
      <c r="H121" s="124">
        <v>2799</v>
      </c>
      <c r="I121" s="124">
        <v>2799</v>
      </c>
      <c r="J121" s="118">
        <v>2699</v>
      </c>
      <c r="K121" s="118">
        <v>2699</v>
      </c>
      <c r="L121" s="118">
        <v>2699</v>
      </c>
      <c r="M121" s="118">
        <v>2699</v>
      </c>
      <c r="N121" s="118">
        <v>2699</v>
      </c>
      <c r="O121" s="118">
        <v>2699</v>
      </c>
      <c r="P121" s="118">
        <v>2699</v>
      </c>
      <c r="Q121" s="118">
        <v>2099</v>
      </c>
      <c r="R121" s="118">
        <v>2699</v>
      </c>
      <c r="S121" s="118">
        <v>2599</v>
      </c>
      <c r="T121" s="118">
        <v>2299</v>
      </c>
      <c r="U121" s="118">
        <v>2099</v>
      </c>
      <c r="V121" s="118">
        <v>2099</v>
      </c>
      <c r="W121" s="118">
        <v>1999</v>
      </c>
      <c r="X121" s="118">
        <v>1999</v>
      </c>
      <c r="Y121" s="118">
        <v>999</v>
      </c>
      <c r="Z121" s="118">
        <v>999</v>
      </c>
      <c r="AA121" s="118">
        <v>999</v>
      </c>
      <c r="AB121" s="149">
        <v>2699</v>
      </c>
      <c r="AC121" s="149">
        <v>2699</v>
      </c>
      <c r="AD121" s="149">
        <v>2699</v>
      </c>
      <c r="AE121" s="149">
        <v>2699</v>
      </c>
      <c r="AF121" s="149">
        <v>2699</v>
      </c>
      <c r="AG121" s="149">
        <v>2699</v>
      </c>
      <c r="AH121" s="149">
        <v>2699</v>
      </c>
      <c r="AI121" s="149">
        <v>2099</v>
      </c>
      <c r="AJ121" s="149">
        <v>2099</v>
      </c>
      <c r="AK121" s="149">
        <v>2099</v>
      </c>
      <c r="AL121" s="149">
        <v>999</v>
      </c>
      <c r="AM121" s="111" t="s">
        <v>746</v>
      </c>
    </row>
    <row r="122" spans="2:39" ht="15.5">
      <c r="B122" s="122" t="s">
        <v>820</v>
      </c>
      <c r="C122" s="122">
        <v>4018214</v>
      </c>
      <c r="D122" s="126" t="s">
        <v>964</v>
      </c>
      <c r="E122" s="122" t="s">
        <v>965</v>
      </c>
      <c r="F122" s="123">
        <v>4199</v>
      </c>
      <c r="G122" s="123">
        <v>3999</v>
      </c>
      <c r="H122" s="124">
        <v>4199</v>
      </c>
      <c r="I122" s="124">
        <v>4199</v>
      </c>
      <c r="J122" s="118">
        <v>4099</v>
      </c>
      <c r="K122" s="118">
        <v>4099</v>
      </c>
      <c r="L122" s="118">
        <v>4099</v>
      </c>
      <c r="M122" s="118">
        <v>4099</v>
      </c>
      <c r="N122" s="118">
        <v>4099</v>
      </c>
      <c r="O122" s="118">
        <v>4099</v>
      </c>
      <c r="P122" s="118">
        <v>4099</v>
      </c>
      <c r="Q122" s="118">
        <v>3499</v>
      </c>
      <c r="R122" s="118">
        <v>4099</v>
      </c>
      <c r="S122" s="118">
        <v>3999</v>
      </c>
      <c r="T122" s="118">
        <v>3699</v>
      </c>
      <c r="U122" s="118">
        <v>3499</v>
      </c>
      <c r="V122" s="118">
        <v>3499</v>
      </c>
      <c r="W122" s="118">
        <v>3399</v>
      </c>
      <c r="X122" s="118">
        <v>3399</v>
      </c>
      <c r="Y122" s="118">
        <v>1999</v>
      </c>
      <c r="Z122" s="118">
        <v>1999</v>
      </c>
      <c r="AA122" s="118">
        <v>1999</v>
      </c>
      <c r="AB122" s="149">
        <v>4099</v>
      </c>
      <c r="AC122" s="149">
        <v>4099</v>
      </c>
      <c r="AD122" s="149">
        <v>4099</v>
      </c>
      <c r="AE122" s="149">
        <v>4099</v>
      </c>
      <c r="AF122" s="149">
        <v>4099</v>
      </c>
      <c r="AG122" s="149">
        <v>4099</v>
      </c>
      <c r="AH122" s="149">
        <v>4099</v>
      </c>
      <c r="AI122" s="149">
        <v>3499</v>
      </c>
      <c r="AJ122" s="149">
        <v>3499</v>
      </c>
      <c r="AK122" s="149">
        <v>3499</v>
      </c>
      <c r="AL122" s="149">
        <v>1999</v>
      </c>
      <c r="AM122" s="111" t="s">
        <v>746</v>
      </c>
    </row>
    <row r="123" spans="2:39" ht="15.5">
      <c r="B123" s="122" t="s">
        <v>820</v>
      </c>
      <c r="C123" s="150">
        <v>4018043</v>
      </c>
      <c r="D123" s="122" t="s">
        <v>966</v>
      </c>
      <c r="E123" s="122" t="s">
        <v>966</v>
      </c>
      <c r="F123" s="125">
        <v>1368</v>
      </c>
      <c r="G123" s="125">
        <v>1368</v>
      </c>
      <c r="H123" s="125">
        <v>1368</v>
      </c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11" t="s">
        <v>746</v>
      </c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290" spans="4:4">
      <c r="D290" s="11"/>
    </row>
    <row r="291" spans="4:4">
      <c r="D291" s="11"/>
    </row>
    <row r="292" spans="4:4">
      <c r="D292" s="11"/>
    </row>
    <row r="293" spans="4:4">
      <c r="D293" s="11"/>
    </row>
    <row r="294" spans="4:4">
      <c r="D294" s="11"/>
    </row>
    <row r="295" spans="4:4">
      <c r="D295" s="11"/>
    </row>
    <row r="296" spans="4:4">
      <c r="D296" s="11"/>
    </row>
    <row r="297" spans="4:4">
      <c r="D297" s="11"/>
    </row>
    <row r="298" spans="4:4">
      <c r="D298" s="11"/>
    </row>
    <row r="299" spans="4:4">
      <c r="D299" s="11"/>
    </row>
    <row r="519" spans="13:24">
      <c r="M519">
        <v>1249</v>
      </c>
      <c r="N519">
        <v>1049</v>
      </c>
      <c r="R519">
        <v>949</v>
      </c>
      <c r="S519">
        <v>849</v>
      </c>
      <c r="T519">
        <v>749</v>
      </c>
      <c r="U519">
        <v>749</v>
      </c>
      <c r="V519">
        <v>699</v>
      </c>
      <c r="W519">
        <v>649</v>
      </c>
      <c r="X519">
        <v>599</v>
      </c>
    </row>
    <row r="520" spans="13:24">
      <c r="M520">
        <v>1249</v>
      </c>
      <c r="N520">
        <v>1049</v>
      </c>
      <c r="R520">
        <v>949</v>
      </c>
      <c r="S520">
        <v>849</v>
      </c>
      <c r="T520">
        <v>749</v>
      </c>
      <c r="U520">
        <v>749</v>
      </c>
      <c r="V520">
        <v>699</v>
      </c>
      <c r="W520">
        <v>649</v>
      </c>
      <c r="X520">
        <v>599</v>
      </c>
    </row>
    <row r="521" spans="13:24">
      <c r="M521">
        <v>1249</v>
      </c>
      <c r="N521">
        <v>1049</v>
      </c>
      <c r="R521">
        <v>949</v>
      </c>
      <c r="S521">
        <v>849</v>
      </c>
      <c r="T521">
        <v>749</v>
      </c>
      <c r="U521">
        <v>749</v>
      </c>
      <c r="V521">
        <v>699</v>
      </c>
      <c r="W521">
        <v>649</v>
      </c>
      <c r="X521">
        <v>599</v>
      </c>
    </row>
    <row r="522" spans="13:24">
      <c r="M522">
        <v>1249</v>
      </c>
      <c r="N522">
        <v>1049</v>
      </c>
      <c r="R522">
        <v>949</v>
      </c>
      <c r="S522">
        <v>849</v>
      </c>
      <c r="T522">
        <v>749</v>
      </c>
      <c r="U522">
        <v>749</v>
      </c>
      <c r="V522">
        <v>699</v>
      </c>
      <c r="W522">
        <v>649</v>
      </c>
      <c r="X522">
        <v>599</v>
      </c>
    </row>
    <row r="523" spans="13:24">
      <c r="M523">
        <v>1249</v>
      </c>
      <c r="N523">
        <v>1049</v>
      </c>
      <c r="R523">
        <v>949</v>
      </c>
      <c r="S523">
        <v>849</v>
      </c>
      <c r="T523">
        <v>749</v>
      </c>
      <c r="U523">
        <v>749</v>
      </c>
      <c r="V523">
        <v>699</v>
      </c>
      <c r="W523">
        <v>649</v>
      </c>
      <c r="X523">
        <v>599</v>
      </c>
    </row>
    <row r="524" spans="13:24">
      <c r="M524">
        <v>1249</v>
      </c>
      <c r="N524">
        <v>1049</v>
      </c>
      <c r="R524">
        <v>949</v>
      </c>
      <c r="S524">
        <v>849</v>
      </c>
      <c r="T524">
        <v>749</v>
      </c>
      <c r="U524">
        <v>749</v>
      </c>
      <c r="V524">
        <v>699</v>
      </c>
      <c r="W524">
        <v>649</v>
      </c>
      <c r="X524">
        <v>599</v>
      </c>
    </row>
    <row r="525" spans="13:24">
      <c r="M525">
        <v>1249</v>
      </c>
      <c r="N525">
        <v>1049</v>
      </c>
      <c r="R525">
        <v>949</v>
      </c>
      <c r="S525">
        <v>849</v>
      </c>
      <c r="T525">
        <v>749</v>
      </c>
      <c r="U525">
        <v>749</v>
      </c>
      <c r="V525">
        <v>699</v>
      </c>
      <c r="W525">
        <v>649</v>
      </c>
      <c r="X525">
        <v>599</v>
      </c>
    </row>
    <row r="526" spans="13:24">
      <c r="M526">
        <v>1249</v>
      </c>
      <c r="N526">
        <v>1049</v>
      </c>
      <c r="R526">
        <v>949</v>
      </c>
      <c r="S526">
        <v>849</v>
      </c>
      <c r="T526">
        <v>749</v>
      </c>
      <c r="U526">
        <v>749</v>
      </c>
      <c r="V526">
        <v>699</v>
      </c>
      <c r="W526">
        <v>649</v>
      </c>
      <c r="X526">
        <v>599</v>
      </c>
    </row>
    <row r="544" spans="13:24">
      <c r="M544">
        <v>1349</v>
      </c>
      <c r="N544">
        <v>1249</v>
      </c>
      <c r="R544">
        <v>1149</v>
      </c>
      <c r="S544">
        <v>999</v>
      </c>
      <c r="T544">
        <v>799</v>
      </c>
      <c r="U544">
        <v>799</v>
      </c>
      <c r="V544">
        <v>749</v>
      </c>
      <c r="W544">
        <v>699</v>
      </c>
      <c r="X544">
        <v>649</v>
      </c>
    </row>
    <row r="545" spans="13:24">
      <c r="M545">
        <v>1349</v>
      </c>
      <c r="N545">
        <v>1249</v>
      </c>
      <c r="R545">
        <v>1149</v>
      </c>
      <c r="S545">
        <v>999</v>
      </c>
      <c r="T545">
        <v>799</v>
      </c>
      <c r="U545">
        <v>799</v>
      </c>
      <c r="V545">
        <v>749</v>
      </c>
      <c r="W545">
        <v>699</v>
      </c>
      <c r="X545">
        <v>649</v>
      </c>
    </row>
    <row r="546" spans="13:24">
      <c r="M546">
        <v>1349</v>
      </c>
      <c r="N546">
        <v>1249</v>
      </c>
      <c r="R546">
        <v>1149</v>
      </c>
      <c r="S546">
        <v>999</v>
      </c>
      <c r="T546">
        <v>799</v>
      </c>
      <c r="U546">
        <v>799</v>
      </c>
      <c r="V546">
        <v>749</v>
      </c>
      <c r="W546">
        <v>699</v>
      </c>
      <c r="X546">
        <v>649</v>
      </c>
    </row>
    <row r="547" spans="13:24">
      <c r="M547">
        <v>1349</v>
      </c>
      <c r="N547">
        <v>1249</v>
      </c>
      <c r="R547">
        <v>1149</v>
      </c>
      <c r="S547">
        <v>999</v>
      </c>
      <c r="T547">
        <v>799</v>
      </c>
      <c r="U547">
        <v>799</v>
      </c>
      <c r="V547">
        <v>749</v>
      </c>
      <c r="W547">
        <v>699</v>
      </c>
      <c r="X547">
        <v>649</v>
      </c>
    </row>
    <row r="548" spans="13:24">
      <c r="M548">
        <v>1349</v>
      </c>
      <c r="N548">
        <v>1249</v>
      </c>
      <c r="R548">
        <v>1149</v>
      </c>
      <c r="S548">
        <v>999</v>
      </c>
      <c r="T548">
        <v>799</v>
      </c>
      <c r="U548">
        <v>799</v>
      </c>
      <c r="V548">
        <v>749</v>
      </c>
      <c r="W548">
        <v>699</v>
      </c>
      <c r="X548">
        <v>649</v>
      </c>
    </row>
    <row r="549" spans="13:24">
      <c r="M549">
        <v>1349</v>
      </c>
      <c r="N549">
        <v>1249</v>
      </c>
      <c r="R549">
        <v>1149</v>
      </c>
      <c r="S549">
        <v>999</v>
      </c>
      <c r="T549">
        <v>799</v>
      </c>
      <c r="U549">
        <v>799</v>
      </c>
      <c r="V549">
        <v>749</v>
      </c>
      <c r="W549">
        <v>699</v>
      </c>
      <c r="X549">
        <v>649</v>
      </c>
    </row>
    <row r="620" spans="13:24">
      <c r="M620">
        <v>2799</v>
      </c>
      <c r="N620">
        <v>2699</v>
      </c>
      <c r="R620">
        <v>2599</v>
      </c>
      <c r="S620">
        <v>2449</v>
      </c>
      <c r="T620">
        <v>2199</v>
      </c>
      <c r="U620">
        <v>2199</v>
      </c>
      <c r="V620">
        <v>2099</v>
      </c>
      <c r="W620">
        <v>1899</v>
      </c>
      <c r="X620">
        <v>1849</v>
      </c>
    </row>
    <row r="621" spans="13:24">
      <c r="M621">
        <v>2799</v>
      </c>
      <c r="N621">
        <v>2699</v>
      </c>
      <c r="R621">
        <v>2599</v>
      </c>
      <c r="S621">
        <v>2449</v>
      </c>
      <c r="T621">
        <v>2199</v>
      </c>
      <c r="U621">
        <v>2199</v>
      </c>
      <c r="V621">
        <v>2099</v>
      </c>
      <c r="W621">
        <v>1899</v>
      </c>
      <c r="X621">
        <v>1849</v>
      </c>
    </row>
    <row r="622" spans="13:24">
      <c r="M622">
        <v>2799</v>
      </c>
      <c r="N622">
        <v>2699</v>
      </c>
      <c r="R622">
        <v>2599</v>
      </c>
      <c r="S622">
        <v>2449</v>
      </c>
      <c r="T622">
        <v>2199</v>
      </c>
      <c r="U622">
        <v>2199</v>
      </c>
      <c r="V622">
        <v>2099</v>
      </c>
      <c r="W622">
        <v>1899</v>
      </c>
      <c r="X622">
        <v>1849</v>
      </c>
    </row>
    <row r="623" spans="13:24">
      <c r="M623">
        <v>2799</v>
      </c>
      <c r="N623">
        <v>2699</v>
      </c>
      <c r="R623">
        <v>2599</v>
      </c>
      <c r="S623">
        <v>2449</v>
      </c>
      <c r="T623">
        <v>2199</v>
      </c>
      <c r="U623">
        <v>2199</v>
      </c>
      <c r="V623">
        <v>2099</v>
      </c>
      <c r="W623">
        <v>1899</v>
      </c>
      <c r="X623">
        <v>1849</v>
      </c>
    </row>
  </sheetData>
  <autoFilter ref="B7:AN123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C5B7-856B-467E-A1D3-2CEBCFBA514F}">
  <dimension ref="A1:AX526"/>
  <sheetViews>
    <sheetView showGridLines="0" zoomScale="75" zoomScaleNormal="75" workbookViewId="0">
      <pane xSplit="5" ySplit="12" topLeftCell="F119" activePane="bottomRight" state="frozen"/>
      <selection activeCell="D483" sqref="D483"/>
      <selection pane="topRight" activeCell="D483" sqref="D483"/>
      <selection pane="bottomLeft" activeCell="D483" sqref="D483"/>
      <selection pane="bottomRight" activeCell="D120" sqref="D120:D125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46325</v>
      </c>
      <c r="H11" s="208"/>
      <c r="I11" s="208"/>
      <c r="J11" s="209" t="s">
        <v>8</v>
      </c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1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3" t="s">
        <v>9</v>
      </c>
      <c r="AN11" s="214"/>
      <c r="AO11" s="214"/>
      <c r="AP11" s="215" t="s">
        <v>10</v>
      </c>
      <c r="AQ11" s="216"/>
      <c r="AR11" s="216"/>
      <c r="AS11" s="216"/>
      <c r="AT11" s="216"/>
      <c r="AU11" s="217"/>
      <c r="AV11" s="22"/>
    </row>
    <row r="12" spans="1:50" ht="62.5" thickBot="1">
      <c r="A12" s="24" t="s">
        <v>11</v>
      </c>
      <c r="B12" s="24" t="s">
        <v>12</v>
      </c>
      <c r="C12" s="24" t="s">
        <v>13</v>
      </c>
      <c r="D12" s="24" t="s">
        <v>14</v>
      </c>
      <c r="E12" s="25" t="s">
        <v>15</v>
      </c>
      <c r="F12" s="26" t="s">
        <v>967</v>
      </c>
      <c r="G12" s="27" t="s">
        <v>17</v>
      </c>
      <c r="H12" s="28" t="s">
        <v>18</v>
      </c>
      <c r="I12" s="29" t="s">
        <v>19</v>
      </c>
      <c r="J12" s="30" t="s">
        <v>20</v>
      </c>
      <c r="K12" s="30" t="s">
        <v>21</v>
      </c>
      <c r="L12" s="30" t="s">
        <v>22</v>
      </c>
      <c r="M12" s="30" t="s">
        <v>23</v>
      </c>
      <c r="N12" s="30" t="s">
        <v>24</v>
      </c>
      <c r="O12" s="31" t="s">
        <v>25</v>
      </c>
      <c r="P12" s="31" t="s">
        <v>26</v>
      </c>
      <c r="Q12" s="31" t="s">
        <v>27</v>
      </c>
      <c r="R12" s="31" t="s">
        <v>28</v>
      </c>
      <c r="S12" s="31" t="s">
        <v>29</v>
      </c>
      <c r="T12" s="31" t="s">
        <v>30</v>
      </c>
      <c r="U12" s="31" t="s">
        <v>31</v>
      </c>
      <c r="V12" s="32" t="s">
        <v>32</v>
      </c>
      <c r="W12" s="32" t="s">
        <v>33</v>
      </c>
      <c r="X12" s="32" t="s">
        <v>34</v>
      </c>
      <c r="Y12" s="32" t="s">
        <v>35</v>
      </c>
      <c r="Z12" s="32" t="s">
        <v>36</v>
      </c>
      <c r="AA12" s="32" t="s">
        <v>37</v>
      </c>
      <c r="AB12" s="33" t="s">
        <v>38</v>
      </c>
      <c r="AC12" s="33" t="s">
        <v>39</v>
      </c>
      <c r="AD12" s="33" t="s">
        <v>40</v>
      </c>
      <c r="AE12" s="33" t="s">
        <v>41</v>
      </c>
      <c r="AF12" s="33" t="s">
        <v>42</v>
      </c>
      <c r="AG12" s="33" t="s">
        <v>43</v>
      </c>
      <c r="AH12" s="33" t="s">
        <v>44</v>
      </c>
      <c r="AI12" s="33" t="s">
        <v>45</v>
      </c>
      <c r="AJ12" s="33" t="s">
        <v>46</v>
      </c>
      <c r="AK12" s="33" t="s">
        <v>47</v>
      </c>
      <c r="AL12" s="33" t="s">
        <v>48</v>
      </c>
      <c r="AM12" s="34" t="s">
        <v>49</v>
      </c>
      <c r="AN12" s="34" t="s">
        <v>50</v>
      </c>
      <c r="AO12" s="35" t="s">
        <v>51</v>
      </c>
      <c r="AP12" s="36" t="s">
        <v>52</v>
      </c>
      <c r="AQ12" s="36" t="s">
        <v>53</v>
      </c>
      <c r="AR12" s="36" t="s">
        <v>54</v>
      </c>
      <c r="AS12" s="36" t="s">
        <v>55</v>
      </c>
      <c r="AT12" s="36" t="s">
        <v>56</v>
      </c>
      <c r="AU12" s="36" t="s">
        <v>57</v>
      </c>
      <c r="AV12" s="37"/>
      <c r="AW12" s="152" t="s">
        <v>58</v>
      </c>
      <c r="AX12" s="152" t="s">
        <v>59</v>
      </c>
    </row>
    <row r="13" spans="1:50" ht="22.5" customHeight="1">
      <c r="A13" s="41" t="s">
        <v>63</v>
      </c>
      <c r="B13" s="42" t="s">
        <v>64</v>
      </c>
      <c r="C13" s="43">
        <v>4014380</v>
      </c>
      <c r="D13" s="44" t="s">
        <v>65</v>
      </c>
      <c r="E13" s="44" t="s">
        <v>66</v>
      </c>
      <c r="F13" s="45"/>
      <c r="G13" s="45"/>
      <c r="H13" s="46"/>
      <c r="I13" s="46"/>
      <c r="J13" s="46">
        <f>IF(VLOOKUP($C13,REV!$C:$AA,8,0)-'TRADE IN'!$F13=0,"",(VLOOKUP($C13,REV!$C:$AA,8,0)-'TRADE IN'!$F13))</f>
        <v>999</v>
      </c>
      <c r="K13" s="46">
        <f>IF(VLOOKUP($C13,REV!$C:$AA,9,0)-'TRADE IN'!$F13=0,"",(VLOOKUP($C13,REV!$C:$AA,9,0)-'TRADE IN'!$F13))</f>
        <v>999</v>
      </c>
      <c r="L13" s="46">
        <f>IF(VLOOKUP($C13,REV!$C:$AA,10,0)-'TRADE IN'!$F13=0,"",(VLOOKUP($C13,REV!$C:$AA,10,0)-'TRADE IN'!$F13))</f>
        <v>999</v>
      </c>
      <c r="M13" s="46">
        <f>IF(VLOOKUP($C13,REV!$C:$AA,11,0)-'TRADE IN'!$F13=0,"",(VLOOKUP($C13,REV!$C:$AA,11,0)-'TRADE IN'!$F13))</f>
        <v>999</v>
      </c>
      <c r="N13" s="46">
        <f>IF(VLOOKUP($C13,REV!$C:$AA,12,0)-'TRADE IN'!$F13=0,"",(VLOOKUP($C13,REV!$C:$AA,12,0)-'TRADE IN'!$F13))</f>
        <v>999</v>
      </c>
      <c r="O13" s="46">
        <f>IF(VLOOKUP($C13,REV!$C:$AA,13,0)-'TRADE IN'!$F13=0,"",(VLOOKUP($C13,REV!$C:$AA,13,0)-'TRADE IN'!$F13))</f>
        <v>999</v>
      </c>
      <c r="P13" s="46">
        <f>IF(VLOOKUP($C13,REV!$C:$AA,14,0)-'TRADE IN'!$F13=0,"",(VLOOKUP($C13,REV!$C:$AA,14,0)-'TRADE IN'!$F13))</f>
        <v>999</v>
      </c>
      <c r="Q13" s="46">
        <f>IF(VLOOKUP($C13,REV!$C:$AA,15,0)-'TRADE IN'!$F13=0,"",(VLOOKUP($C13,REV!$C:$AA,15,0)-'TRADE IN'!$F13))</f>
        <v>999</v>
      </c>
      <c r="R13" s="46">
        <f>IF(VLOOKUP($C13,REV!$C:$AA,16,0)-'TRADE IN'!$F13=0,"",(VLOOKUP($C13,REV!$C:$AA,16,0)-'TRADE IN'!$F13))</f>
        <v>999</v>
      </c>
      <c r="S13" s="46">
        <f>IF(VLOOKUP($C13,REV!$C:$AA,17,0)-'TRADE IN'!$F13=0,"",(VLOOKUP($C13,REV!$C:$AA,17,0)-'TRADE IN'!$F13))</f>
        <v>999</v>
      </c>
      <c r="T13" s="46">
        <f>IF(VLOOKUP($C13,REV!$C:$AA,18,0)-'TRADE IN'!$F13=0,"",(VLOOKUP($C13,REV!$C:$AA,18,0)-'TRADE IN'!$F13))</f>
        <v>999</v>
      </c>
      <c r="U13" s="46">
        <f>IF(VLOOKUP($C13,REV!$C:$AA,19,0)-'TRADE IN'!$F13=0,"",(VLOOKUP($C13,REV!$C:$AA,19,0)-'TRADE IN'!$F13))</f>
        <v>999</v>
      </c>
      <c r="V13" s="46">
        <f>IF(VLOOKUP($C13,REV!$C:$AA,20,0)-'TRADE IN'!$F13=0,"",(VLOOKUP($C13,REV!$C:$AA,20,0)-'TRADE IN'!$F13))</f>
        <v>999</v>
      </c>
      <c r="W13" s="46">
        <f>IF(VLOOKUP($C13,REV!$C:$AA,21,0)-'TRADE IN'!$F13=0,"",(VLOOKUP($C13,REV!$C:$AA,21,0)-'TRADE IN'!$F13))</f>
        <v>999</v>
      </c>
      <c r="X13" s="46">
        <f>IF(VLOOKUP($C13,REV!$C:$AA,22,0)-'TRADE IN'!$F13=0,"",(VLOOKUP($C13,REV!$C:$AA,22,0)-'TRADE IN'!$F13))</f>
        <v>999</v>
      </c>
      <c r="Y13" s="46">
        <f>IF(VLOOKUP($C13,REV!$C:$AA,23,0)-'TRADE IN'!$F13=0,"",(VLOOKUP($C13,REV!$C:$AA,23,0)-'TRADE IN'!$F13))</f>
        <v>999</v>
      </c>
      <c r="Z13" s="46">
        <f>IF(VLOOKUP($C13,REV!$C:$AA,24,0)-'TRADE IN'!$F13=0,"",(VLOOKUP($C13,REV!$C:$AA,24,0)-'TRADE IN'!$F13))</f>
        <v>999</v>
      </c>
      <c r="AA13" s="46">
        <f>IF(VLOOKUP($C13,REV!$C:$AA,25,0)-'TRADE IN'!$F13=0,"",(VLOOKUP($C13,REV!$C:$AA,25,0)-'TRADE IN'!$F13))</f>
        <v>999</v>
      </c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7"/>
      <c r="AW13" s="48" t="str">
        <f>REV!AW13</f>
        <v>01.12.2026</v>
      </c>
      <c r="AX13" s="153" t="str">
        <f>VLOOKUP(C13,REV!C:AX,48,0)</f>
        <v>5G</v>
      </c>
    </row>
    <row r="14" spans="1:50" ht="22.5" customHeight="1">
      <c r="A14" s="41" t="s">
        <v>63</v>
      </c>
      <c r="B14" s="42" t="s">
        <v>64</v>
      </c>
      <c r="C14" s="43">
        <v>4014382</v>
      </c>
      <c r="D14" s="44" t="s">
        <v>65</v>
      </c>
      <c r="E14" s="44" t="s">
        <v>69</v>
      </c>
      <c r="F14" s="45"/>
      <c r="G14" s="45"/>
      <c r="H14" s="46"/>
      <c r="I14" s="46"/>
      <c r="J14" s="46">
        <f>IF(VLOOKUP($C14,REV!$C:$AA,8,0)-'TRADE IN'!$F14=0,"",(VLOOKUP($C14,REV!$C:$AA,8,0)-'TRADE IN'!$F14))</f>
        <v>999</v>
      </c>
      <c r="K14" s="46">
        <f>IF(VLOOKUP($C14,REV!$C:$AA,9,0)-'TRADE IN'!$F14=0,"",(VLOOKUP($C14,REV!$C:$AA,9,0)-'TRADE IN'!$F14))</f>
        <v>999</v>
      </c>
      <c r="L14" s="46">
        <f>IF(VLOOKUP($C14,REV!$C:$AA,10,0)-'TRADE IN'!$F14=0,"",(VLOOKUP($C14,REV!$C:$AA,10,0)-'TRADE IN'!$F14))</f>
        <v>999</v>
      </c>
      <c r="M14" s="46">
        <f>IF(VLOOKUP($C14,REV!$C:$AA,11,0)-'TRADE IN'!$F14=0,"",(VLOOKUP($C14,REV!$C:$AA,11,0)-'TRADE IN'!$F14))</f>
        <v>999</v>
      </c>
      <c r="N14" s="46">
        <f>IF(VLOOKUP($C14,REV!$C:$AA,12,0)-'TRADE IN'!$F14=0,"",(VLOOKUP($C14,REV!$C:$AA,12,0)-'TRADE IN'!$F14))</f>
        <v>999</v>
      </c>
      <c r="O14" s="46">
        <f>IF(VLOOKUP($C14,REV!$C:$AA,13,0)-'TRADE IN'!$F14=0,"",(VLOOKUP($C14,REV!$C:$AA,13,0)-'TRADE IN'!$F14))</f>
        <v>999</v>
      </c>
      <c r="P14" s="46">
        <f>IF(VLOOKUP($C14,REV!$C:$AA,14,0)-'TRADE IN'!$F14=0,"",(VLOOKUP($C14,REV!$C:$AA,14,0)-'TRADE IN'!$F14))</f>
        <v>999</v>
      </c>
      <c r="Q14" s="46">
        <f>IF(VLOOKUP($C14,REV!$C:$AA,15,0)-'TRADE IN'!$F14=0,"",(VLOOKUP($C14,REV!$C:$AA,15,0)-'TRADE IN'!$F14))</f>
        <v>999</v>
      </c>
      <c r="R14" s="46">
        <f>IF(VLOOKUP($C14,REV!$C:$AA,16,0)-'TRADE IN'!$F14=0,"",(VLOOKUP($C14,REV!$C:$AA,16,0)-'TRADE IN'!$F14))</f>
        <v>999</v>
      </c>
      <c r="S14" s="46">
        <f>IF(VLOOKUP($C14,REV!$C:$AA,17,0)-'TRADE IN'!$F14=0,"",(VLOOKUP($C14,REV!$C:$AA,17,0)-'TRADE IN'!$F14))</f>
        <v>999</v>
      </c>
      <c r="T14" s="46">
        <f>IF(VLOOKUP($C14,REV!$C:$AA,18,0)-'TRADE IN'!$F14=0,"",(VLOOKUP($C14,REV!$C:$AA,18,0)-'TRADE IN'!$F14))</f>
        <v>999</v>
      </c>
      <c r="U14" s="46">
        <f>IF(VLOOKUP($C14,REV!$C:$AA,19,0)-'TRADE IN'!$F14=0,"",(VLOOKUP($C14,REV!$C:$AA,19,0)-'TRADE IN'!$F14))</f>
        <v>999</v>
      </c>
      <c r="V14" s="46">
        <f>IF(VLOOKUP($C14,REV!$C:$AA,20,0)-'TRADE IN'!$F14=0,"",(VLOOKUP($C14,REV!$C:$AA,20,0)-'TRADE IN'!$F14))</f>
        <v>999</v>
      </c>
      <c r="W14" s="46">
        <f>IF(VLOOKUP($C14,REV!$C:$AA,21,0)-'TRADE IN'!$F14=0,"",(VLOOKUP($C14,REV!$C:$AA,21,0)-'TRADE IN'!$F14))</f>
        <v>999</v>
      </c>
      <c r="X14" s="46">
        <f>IF(VLOOKUP($C14,REV!$C:$AA,22,0)-'TRADE IN'!$F14=0,"",(VLOOKUP($C14,REV!$C:$AA,22,0)-'TRADE IN'!$F14))</f>
        <v>999</v>
      </c>
      <c r="Y14" s="46">
        <f>IF(VLOOKUP($C14,REV!$C:$AA,23,0)-'TRADE IN'!$F14=0,"",(VLOOKUP($C14,REV!$C:$AA,23,0)-'TRADE IN'!$F14))</f>
        <v>999</v>
      </c>
      <c r="Z14" s="46">
        <f>IF(VLOOKUP($C14,REV!$C:$AA,24,0)-'TRADE IN'!$F14=0,"",(VLOOKUP($C14,REV!$C:$AA,24,0)-'TRADE IN'!$F14))</f>
        <v>999</v>
      </c>
      <c r="AA14" s="46">
        <f>IF(VLOOKUP($C14,REV!$C:$AA,25,0)-'TRADE IN'!$F14=0,"",(VLOOKUP($C14,REV!$C:$AA,25,0)-'TRADE IN'!$F14))</f>
        <v>999</v>
      </c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7"/>
      <c r="AW14" s="48" t="str">
        <f>REV!AW14</f>
        <v>01.12.2026</v>
      </c>
      <c r="AX14" s="153" t="str">
        <f>VLOOKUP(C14,REV!C:AX,48,0)</f>
        <v>5G</v>
      </c>
    </row>
    <row r="15" spans="1:50" ht="22.5" customHeight="1">
      <c r="A15" s="41" t="s">
        <v>63</v>
      </c>
      <c r="B15" s="42" t="s">
        <v>64</v>
      </c>
      <c r="C15" s="43">
        <v>4014391</v>
      </c>
      <c r="D15" s="44" t="s">
        <v>70</v>
      </c>
      <c r="E15" s="44" t="s">
        <v>71</v>
      </c>
      <c r="F15" s="45"/>
      <c r="G15" s="45"/>
      <c r="H15" s="46"/>
      <c r="I15" s="46"/>
      <c r="J15" s="46">
        <f>IF(VLOOKUP($C15,REV!$C:$AA,8,0)-'TRADE IN'!$F15=0,"",(VLOOKUP($C15,REV!$C:$AA,8,0)-'TRADE IN'!$F15))</f>
        <v>999</v>
      </c>
      <c r="K15" s="46">
        <f>IF(VLOOKUP($C15,REV!$C:$AA,9,0)-'TRADE IN'!$F15=0,"",(VLOOKUP($C15,REV!$C:$AA,9,0)-'TRADE IN'!$F15))</f>
        <v>999</v>
      </c>
      <c r="L15" s="46">
        <f>IF(VLOOKUP($C15,REV!$C:$AA,10,0)-'TRADE IN'!$F15=0,"",(VLOOKUP($C15,REV!$C:$AA,10,0)-'TRADE IN'!$F15))</f>
        <v>999</v>
      </c>
      <c r="M15" s="46">
        <f>IF(VLOOKUP($C15,REV!$C:$AA,11,0)-'TRADE IN'!$F15=0,"",(VLOOKUP($C15,REV!$C:$AA,11,0)-'TRADE IN'!$F15))</f>
        <v>999</v>
      </c>
      <c r="N15" s="46">
        <f>IF(VLOOKUP($C15,REV!$C:$AA,12,0)-'TRADE IN'!$F15=0,"",(VLOOKUP($C15,REV!$C:$AA,12,0)-'TRADE IN'!$F15))</f>
        <v>999</v>
      </c>
      <c r="O15" s="46">
        <f>IF(VLOOKUP($C15,REV!$C:$AA,13,0)-'TRADE IN'!$F15=0,"",(VLOOKUP($C15,REV!$C:$AA,13,0)-'TRADE IN'!$F15))</f>
        <v>999</v>
      </c>
      <c r="P15" s="46">
        <f>IF(VLOOKUP($C15,REV!$C:$AA,14,0)-'TRADE IN'!$F15=0,"",(VLOOKUP($C15,REV!$C:$AA,14,0)-'TRADE IN'!$F15))</f>
        <v>999</v>
      </c>
      <c r="Q15" s="46">
        <f>IF(VLOOKUP($C15,REV!$C:$AA,15,0)-'TRADE IN'!$F15=0,"",(VLOOKUP($C15,REV!$C:$AA,15,0)-'TRADE IN'!$F15))</f>
        <v>999</v>
      </c>
      <c r="R15" s="46">
        <f>IF(VLOOKUP($C15,REV!$C:$AA,16,0)-'TRADE IN'!$F15=0,"",(VLOOKUP($C15,REV!$C:$AA,16,0)-'TRADE IN'!$F15))</f>
        <v>999</v>
      </c>
      <c r="S15" s="46">
        <f>IF(VLOOKUP($C15,REV!$C:$AA,17,0)-'TRADE IN'!$F15=0,"",(VLOOKUP($C15,REV!$C:$AA,17,0)-'TRADE IN'!$F15))</f>
        <v>999</v>
      </c>
      <c r="T15" s="46">
        <f>IF(VLOOKUP($C15,REV!$C:$AA,18,0)-'TRADE IN'!$F15=0,"",(VLOOKUP($C15,REV!$C:$AA,18,0)-'TRADE IN'!$F15))</f>
        <v>999</v>
      </c>
      <c r="U15" s="46">
        <f>IF(VLOOKUP($C15,REV!$C:$AA,19,0)-'TRADE IN'!$F15=0,"",(VLOOKUP($C15,REV!$C:$AA,19,0)-'TRADE IN'!$F15))</f>
        <v>999</v>
      </c>
      <c r="V15" s="46">
        <f>IF(VLOOKUP($C15,REV!$C:$AA,20,0)-'TRADE IN'!$F15=0,"",(VLOOKUP($C15,REV!$C:$AA,20,0)-'TRADE IN'!$F15))</f>
        <v>999</v>
      </c>
      <c r="W15" s="46">
        <f>IF(VLOOKUP($C15,REV!$C:$AA,21,0)-'TRADE IN'!$F15=0,"",(VLOOKUP($C15,REV!$C:$AA,21,0)-'TRADE IN'!$F15))</f>
        <v>999</v>
      </c>
      <c r="X15" s="46">
        <f>IF(VLOOKUP($C15,REV!$C:$AA,22,0)-'TRADE IN'!$F15=0,"",(VLOOKUP($C15,REV!$C:$AA,22,0)-'TRADE IN'!$F15))</f>
        <v>999</v>
      </c>
      <c r="Y15" s="46">
        <f>IF(VLOOKUP($C15,REV!$C:$AA,23,0)-'TRADE IN'!$F15=0,"",(VLOOKUP($C15,REV!$C:$AA,23,0)-'TRADE IN'!$F15))</f>
        <v>999</v>
      </c>
      <c r="Z15" s="46">
        <f>IF(VLOOKUP($C15,REV!$C:$AA,24,0)-'TRADE IN'!$F15=0,"",(VLOOKUP($C15,REV!$C:$AA,24,0)-'TRADE IN'!$F15))</f>
        <v>999</v>
      </c>
      <c r="AA15" s="46">
        <f>IF(VLOOKUP($C15,REV!$C:$AA,25,0)-'TRADE IN'!$F15=0,"",(VLOOKUP($C15,REV!$C:$AA,25,0)-'TRADE IN'!$F15))</f>
        <v>999</v>
      </c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7"/>
      <c r="AW15" s="48" t="str">
        <f>REV!AW15</f>
        <v>01.12.2026</v>
      </c>
      <c r="AX15" s="153" t="str">
        <f>VLOOKUP(C15,REV!C:AX,48,0)</f>
        <v>5G</v>
      </c>
    </row>
    <row r="16" spans="1:50" ht="22.5" customHeight="1">
      <c r="A16" s="41" t="s">
        <v>63</v>
      </c>
      <c r="B16" s="42" t="s">
        <v>64</v>
      </c>
      <c r="C16" s="43">
        <v>4014723</v>
      </c>
      <c r="D16" s="44" t="s">
        <v>72</v>
      </c>
      <c r="E16" s="44" t="s">
        <v>73</v>
      </c>
      <c r="F16" s="45"/>
      <c r="G16" s="45"/>
      <c r="H16" s="46"/>
      <c r="I16" s="46"/>
      <c r="J16" s="46">
        <f>IF(VLOOKUP($C16,REV!$C:$AA,8,0)-'TRADE IN'!$F16=0,"",(VLOOKUP($C16,REV!$C:$AA,8,0)-'TRADE IN'!$F16))</f>
        <v>3599</v>
      </c>
      <c r="K16" s="46">
        <f>IF(VLOOKUP($C16,REV!$C:$AA,9,0)-'TRADE IN'!$F16=0,"",(VLOOKUP($C16,REV!$C:$AA,9,0)-'TRADE IN'!$F16))</f>
        <v>3499</v>
      </c>
      <c r="L16" s="46">
        <f>IF(VLOOKUP($C16,REV!$C:$AA,10,0)-'TRADE IN'!$F16=0,"",(VLOOKUP($C16,REV!$C:$AA,10,0)-'TRADE IN'!$F16))</f>
        <v>3499</v>
      </c>
      <c r="M16" s="46">
        <f>IF(VLOOKUP($C16,REV!$C:$AA,11,0)-'TRADE IN'!$F16=0,"",(VLOOKUP($C16,REV!$C:$AA,11,0)-'TRADE IN'!$F16))</f>
        <v>3599</v>
      </c>
      <c r="N16" s="46">
        <f>IF(VLOOKUP($C16,REV!$C:$AA,12,0)-'TRADE IN'!$F16=0,"",(VLOOKUP($C16,REV!$C:$AA,12,0)-'TRADE IN'!$F16))</f>
        <v>3499</v>
      </c>
      <c r="O16" s="46">
        <f>IF(VLOOKUP($C16,REV!$C:$AA,13,0)-'TRADE IN'!$F16=0,"",(VLOOKUP($C16,REV!$C:$AA,13,0)-'TRADE IN'!$F16))</f>
        <v>3099</v>
      </c>
      <c r="P16" s="46">
        <f>IF(VLOOKUP($C16,REV!$C:$AA,14,0)-'TRADE IN'!$F16=0,"",(VLOOKUP($C16,REV!$C:$AA,14,0)-'TRADE IN'!$F16))</f>
        <v>2999</v>
      </c>
      <c r="Q16" s="46">
        <f>IF(VLOOKUP($C16,REV!$C:$AA,15,0)-'TRADE IN'!$F16=0,"",(VLOOKUP($C16,REV!$C:$AA,15,0)-'TRADE IN'!$F16))</f>
        <v>2499</v>
      </c>
      <c r="R16" s="46">
        <f>IF(VLOOKUP($C16,REV!$C:$AA,16,0)-'TRADE IN'!$F16=0,"",(VLOOKUP($C16,REV!$C:$AA,16,0)-'TRADE IN'!$F16))</f>
        <v>3099</v>
      </c>
      <c r="S16" s="46">
        <f>IF(VLOOKUP($C16,REV!$C:$AA,17,0)-'TRADE IN'!$F16=0,"",(VLOOKUP($C16,REV!$C:$AA,17,0)-'TRADE IN'!$F16))</f>
        <v>2999</v>
      </c>
      <c r="T16" s="46">
        <f>IF(VLOOKUP($C16,REV!$C:$AA,18,0)-'TRADE IN'!$F16=0,"",(VLOOKUP($C16,REV!$C:$AA,18,0)-'TRADE IN'!$F16))</f>
        <v>2499</v>
      </c>
      <c r="U16" s="46">
        <f>IF(VLOOKUP($C16,REV!$C:$AA,19,0)-'TRADE IN'!$F16=0,"",(VLOOKUP($C16,REV!$C:$AA,19,0)-'TRADE IN'!$F16))</f>
        <v>2499</v>
      </c>
      <c r="V16" s="46">
        <f>IF(VLOOKUP($C16,REV!$C:$AA,20,0)-'TRADE IN'!$F16=0,"",(VLOOKUP($C16,REV!$C:$AA,20,0)-'TRADE IN'!$F16))</f>
        <v>2499</v>
      </c>
      <c r="W16" s="46">
        <f>IF(VLOOKUP($C16,REV!$C:$AA,21,0)-'TRADE IN'!$F16=0,"",(VLOOKUP($C16,REV!$C:$AA,21,0)-'TRADE IN'!$F16))</f>
        <v>2499</v>
      </c>
      <c r="X16" s="46">
        <f>IF(VLOOKUP($C16,REV!$C:$AA,22,0)-'TRADE IN'!$F16=0,"",(VLOOKUP($C16,REV!$C:$AA,22,0)-'TRADE IN'!$F16))</f>
        <v>2299</v>
      </c>
      <c r="Y16" s="46">
        <f>IF(VLOOKUP($C16,REV!$C:$AA,23,0)-'TRADE IN'!$F16=0,"",(VLOOKUP($C16,REV!$C:$AA,23,0)-'TRADE IN'!$F16))</f>
        <v>1999</v>
      </c>
      <c r="Z16" s="46">
        <f>IF(VLOOKUP($C16,REV!$C:$AA,24,0)-'TRADE IN'!$F16=0,"",(VLOOKUP($C16,REV!$C:$AA,24,0)-'TRADE IN'!$F16))</f>
        <v>1999</v>
      </c>
      <c r="AA16" s="46">
        <f>IF(VLOOKUP($C16,REV!$C:$AA,25,0)-'TRADE IN'!$F16=0,"",(VLOOKUP($C16,REV!$C:$AA,25,0)-'TRADE IN'!$F16))</f>
        <v>1999</v>
      </c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7"/>
      <c r="AW16" s="48" t="str">
        <f>REV!AW16</f>
        <v>01.12.2026</v>
      </c>
      <c r="AX16" s="153" t="str">
        <f>VLOOKUP(C16,REV!C:AX,48,0)</f>
        <v>5G</v>
      </c>
    </row>
    <row r="17" spans="1:50" ht="22.5" customHeight="1">
      <c r="A17" s="41" t="s">
        <v>63</v>
      </c>
      <c r="B17" s="42" t="s">
        <v>64</v>
      </c>
      <c r="C17" s="43">
        <v>4014594</v>
      </c>
      <c r="D17" s="44" t="s">
        <v>74</v>
      </c>
      <c r="E17" s="44" t="s">
        <v>75</v>
      </c>
      <c r="F17" s="45"/>
      <c r="G17" s="45"/>
      <c r="H17" s="46"/>
      <c r="I17" s="46"/>
      <c r="J17" s="46">
        <f>IF(VLOOKUP($C17,REV!$C:$AA,8,0)-'TRADE IN'!$F17=0,"",(VLOOKUP($C17,REV!$C:$AA,8,0)-'TRADE IN'!$F17))</f>
        <v>3799</v>
      </c>
      <c r="K17" s="46">
        <f>IF(VLOOKUP($C17,REV!$C:$AA,9,0)-'TRADE IN'!$F17=0,"",(VLOOKUP($C17,REV!$C:$AA,9,0)-'TRADE IN'!$F17))</f>
        <v>3799</v>
      </c>
      <c r="L17" s="46">
        <f>IF(VLOOKUP($C17,REV!$C:$AA,10,0)-'TRADE IN'!$F17=0,"",(VLOOKUP($C17,REV!$C:$AA,10,0)-'TRADE IN'!$F17))</f>
        <v>3799</v>
      </c>
      <c r="M17" s="46">
        <f>IF(VLOOKUP($C17,REV!$C:$AA,11,0)-'TRADE IN'!$F17=0,"",(VLOOKUP($C17,REV!$C:$AA,11,0)-'TRADE IN'!$F17))</f>
        <v>3799</v>
      </c>
      <c r="N17" s="46">
        <f>IF(VLOOKUP($C17,REV!$C:$AA,12,0)-'TRADE IN'!$F17=0,"",(VLOOKUP($C17,REV!$C:$AA,12,0)-'TRADE IN'!$F17))</f>
        <v>3799</v>
      </c>
      <c r="O17" s="46">
        <f>IF(VLOOKUP($C17,REV!$C:$AA,13,0)-'TRADE IN'!$F17=0,"",(VLOOKUP($C17,REV!$C:$AA,13,0)-'TRADE IN'!$F17))</f>
        <v>3599</v>
      </c>
      <c r="P17" s="46">
        <f>IF(VLOOKUP($C17,REV!$C:$AA,14,0)-'TRADE IN'!$F17=0,"",(VLOOKUP($C17,REV!$C:$AA,14,0)-'TRADE IN'!$F17))</f>
        <v>3499</v>
      </c>
      <c r="Q17" s="46">
        <f>IF(VLOOKUP($C17,REV!$C:$AA,15,0)-'TRADE IN'!$F17=0,"",(VLOOKUP($C17,REV!$C:$AA,15,0)-'TRADE IN'!$F17))</f>
        <v>2999</v>
      </c>
      <c r="R17" s="46">
        <f>IF(VLOOKUP($C17,REV!$C:$AA,16,0)-'TRADE IN'!$F17=0,"",(VLOOKUP($C17,REV!$C:$AA,16,0)-'TRADE IN'!$F17))</f>
        <v>3599</v>
      </c>
      <c r="S17" s="46">
        <f>IF(VLOOKUP($C17,REV!$C:$AA,17,0)-'TRADE IN'!$F17=0,"",(VLOOKUP($C17,REV!$C:$AA,17,0)-'TRADE IN'!$F17))</f>
        <v>3499</v>
      </c>
      <c r="T17" s="46">
        <f>IF(VLOOKUP($C17,REV!$C:$AA,18,0)-'TRADE IN'!$F17=0,"",(VLOOKUP($C17,REV!$C:$AA,18,0)-'TRADE IN'!$F17))</f>
        <v>2999</v>
      </c>
      <c r="U17" s="46">
        <f>IF(VLOOKUP($C17,REV!$C:$AA,19,0)-'TRADE IN'!$F17=0,"",(VLOOKUP($C17,REV!$C:$AA,19,0)-'TRADE IN'!$F17))</f>
        <v>2999</v>
      </c>
      <c r="V17" s="46">
        <f>IF(VLOOKUP($C17,REV!$C:$AA,20,0)-'TRADE IN'!$F17=0,"",(VLOOKUP($C17,REV!$C:$AA,20,0)-'TRADE IN'!$F17))</f>
        <v>2999</v>
      </c>
      <c r="W17" s="46">
        <f>IF(VLOOKUP($C17,REV!$C:$AA,21,0)-'TRADE IN'!$F17=0,"",(VLOOKUP($C17,REV!$C:$AA,21,0)-'TRADE IN'!$F17))</f>
        <v>2999</v>
      </c>
      <c r="X17" s="46">
        <f>IF(VLOOKUP($C17,REV!$C:$AA,22,0)-'TRADE IN'!$F17=0,"",(VLOOKUP($C17,REV!$C:$AA,22,0)-'TRADE IN'!$F17))</f>
        <v>2799</v>
      </c>
      <c r="Y17" s="46">
        <f>IF(VLOOKUP($C17,REV!$C:$AA,23,0)-'TRADE IN'!$F17=0,"",(VLOOKUP($C17,REV!$C:$AA,23,0)-'TRADE IN'!$F17))</f>
        <v>2499</v>
      </c>
      <c r="Z17" s="46">
        <f>IF(VLOOKUP($C17,REV!$C:$AA,24,0)-'TRADE IN'!$F17=0,"",(VLOOKUP($C17,REV!$C:$AA,24,0)-'TRADE IN'!$F17))</f>
        <v>2499</v>
      </c>
      <c r="AA17" s="46">
        <f>IF(VLOOKUP($C17,REV!$C:$AA,25,0)-'TRADE IN'!$F17=0,"",(VLOOKUP($C17,REV!$C:$AA,25,0)-'TRADE IN'!$F17))</f>
        <v>2499</v>
      </c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7"/>
      <c r="AW17" s="48" t="str">
        <f>REV!AW17</f>
        <v>01.12.2026</v>
      </c>
      <c r="AX17" s="153" t="str">
        <f>VLOOKUP(C17,REV!C:AX,48,0)</f>
        <v>5G</v>
      </c>
    </row>
    <row r="18" spans="1:50" ht="22.5" customHeight="1">
      <c r="A18" s="41" t="s">
        <v>63</v>
      </c>
      <c r="B18" s="42" t="s">
        <v>64</v>
      </c>
      <c r="C18" s="43">
        <v>4014837</v>
      </c>
      <c r="D18" s="44" t="s">
        <v>74</v>
      </c>
      <c r="E18" s="44" t="s">
        <v>76</v>
      </c>
      <c r="F18" s="45"/>
      <c r="G18" s="45"/>
      <c r="H18" s="46"/>
      <c r="I18" s="46"/>
      <c r="J18" s="46">
        <f>IF(VLOOKUP($C18,REV!$C:$AA,8,0)-'TRADE IN'!$F18=0,"",(VLOOKUP($C18,REV!$C:$AA,8,0)-'TRADE IN'!$F18))</f>
        <v>3799</v>
      </c>
      <c r="K18" s="46">
        <f>IF(VLOOKUP($C18,REV!$C:$AA,9,0)-'TRADE IN'!$F18=0,"",(VLOOKUP($C18,REV!$C:$AA,9,0)-'TRADE IN'!$F18))</f>
        <v>3799</v>
      </c>
      <c r="L18" s="46">
        <f>IF(VLOOKUP($C18,REV!$C:$AA,10,0)-'TRADE IN'!$F18=0,"",(VLOOKUP($C18,REV!$C:$AA,10,0)-'TRADE IN'!$F18))</f>
        <v>3799</v>
      </c>
      <c r="M18" s="46">
        <f>IF(VLOOKUP($C18,REV!$C:$AA,11,0)-'TRADE IN'!$F18=0,"",(VLOOKUP($C18,REV!$C:$AA,11,0)-'TRADE IN'!$F18))</f>
        <v>3799</v>
      </c>
      <c r="N18" s="46">
        <f>IF(VLOOKUP($C18,REV!$C:$AA,12,0)-'TRADE IN'!$F18=0,"",(VLOOKUP($C18,REV!$C:$AA,12,0)-'TRADE IN'!$F18))</f>
        <v>3799</v>
      </c>
      <c r="O18" s="46">
        <f>IF(VLOOKUP($C18,REV!$C:$AA,13,0)-'TRADE IN'!$F18=0,"",(VLOOKUP($C18,REV!$C:$AA,13,0)-'TRADE IN'!$F18))</f>
        <v>3599</v>
      </c>
      <c r="P18" s="46">
        <f>IF(VLOOKUP($C18,REV!$C:$AA,14,0)-'TRADE IN'!$F18=0,"",(VLOOKUP($C18,REV!$C:$AA,14,0)-'TRADE IN'!$F18))</f>
        <v>3499</v>
      </c>
      <c r="Q18" s="46">
        <f>IF(VLOOKUP($C18,REV!$C:$AA,15,0)-'TRADE IN'!$F18=0,"",(VLOOKUP($C18,REV!$C:$AA,15,0)-'TRADE IN'!$F18))</f>
        <v>2999</v>
      </c>
      <c r="R18" s="46">
        <f>IF(VLOOKUP($C18,REV!$C:$AA,16,0)-'TRADE IN'!$F18=0,"",(VLOOKUP($C18,REV!$C:$AA,16,0)-'TRADE IN'!$F18))</f>
        <v>3599</v>
      </c>
      <c r="S18" s="46">
        <f>IF(VLOOKUP($C18,REV!$C:$AA,17,0)-'TRADE IN'!$F18=0,"",(VLOOKUP($C18,REV!$C:$AA,17,0)-'TRADE IN'!$F18))</f>
        <v>3499</v>
      </c>
      <c r="T18" s="46">
        <f>IF(VLOOKUP($C18,REV!$C:$AA,18,0)-'TRADE IN'!$F18=0,"",(VLOOKUP($C18,REV!$C:$AA,18,0)-'TRADE IN'!$F18))</f>
        <v>2999</v>
      </c>
      <c r="U18" s="46">
        <f>IF(VLOOKUP($C18,REV!$C:$AA,19,0)-'TRADE IN'!$F18=0,"",(VLOOKUP($C18,REV!$C:$AA,19,0)-'TRADE IN'!$F18))</f>
        <v>2999</v>
      </c>
      <c r="V18" s="46">
        <f>IF(VLOOKUP($C18,REV!$C:$AA,20,0)-'TRADE IN'!$F18=0,"",(VLOOKUP($C18,REV!$C:$AA,20,0)-'TRADE IN'!$F18))</f>
        <v>2999</v>
      </c>
      <c r="W18" s="46">
        <f>IF(VLOOKUP($C18,REV!$C:$AA,21,0)-'TRADE IN'!$F18=0,"",(VLOOKUP($C18,REV!$C:$AA,21,0)-'TRADE IN'!$F18))</f>
        <v>2999</v>
      </c>
      <c r="X18" s="46">
        <f>IF(VLOOKUP($C18,REV!$C:$AA,22,0)-'TRADE IN'!$F18=0,"",(VLOOKUP($C18,REV!$C:$AA,22,0)-'TRADE IN'!$F18))</f>
        <v>2799</v>
      </c>
      <c r="Y18" s="46">
        <f>IF(VLOOKUP($C18,REV!$C:$AA,23,0)-'TRADE IN'!$F18=0,"",(VLOOKUP($C18,REV!$C:$AA,23,0)-'TRADE IN'!$F18))</f>
        <v>2499</v>
      </c>
      <c r="Z18" s="46">
        <f>IF(VLOOKUP($C18,REV!$C:$AA,24,0)-'TRADE IN'!$F18=0,"",(VLOOKUP($C18,REV!$C:$AA,24,0)-'TRADE IN'!$F18))</f>
        <v>2499</v>
      </c>
      <c r="AA18" s="46">
        <f>IF(VLOOKUP($C18,REV!$C:$AA,25,0)-'TRADE IN'!$F18=0,"",(VLOOKUP($C18,REV!$C:$AA,25,0)-'TRADE IN'!$F18))</f>
        <v>2499</v>
      </c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7"/>
      <c r="AW18" s="48" t="str">
        <f>REV!AW18</f>
        <v>01.12.2026</v>
      </c>
      <c r="AX18" s="153" t="str">
        <f>VLOOKUP(C18,REV!C:AX,48,0)</f>
        <v>5G</v>
      </c>
    </row>
    <row r="19" spans="1:50" ht="22.5" customHeight="1">
      <c r="A19" s="41" t="s">
        <v>63</v>
      </c>
      <c r="B19" s="42" t="s">
        <v>64</v>
      </c>
      <c r="C19" s="43">
        <v>4014833</v>
      </c>
      <c r="D19" s="44" t="s">
        <v>74</v>
      </c>
      <c r="E19" s="44" t="s">
        <v>77</v>
      </c>
      <c r="F19" s="45"/>
      <c r="G19" s="45"/>
      <c r="H19" s="46"/>
      <c r="I19" s="46"/>
      <c r="J19" s="46">
        <f>IF(VLOOKUP($C19,REV!$C:$AA,8,0)-'TRADE IN'!$F19=0,"",(VLOOKUP($C19,REV!$C:$AA,8,0)-'TRADE IN'!$F19))</f>
        <v>3799</v>
      </c>
      <c r="K19" s="46">
        <f>IF(VLOOKUP($C19,REV!$C:$AA,9,0)-'TRADE IN'!$F19=0,"",(VLOOKUP($C19,REV!$C:$AA,9,0)-'TRADE IN'!$F19))</f>
        <v>3799</v>
      </c>
      <c r="L19" s="46">
        <f>IF(VLOOKUP($C19,REV!$C:$AA,10,0)-'TRADE IN'!$F19=0,"",(VLOOKUP($C19,REV!$C:$AA,10,0)-'TRADE IN'!$F19))</f>
        <v>3799</v>
      </c>
      <c r="M19" s="46">
        <f>IF(VLOOKUP($C19,REV!$C:$AA,11,0)-'TRADE IN'!$F19=0,"",(VLOOKUP($C19,REV!$C:$AA,11,0)-'TRADE IN'!$F19))</f>
        <v>3799</v>
      </c>
      <c r="N19" s="46">
        <f>IF(VLOOKUP($C19,REV!$C:$AA,12,0)-'TRADE IN'!$F19=0,"",(VLOOKUP($C19,REV!$C:$AA,12,0)-'TRADE IN'!$F19))</f>
        <v>3799</v>
      </c>
      <c r="O19" s="46">
        <f>IF(VLOOKUP($C19,REV!$C:$AA,13,0)-'TRADE IN'!$F19=0,"",(VLOOKUP($C19,REV!$C:$AA,13,0)-'TRADE IN'!$F19))</f>
        <v>3599</v>
      </c>
      <c r="P19" s="46">
        <f>IF(VLOOKUP($C19,REV!$C:$AA,14,0)-'TRADE IN'!$F19=0,"",(VLOOKUP($C19,REV!$C:$AA,14,0)-'TRADE IN'!$F19))</f>
        <v>3499</v>
      </c>
      <c r="Q19" s="46">
        <f>IF(VLOOKUP($C19,REV!$C:$AA,15,0)-'TRADE IN'!$F19=0,"",(VLOOKUP($C19,REV!$C:$AA,15,0)-'TRADE IN'!$F19))</f>
        <v>2999</v>
      </c>
      <c r="R19" s="46">
        <f>IF(VLOOKUP($C19,REV!$C:$AA,16,0)-'TRADE IN'!$F19=0,"",(VLOOKUP($C19,REV!$C:$AA,16,0)-'TRADE IN'!$F19))</f>
        <v>3599</v>
      </c>
      <c r="S19" s="46">
        <f>IF(VLOOKUP($C19,REV!$C:$AA,17,0)-'TRADE IN'!$F19=0,"",(VLOOKUP($C19,REV!$C:$AA,17,0)-'TRADE IN'!$F19))</f>
        <v>3499</v>
      </c>
      <c r="T19" s="46">
        <f>IF(VLOOKUP($C19,REV!$C:$AA,18,0)-'TRADE IN'!$F19=0,"",(VLOOKUP($C19,REV!$C:$AA,18,0)-'TRADE IN'!$F19))</f>
        <v>2999</v>
      </c>
      <c r="U19" s="46">
        <f>IF(VLOOKUP($C19,REV!$C:$AA,19,0)-'TRADE IN'!$F19=0,"",(VLOOKUP($C19,REV!$C:$AA,19,0)-'TRADE IN'!$F19))</f>
        <v>2999</v>
      </c>
      <c r="V19" s="46">
        <f>IF(VLOOKUP($C19,REV!$C:$AA,20,0)-'TRADE IN'!$F19=0,"",(VLOOKUP($C19,REV!$C:$AA,20,0)-'TRADE IN'!$F19))</f>
        <v>2999</v>
      </c>
      <c r="W19" s="46">
        <f>IF(VLOOKUP($C19,REV!$C:$AA,21,0)-'TRADE IN'!$F19=0,"",(VLOOKUP($C19,REV!$C:$AA,21,0)-'TRADE IN'!$F19))</f>
        <v>2999</v>
      </c>
      <c r="X19" s="46">
        <f>IF(VLOOKUP($C19,REV!$C:$AA,22,0)-'TRADE IN'!$F19=0,"",(VLOOKUP($C19,REV!$C:$AA,22,0)-'TRADE IN'!$F19))</f>
        <v>2799</v>
      </c>
      <c r="Y19" s="46">
        <f>IF(VLOOKUP($C19,REV!$C:$AA,23,0)-'TRADE IN'!$F19=0,"",(VLOOKUP($C19,REV!$C:$AA,23,0)-'TRADE IN'!$F19))</f>
        <v>2499</v>
      </c>
      <c r="Z19" s="46">
        <f>IF(VLOOKUP($C19,REV!$C:$AA,24,0)-'TRADE IN'!$F19=0,"",(VLOOKUP($C19,REV!$C:$AA,24,0)-'TRADE IN'!$F19))</f>
        <v>2499</v>
      </c>
      <c r="AA19" s="46">
        <f>IF(VLOOKUP($C19,REV!$C:$AA,25,0)-'TRADE IN'!$F19=0,"",(VLOOKUP($C19,REV!$C:$AA,25,0)-'TRADE IN'!$F19))</f>
        <v>2499</v>
      </c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7"/>
      <c r="AW19" s="48" t="str">
        <f>REV!AW19</f>
        <v>01.12.2026</v>
      </c>
      <c r="AX19" s="153" t="str">
        <f>VLOOKUP(C19,REV!C:AX,48,0)</f>
        <v>5G</v>
      </c>
    </row>
    <row r="20" spans="1:50" ht="22.5" customHeight="1">
      <c r="A20" s="41" t="s">
        <v>63</v>
      </c>
      <c r="B20" s="42" t="s">
        <v>64</v>
      </c>
      <c r="C20" s="43">
        <v>4014836</v>
      </c>
      <c r="D20" s="44" t="s">
        <v>74</v>
      </c>
      <c r="E20" s="44" t="s">
        <v>78</v>
      </c>
      <c r="F20" s="45"/>
      <c r="G20" s="45"/>
      <c r="H20" s="46"/>
      <c r="I20" s="46"/>
      <c r="J20" s="46">
        <f>IF(VLOOKUP($C20,REV!$C:$AA,8,0)-'TRADE IN'!$F20=0,"",(VLOOKUP($C20,REV!$C:$AA,8,0)-'TRADE IN'!$F20))</f>
        <v>3799</v>
      </c>
      <c r="K20" s="46">
        <f>IF(VLOOKUP($C20,REV!$C:$AA,9,0)-'TRADE IN'!$F20=0,"",(VLOOKUP($C20,REV!$C:$AA,9,0)-'TRADE IN'!$F20))</f>
        <v>3799</v>
      </c>
      <c r="L20" s="46">
        <f>IF(VLOOKUP($C20,REV!$C:$AA,10,0)-'TRADE IN'!$F20=0,"",(VLOOKUP($C20,REV!$C:$AA,10,0)-'TRADE IN'!$F20))</f>
        <v>3799</v>
      </c>
      <c r="M20" s="46">
        <f>IF(VLOOKUP($C20,REV!$C:$AA,11,0)-'TRADE IN'!$F20=0,"",(VLOOKUP($C20,REV!$C:$AA,11,0)-'TRADE IN'!$F20))</f>
        <v>3799</v>
      </c>
      <c r="N20" s="46">
        <f>IF(VLOOKUP($C20,REV!$C:$AA,12,0)-'TRADE IN'!$F20=0,"",(VLOOKUP($C20,REV!$C:$AA,12,0)-'TRADE IN'!$F20))</f>
        <v>3799</v>
      </c>
      <c r="O20" s="46">
        <f>IF(VLOOKUP($C20,REV!$C:$AA,13,0)-'TRADE IN'!$F20=0,"",(VLOOKUP($C20,REV!$C:$AA,13,0)-'TRADE IN'!$F20))</f>
        <v>3599</v>
      </c>
      <c r="P20" s="46">
        <f>IF(VLOOKUP($C20,REV!$C:$AA,14,0)-'TRADE IN'!$F20=0,"",(VLOOKUP($C20,REV!$C:$AA,14,0)-'TRADE IN'!$F20))</f>
        <v>3499</v>
      </c>
      <c r="Q20" s="46">
        <f>IF(VLOOKUP($C20,REV!$C:$AA,15,0)-'TRADE IN'!$F20=0,"",(VLOOKUP($C20,REV!$C:$AA,15,0)-'TRADE IN'!$F20))</f>
        <v>2999</v>
      </c>
      <c r="R20" s="46">
        <f>IF(VLOOKUP($C20,REV!$C:$AA,16,0)-'TRADE IN'!$F20=0,"",(VLOOKUP($C20,REV!$C:$AA,16,0)-'TRADE IN'!$F20))</f>
        <v>3599</v>
      </c>
      <c r="S20" s="46">
        <f>IF(VLOOKUP($C20,REV!$C:$AA,17,0)-'TRADE IN'!$F20=0,"",(VLOOKUP($C20,REV!$C:$AA,17,0)-'TRADE IN'!$F20))</f>
        <v>3499</v>
      </c>
      <c r="T20" s="46">
        <f>IF(VLOOKUP($C20,REV!$C:$AA,18,0)-'TRADE IN'!$F20=0,"",(VLOOKUP($C20,REV!$C:$AA,18,0)-'TRADE IN'!$F20))</f>
        <v>2999</v>
      </c>
      <c r="U20" s="46">
        <f>IF(VLOOKUP($C20,REV!$C:$AA,19,0)-'TRADE IN'!$F20=0,"",(VLOOKUP($C20,REV!$C:$AA,19,0)-'TRADE IN'!$F20))</f>
        <v>2999</v>
      </c>
      <c r="V20" s="46">
        <f>IF(VLOOKUP($C20,REV!$C:$AA,20,0)-'TRADE IN'!$F20=0,"",(VLOOKUP($C20,REV!$C:$AA,20,0)-'TRADE IN'!$F20))</f>
        <v>2999</v>
      </c>
      <c r="W20" s="46">
        <f>IF(VLOOKUP($C20,REV!$C:$AA,21,0)-'TRADE IN'!$F20=0,"",(VLOOKUP($C20,REV!$C:$AA,21,0)-'TRADE IN'!$F20))</f>
        <v>2999</v>
      </c>
      <c r="X20" s="46">
        <f>IF(VLOOKUP($C20,REV!$C:$AA,22,0)-'TRADE IN'!$F20=0,"",(VLOOKUP($C20,REV!$C:$AA,22,0)-'TRADE IN'!$F20))</f>
        <v>2799</v>
      </c>
      <c r="Y20" s="46">
        <f>IF(VLOOKUP($C20,REV!$C:$AA,23,0)-'TRADE IN'!$F20=0,"",(VLOOKUP($C20,REV!$C:$AA,23,0)-'TRADE IN'!$F20))</f>
        <v>2499</v>
      </c>
      <c r="Z20" s="46">
        <f>IF(VLOOKUP($C20,REV!$C:$AA,24,0)-'TRADE IN'!$F20=0,"",(VLOOKUP($C20,REV!$C:$AA,24,0)-'TRADE IN'!$F20))</f>
        <v>2499</v>
      </c>
      <c r="AA20" s="46">
        <f>IF(VLOOKUP($C20,REV!$C:$AA,25,0)-'TRADE IN'!$F20=0,"",(VLOOKUP($C20,REV!$C:$AA,25,0)-'TRADE IN'!$F20))</f>
        <v>2499</v>
      </c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7"/>
      <c r="AW20" s="48" t="str">
        <f>REV!AW20</f>
        <v>01.12.2026</v>
      </c>
      <c r="AX20" s="153" t="str">
        <f>VLOOKUP(C20,REV!C:AX,48,0)</f>
        <v>5G</v>
      </c>
    </row>
    <row r="21" spans="1:50" ht="22.5" customHeight="1">
      <c r="A21" s="41" t="s">
        <v>63</v>
      </c>
      <c r="B21" s="42" t="s">
        <v>64</v>
      </c>
      <c r="C21" s="43">
        <v>4015185</v>
      </c>
      <c r="D21" s="44" t="s">
        <v>79</v>
      </c>
      <c r="E21" s="44" t="s">
        <v>80</v>
      </c>
      <c r="F21" s="45"/>
      <c r="G21" s="45"/>
      <c r="H21" s="46"/>
      <c r="I21" s="46"/>
      <c r="J21" s="46">
        <f>IF(VLOOKUP($C21,REV!$C:$AA,8,0)-'TRADE IN'!$F21=0,"",(VLOOKUP($C21,REV!$C:$AA,8,0)-'TRADE IN'!$F21))</f>
        <v>4199</v>
      </c>
      <c r="K21" s="46">
        <f>IF(VLOOKUP($C21,REV!$C:$AA,9,0)-'TRADE IN'!$F21=0,"",(VLOOKUP($C21,REV!$C:$AA,9,0)-'TRADE IN'!$F21))</f>
        <v>4199</v>
      </c>
      <c r="L21" s="46">
        <f>IF(VLOOKUP($C21,REV!$C:$AA,10,0)-'TRADE IN'!$F21=0,"",(VLOOKUP($C21,REV!$C:$AA,10,0)-'TRADE IN'!$F21))</f>
        <v>4199</v>
      </c>
      <c r="M21" s="46">
        <f>IF(VLOOKUP($C21,REV!$C:$AA,11,0)-'TRADE IN'!$F21=0,"",(VLOOKUP($C21,REV!$C:$AA,11,0)-'TRADE IN'!$F21))</f>
        <v>4199</v>
      </c>
      <c r="N21" s="46">
        <f>IF(VLOOKUP($C21,REV!$C:$AA,12,0)-'TRADE IN'!$F21=0,"",(VLOOKUP($C21,REV!$C:$AA,12,0)-'TRADE IN'!$F21))</f>
        <v>4199</v>
      </c>
      <c r="O21" s="46">
        <f>IF(VLOOKUP($C21,REV!$C:$AA,13,0)-'TRADE IN'!$F21=0,"",(VLOOKUP($C21,REV!$C:$AA,13,0)-'TRADE IN'!$F21))</f>
        <v>3899</v>
      </c>
      <c r="P21" s="46">
        <f>IF(VLOOKUP($C21,REV!$C:$AA,14,0)-'TRADE IN'!$F21=0,"",(VLOOKUP($C21,REV!$C:$AA,14,0)-'TRADE IN'!$F21))</f>
        <v>3799</v>
      </c>
      <c r="Q21" s="46">
        <f>IF(VLOOKUP($C21,REV!$C:$AA,15,0)-'TRADE IN'!$F21=0,"",(VLOOKUP($C21,REV!$C:$AA,15,0)-'TRADE IN'!$F21))</f>
        <v>3099</v>
      </c>
      <c r="R21" s="46">
        <f>IF(VLOOKUP($C21,REV!$C:$AA,16,0)-'TRADE IN'!$F21=0,"",(VLOOKUP($C21,REV!$C:$AA,16,0)-'TRADE IN'!$F21))</f>
        <v>3899</v>
      </c>
      <c r="S21" s="46">
        <f>IF(VLOOKUP($C21,REV!$C:$AA,17,0)-'TRADE IN'!$F21=0,"",(VLOOKUP($C21,REV!$C:$AA,17,0)-'TRADE IN'!$F21))</f>
        <v>3799</v>
      </c>
      <c r="T21" s="46">
        <f>IF(VLOOKUP($C21,REV!$C:$AA,18,0)-'TRADE IN'!$F21=0,"",(VLOOKUP($C21,REV!$C:$AA,18,0)-'TRADE IN'!$F21))</f>
        <v>3099</v>
      </c>
      <c r="U21" s="46">
        <f>IF(VLOOKUP($C21,REV!$C:$AA,19,0)-'TRADE IN'!$F21=0,"",(VLOOKUP($C21,REV!$C:$AA,19,0)-'TRADE IN'!$F21))</f>
        <v>3099</v>
      </c>
      <c r="V21" s="46">
        <f>IF(VLOOKUP($C21,REV!$C:$AA,20,0)-'TRADE IN'!$F21=0,"",(VLOOKUP($C21,REV!$C:$AA,20,0)-'TRADE IN'!$F21))</f>
        <v>3099</v>
      </c>
      <c r="W21" s="46">
        <f>IF(VLOOKUP($C21,REV!$C:$AA,21,0)-'TRADE IN'!$F21=0,"",(VLOOKUP($C21,REV!$C:$AA,21,0)-'TRADE IN'!$F21))</f>
        <v>3099</v>
      </c>
      <c r="X21" s="46">
        <f>IF(VLOOKUP($C21,REV!$C:$AA,22,0)-'TRADE IN'!$F21=0,"",(VLOOKUP($C21,REV!$C:$AA,22,0)-'TRADE IN'!$F21))</f>
        <v>2999</v>
      </c>
      <c r="Y21" s="46">
        <f>IF(VLOOKUP($C21,REV!$C:$AA,23,0)-'TRADE IN'!$F21=0,"",(VLOOKUP($C21,REV!$C:$AA,23,0)-'TRADE IN'!$F21))</f>
        <v>2499</v>
      </c>
      <c r="Z21" s="46">
        <f>IF(VLOOKUP($C21,REV!$C:$AA,24,0)-'TRADE IN'!$F21=0,"",(VLOOKUP($C21,REV!$C:$AA,24,0)-'TRADE IN'!$F21))</f>
        <v>2499</v>
      </c>
      <c r="AA21" s="46">
        <f>IF(VLOOKUP($C21,REV!$C:$AA,25,0)-'TRADE IN'!$F21=0,"",(VLOOKUP($C21,REV!$C:$AA,25,0)-'TRADE IN'!$F21))</f>
        <v>2499</v>
      </c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7"/>
      <c r="AW21" s="48" t="str">
        <f>REV!AW21</f>
        <v>01.12.2026</v>
      </c>
      <c r="AX21" s="153" t="str">
        <f>VLOOKUP(C21,REV!C:AX,48,0)</f>
        <v>5G</v>
      </c>
    </row>
    <row r="22" spans="1:50" ht="22.5" customHeight="1">
      <c r="A22" s="41" t="s">
        <v>63</v>
      </c>
      <c r="B22" s="42" t="s">
        <v>64</v>
      </c>
      <c r="C22" s="43">
        <v>4015262</v>
      </c>
      <c r="D22" s="44" t="s">
        <v>79</v>
      </c>
      <c r="E22" s="44" t="s">
        <v>81</v>
      </c>
      <c r="F22" s="45"/>
      <c r="G22" s="45"/>
      <c r="H22" s="46"/>
      <c r="I22" s="46"/>
      <c r="J22" s="46">
        <f>IF(VLOOKUP($C22,REV!$C:$AA,8,0)-'TRADE IN'!$F22=0,"",(VLOOKUP($C22,REV!$C:$AA,8,0)-'TRADE IN'!$F22))</f>
        <v>4199</v>
      </c>
      <c r="K22" s="46">
        <f>IF(VLOOKUP($C22,REV!$C:$AA,9,0)-'TRADE IN'!$F22=0,"",(VLOOKUP($C22,REV!$C:$AA,9,0)-'TRADE IN'!$F22))</f>
        <v>4199</v>
      </c>
      <c r="L22" s="46">
        <f>IF(VLOOKUP($C22,REV!$C:$AA,10,0)-'TRADE IN'!$F22=0,"",(VLOOKUP($C22,REV!$C:$AA,10,0)-'TRADE IN'!$F22))</f>
        <v>4199</v>
      </c>
      <c r="M22" s="46">
        <f>IF(VLOOKUP($C22,REV!$C:$AA,11,0)-'TRADE IN'!$F22=0,"",(VLOOKUP($C22,REV!$C:$AA,11,0)-'TRADE IN'!$F22))</f>
        <v>4199</v>
      </c>
      <c r="N22" s="46">
        <f>IF(VLOOKUP($C22,REV!$C:$AA,12,0)-'TRADE IN'!$F22=0,"",(VLOOKUP($C22,REV!$C:$AA,12,0)-'TRADE IN'!$F22))</f>
        <v>4199</v>
      </c>
      <c r="O22" s="46">
        <f>IF(VLOOKUP($C22,REV!$C:$AA,13,0)-'TRADE IN'!$F22=0,"",(VLOOKUP($C22,REV!$C:$AA,13,0)-'TRADE IN'!$F22))</f>
        <v>3899</v>
      </c>
      <c r="P22" s="46">
        <f>IF(VLOOKUP($C22,REV!$C:$AA,14,0)-'TRADE IN'!$F22=0,"",(VLOOKUP($C22,REV!$C:$AA,14,0)-'TRADE IN'!$F22))</f>
        <v>3799</v>
      </c>
      <c r="Q22" s="46">
        <f>IF(VLOOKUP($C22,REV!$C:$AA,15,0)-'TRADE IN'!$F22=0,"",(VLOOKUP($C22,REV!$C:$AA,15,0)-'TRADE IN'!$F22))</f>
        <v>3099</v>
      </c>
      <c r="R22" s="46">
        <f>IF(VLOOKUP($C22,REV!$C:$AA,16,0)-'TRADE IN'!$F22=0,"",(VLOOKUP($C22,REV!$C:$AA,16,0)-'TRADE IN'!$F22))</f>
        <v>3899</v>
      </c>
      <c r="S22" s="46">
        <f>IF(VLOOKUP($C22,REV!$C:$AA,17,0)-'TRADE IN'!$F22=0,"",(VLOOKUP($C22,REV!$C:$AA,17,0)-'TRADE IN'!$F22))</f>
        <v>3799</v>
      </c>
      <c r="T22" s="46">
        <f>IF(VLOOKUP($C22,REV!$C:$AA,18,0)-'TRADE IN'!$F22=0,"",(VLOOKUP($C22,REV!$C:$AA,18,0)-'TRADE IN'!$F22))</f>
        <v>3099</v>
      </c>
      <c r="U22" s="46">
        <f>IF(VLOOKUP($C22,REV!$C:$AA,19,0)-'TRADE IN'!$F22=0,"",(VLOOKUP($C22,REV!$C:$AA,19,0)-'TRADE IN'!$F22))</f>
        <v>3099</v>
      </c>
      <c r="V22" s="46">
        <f>IF(VLOOKUP($C22,REV!$C:$AA,20,0)-'TRADE IN'!$F22=0,"",(VLOOKUP($C22,REV!$C:$AA,20,0)-'TRADE IN'!$F22))</f>
        <v>3099</v>
      </c>
      <c r="W22" s="46">
        <f>IF(VLOOKUP($C22,REV!$C:$AA,21,0)-'TRADE IN'!$F22=0,"",(VLOOKUP($C22,REV!$C:$AA,21,0)-'TRADE IN'!$F22))</f>
        <v>3099</v>
      </c>
      <c r="X22" s="46">
        <f>IF(VLOOKUP($C22,REV!$C:$AA,22,0)-'TRADE IN'!$F22=0,"",(VLOOKUP($C22,REV!$C:$AA,22,0)-'TRADE IN'!$F22))</f>
        <v>2999</v>
      </c>
      <c r="Y22" s="46">
        <f>IF(VLOOKUP($C22,REV!$C:$AA,23,0)-'TRADE IN'!$F22=0,"",(VLOOKUP($C22,REV!$C:$AA,23,0)-'TRADE IN'!$F22))</f>
        <v>2499</v>
      </c>
      <c r="Z22" s="46">
        <f>IF(VLOOKUP($C22,REV!$C:$AA,24,0)-'TRADE IN'!$F22=0,"",(VLOOKUP($C22,REV!$C:$AA,24,0)-'TRADE IN'!$F22))</f>
        <v>2499</v>
      </c>
      <c r="AA22" s="46">
        <f>IF(VLOOKUP($C22,REV!$C:$AA,25,0)-'TRADE IN'!$F22=0,"",(VLOOKUP($C22,REV!$C:$AA,25,0)-'TRADE IN'!$F22))</f>
        <v>2499</v>
      </c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7"/>
      <c r="AW22" s="48" t="str">
        <f>REV!AW22</f>
        <v>01.12.2026</v>
      </c>
      <c r="AX22" s="153" t="str">
        <f>VLOOKUP(C22,REV!C:AX,48,0)</f>
        <v>5G</v>
      </c>
    </row>
    <row r="23" spans="1:50" ht="22.5" customHeight="1">
      <c r="A23" s="41" t="s">
        <v>63</v>
      </c>
      <c r="B23" s="42" t="s">
        <v>64</v>
      </c>
      <c r="C23" s="43">
        <v>4015180</v>
      </c>
      <c r="D23" s="44" t="s">
        <v>82</v>
      </c>
      <c r="E23" s="44" t="s">
        <v>83</v>
      </c>
      <c r="F23" s="45"/>
      <c r="G23" s="45"/>
      <c r="H23" s="46"/>
      <c r="I23" s="46"/>
      <c r="J23" s="46">
        <f>IF(VLOOKUP($C23,REV!$C:$AA,8,0)-'TRADE IN'!$F23=0,"",(VLOOKUP($C23,REV!$C:$AA,8,0)-'TRADE IN'!$F23))</f>
        <v>4399</v>
      </c>
      <c r="K23" s="46">
        <f>IF(VLOOKUP($C23,REV!$C:$AA,9,0)-'TRADE IN'!$F23=0,"",(VLOOKUP($C23,REV!$C:$AA,9,0)-'TRADE IN'!$F23))</f>
        <v>4399</v>
      </c>
      <c r="L23" s="46">
        <f>IF(VLOOKUP($C23,REV!$C:$AA,10,0)-'TRADE IN'!$F23=0,"",(VLOOKUP($C23,REV!$C:$AA,10,0)-'TRADE IN'!$F23))</f>
        <v>4399</v>
      </c>
      <c r="M23" s="46">
        <f>IF(VLOOKUP($C23,REV!$C:$AA,11,0)-'TRADE IN'!$F23=0,"",(VLOOKUP($C23,REV!$C:$AA,11,0)-'TRADE IN'!$F23))</f>
        <v>4399</v>
      </c>
      <c r="N23" s="46">
        <f>IF(VLOOKUP($C23,REV!$C:$AA,12,0)-'TRADE IN'!$F23=0,"",(VLOOKUP($C23,REV!$C:$AA,12,0)-'TRADE IN'!$F23))</f>
        <v>4399</v>
      </c>
      <c r="O23" s="46">
        <f>IF(VLOOKUP($C23,REV!$C:$AA,13,0)-'TRADE IN'!$F23=0,"",(VLOOKUP($C23,REV!$C:$AA,13,0)-'TRADE IN'!$F23))</f>
        <v>4299</v>
      </c>
      <c r="P23" s="46">
        <f>IF(VLOOKUP($C23,REV!$C:$AA,14,0)-'TRADE IN'!$F23=0,"",(VLOOKUP($C23,REV!$C:$AA,14,0)-'TRADE IN'!$F23))</f>
        <v>4199</v>
      </c>
      <c r="Q23" s="46">
        <f>IF(VLOOKUP($C23,REV!$C:$AA,15,0)-'TRADE IN'!$F23=0,"",(VLOOKUP($C23,REV!$C:$AA,15,0)-'TRADE IN'!$F23))</f>
        <v>3499</v>
      </c>
      <c r="R23" s="46">
        <f>IF(VLOOKUP($C23,REV!$C:$AA,16,0)-'TRADE IN'!$F23=0,"",(VLOOKUP($C23,REV!$C:$AA,16,0)-'TRADE IN'!$F23))</f>
        <v>4299</v>
      </c>
      <c r="S23" s="46">
        <f>IF(VLOOKUP($C23,REV!$C:$AA,17,0)-'TRADE IN'!$F23=0,"",(VLOOKUP($C23,REV!$C:$AA,17,0)-'TRADE IN'!$F23))</f>
        <v>4199</v>
      </c>
      <c r="T23" s="46">
        <f>IF(VLOOKUP($C23,REV!$C:$AA,18,0)-'TRADE IN'!$F23=0,"",(VLOOKUP($C23,REV!$C:$AA,18,0)-'TRADE IN'!$F23))</f>
        <v>3499</v>
      </c>
      <c r="U23" s="46">
        <f>IF(VLOOKUP($C23,REV!$C:$AA,19,0)-'TRADE IN'!$F23=0,"",(VLOOKUP($C23,REV!$C:$AA,19,0)-'TRADE IN'!$F23))</f>
        <v>3499</v>
      </c>
      <c r="V23" s="46">
        <f>IF(VLOOKUP($C23,REV!$C:$AA,20,0)-'TRADE IN'!$F23=0,"",(VLOOKUP($C23,REV!$C:$AA,20,0)-'TRADE IN'!$F23))</f>
        <v>3499</v>
      </c>
      <c r="W23" s="46">
        <f>IF(VLOOKUP($C23,REV!$C:$AA,21,0)-'TRADE IN'!$F23=0,"",(VLOOKUP($C23,REV!$C:$AA,21,0)-'TRADE IN'!$F23))</f>
        <v>3499</v>
      </c>
      <c r="X23" s="46">
        <f>IF(VLOOKUP($C23,REV!$C:$AA,22,0)-'TRADE IN'!$F23=0,"",(VLOOKUP($C23,REV!$C:$AA,22,0)-'TRADE IN'!$F23))</f>
        <v>3399</v>
      </c>
      <c r="Y23" s="46">
        <f>IF(VLOOKUP($C23,REV!$C:$AA,23,0)-'TRADE IN'!$F23=0,"",(VLOOKUP($C23,REV!$C:$AA,23,0)-'TRADE IN'!$F23))</f>
        <v>2499</v>
      </c>
      <c r="Z23" s="46">
        <f>IF(VLOOKUP($C23,REV!$C:$AA,24,0)-'TRADE IN'!$F23=0,"",(VLOOKUP($C23,REV!$C:$AA,24,0)-'TRADE IN'!$F23))</f>
        <v>2499</v>
      </c>
      <c r="AA23" s="46">
        <f>IF(VLOOKUP($C23,REV!$C:$AA,25,0)-'TRADE IN'!$F23=0,"",(VLOOKUP($C23,REV!$C:$AA,25,0)-'TRADE IN'!$F23))</f>
        <v>2449</v>
      </c>
      <c r="AB23" s="45">
        <f>IF(VLOOKUP($C23,REV!$C:$AL,27,0)-'TRADE IN'!$F23=0,"",(VLOOKUP($C23,REV!$C:$AL,27,0)-'TRADE IN'!$F23))</f>
        <v>4399</v>
      </c>
      <c r="AC23" s="45">
        <f>IF(VLOOKUP($C23,REV!$C:$AL,28,0)-'TRADE IN'!$F23=0,"",(VLOOKUP($C23,REV!$C:$AL,28,0)-'TRADE IN'!$F23))</f>
        <v>4399</v>
      </c>
      <c r="AD23" s="45">
        <f>IF(VLOOKUP($C23,REV!$C:$AL,29,0)-'TRADE IN'!$F23=0,"",(VLOOKUP($C23,REV!$C:$AL,29,0)-'TRADE IN'!$F23))</f>
        <v>4199</v>
      </c>
      <c r="AE23" s="45">
        <f>IF(VLOOKUP($C23,REV!$C:$AL,30,0)-'TRADE IN'!$F23=0,"",(VLOOKUP($C23,REV!$C:$AL,30,0)-'TRADE IN'!$F23))</f>
        <v>4199</v>
      </c>
      <c r="AF23" s="45">
        <f>IF(VLOOKUP($C23,REV!$C:$AL,31,0)-'TRADE IN'!$F23=0,"",(VLOOKUP($C23,REV!$C:$AL,31,0)-'TRADE IN'!$F23))</f>
        <v>4199</v>
      </c>
      <c r="AG23" s="45">
        <f>IF(VLOOKUP($C23,REV!$C:$AL,31,0)-'TRADE IN'!$F23=0,"",(VLOOKUP($C23,REV!$C:$AL,31,0)-'TRADE IN'!$F23))</f>
        <v>4199</v>
      </c>
      <c r="AH23" s="45">
        <f>IF(VLOOKUP($C23,REV!$C:$AL,32,0)-'TRADE IN'!$F23=0,"",(VLOOKUP($C23,REV!$C:$AL,32,0)-'TRADE IN'!$F23))</f>
        <v>4199</v>
      </c>
      <c r="AI23" s="45">
        <f>IF(VLOOKUP($C23,REV!$C:$AL,33,0)-'TRADE IN'!$F23=0,"",(VLOOKUP($C23,REV!$C:$AL,33,0)-'TRADE IN'!$F23))</f>
        <v>3499</v>
      </c>
      <c r="AJ23" s="45">
        <f>IF(VLOOKUP($C23,REV!$C:$AL,34,0)-'TRADE IN'!$F23=0,"",(VLOOKUP($C23,REV!$C:$AL,34,0)-'TRADE IN'!$F23))</f>
        <v>3499</v>
      </c>
      <c r="AK23" s="45">
        <f>IF(VLOOKUP($C23,REV!$C:$AL,35,0)-'TRADE IN'!$F23=0,"",(VLOOKUP($C23,REV!$C:$AL,35,0)-'TRADE IN'!$F23))</f>
        <v>3499</v>
      </c>
      <c r="AL23" s="45">
        <f>IF(VLOOKUP($C23,REV!$C:$AL,36,0)-'TRADE IN'!$F23=0,"",(VLOOKUP($C23,REV!$C:$AL,36,0)-'TRADE IN'!$F23))</f>
        <v>2499</v>
      </c>
      <c r="AM23" s="45"/>
      <c r="AN23" s="45"/>
      <c r="AO23" s="45"/>
      <c r="AP23" s="45"/>
      <c r="AQ23" s="45"/>
      <c r="AR23" s="45"/>
      <c r="AS23" s="45"/>
      <c r="AT23" s="45"/>
      <c r="AU23" s="45"/>
      <c r="AV23" s="47"/>
      <c r="AW23" s="48" t="str">
        <f>REV!AW23</f>
        <v>01.12.2026</v>
      </c>
      <c r="AX23" s="153" t="str">
        <f>VLOOKUP(C23,REV!C:AX,48,0)</f>
        <v>5G</v>
      </c>
    </row>
    <row r="24" spans="1:50" ht="22.5" customHeight="1">
      <c r="A24" s="41" t="s">
        <v>63</v>
      </c>
      <c r="B24" s="42" t="s">
        <v>64</v>
      </c>
      <c r="C24" s="43">
        <v>4015186</v>
      </c>
      <c r="D24" s="44" t="s">
        <v>82</v>
      </c>
      <c r="E24" s="44" t="s">
        <v>84</v>
      </c>
      <c r="F24" s="45"/>
      <c r="G24" s="45"/>
      <c r="H24" s="46"/>
      <c r="I24" s="46"/>
      <c r="J24" s="46">
        <f>IF(VLOOKUP($C24,REV!$C:$AA,8,0)-'TRADE IN'!$F24=0,"",(VLOOKUP($C24,REV!$C:$AA,8,0)-'TRADE IN'!$F24))</f>
        <v>4399</v>
      </c>
      <c r="K24" s="46">
        <f>IF(VLOOKUP($C24,REV!$C:$AA,9,0)-'TRADE IN'!$F24=0,"",(VLOOKUP($C24,REV!$C:$AA,9,0)-'TRADE IN'!$F24))</f>
        <v>4399</v>
      </c>
      <c r="L24" s="46">
        <f>IF(VLOOKUP($C24,REV!$C:$AA,10,0)-'TRADE IN'!$F24=0,"",(VLOOKUP($C24,REV!$C:$AA,10,0)-'TRADE IN'!$F24))</f>
        <v>4399</v>
      </c>
      <c r="M24" s="46">
        <f>IF(VLOOKUP($C24,REV!$C:$AA,11,0)-'TRADE IN'!$F24=0,"",(VLOOKUP($C24,REV!$C:$AA,11,0)-'TRADE IN'!$F24))</f>
        <v>4399</v>
      </c>
      <c r="N24" s="46">
        <f>IF(VLOOKUP($C24,REV!$C:$AA,12,0)-'TRADE IN'!$F24=0,"",(VLOOKUP($C24,REV!$C:$AA,12,0)-'TRADE IN'!$F24))</f>
        <v>4399</v>
      </c>
      <c r="O24" s="46">
        <f>IF(VLOOKUP($C24,REV!$C:$AA,13,0)-'TRADE IN'!$F24=0,"",(VLOOKUP($C24,REV!$C:$AA,13,0)-'TRADE IN'!$F24))</f>
        <v>4299</v>
      </c>
      <c r="P24" s="46">
        <f>IF(VLOOKUP($C24,REV!$C:$AA,14,0)-'TRADE IN'!$F24=0,"",(VLOOKUP($C24,REV!$C:$AA,14,0)-'TRADE IN'!$F24))</f>
        <v>4199</v>
      </c>
      <c r="Q24" s="46">
        <f>IF(VLOOKUP($C24,REV!$C:$AA,15,0)-'TRADE IN'!$F24=0,"",(VLOOKUP($C24,REV!$C:$AA,15,0)-'TRADE IN'!$F24))</f>
        <v>3499</v>
      </c>
      <c r="R24" s="46">
        <f>IF(VLOOKUP($C24,REV!$C:$AA,16,0)-'TRADE IN'!$F24=0,"",(VLOOKUP($C24,REV!$C:$AA,16,0)-'TRADE IN'!$F24))</f>
        <v>4299</v>
      </c>
      <c r="S24" s="46">
        <f>IF(VLOOKUP($C24,REV!$C:$AA,17,0)-'TRADE IN'!$F24=0,"",(VLOOKUP($C24,REV!$C:$AA,17,0)-'TRADE IN'!$F24))</f>
        <v>4199</v>
      </c>
      <c r="T24" s="46">
        <f>IF(VLOOKUP($C24,REV!$C:$AA,18,0)-'TRADE IN'!$F24=0,"",(VLOOKUP($C24,REV!$C:$AA,18,0)-'TRADE IN'!$F24))</f>
        <v>3499</v>
      </c>
      <c r="U24" s="46">
        <f>IF(VLOOKUP($C24,REV!$C:$AA,19,0)-'TRADE IN'!$F24=0,"",(VLOOKUP($C24,REV!$C:$AA,19,0)-'TRADE IN'!$F24))</f>
        <v>3499</v>
      </c>
      <c r="V24" s="46">
        <f>IF(VLOOKUP($C24,REV!$C:$AA,20,0)-'TRADE IN'!$F24=0,"",(VLOOKUP($C24,REV!$C:$AA,20,0)-'TRADE IN'!$F24))</f>
        <v>3499</v>
      </c>
      <c r="W24" s="46">
        <f>IF(VLOOKUP($C24,REV!$C:$AA,21,0)-'TRADE IN'!$F24=0,"",(VLOOKUP($C24,REV!$C:$AA,21,0)-'TRADE IN'!$F24))</f>
        <v>3499</v>
      </c>
      <c r="X24" s="46">
        <f>IF(VLOOKUP($C24,REV!$C:$AA,22,0)-'TRADE IN'!$F24=0,"",(VLOOKUP($C24,REV!$C:$AA,22,0)-'TRADE IN'!$F24))</f>
        <v>3399</v>
      </c>
      <c r="Y24" s="46">
        <f>IF(VLOOKUP($C24,REV!$C:$AA,23,0)-'TRADE IN'!$F24=0,"",(VLOOKUP($C24,REV!$C:$AA,23,0)-'TRADE IN'!$F24))</f>
        <v>2499</v>
      </c>
      <c r="Z24" s="46">
        <f>IF(VLOOKUP($C24,REV!$C:$AA,24,0)-'TRADE IN'!$F24=0,"",(VLOOKUP($C24,REV!$C:$AA,24,0)-'TRADE IN'!$F24))</f>
        <v>2499</v>
      </c>
      <c r="AA24" s="46">
        <f>IF(VLOOKUP($C24,REV!$C:$AA,25,0)-'TRADE IN'!$F24=0,"",(VLOOKUP($C24,REV!$C:$AA,25,0)-'TRADE IN'!$F24))</f>
        <v>2449</v>
      </c>
      <c r="AB24" s="45">
        <f>IF(VLOOKUP($C24,REV!$C:$AL,27,0)-'TRADE IN'!$F24=0,"",(VLOOKUP($C24,REV!$C:$AL,27,0)-'TRADE IN'!$F24))</f>
        <v>4399</v>
      </c>
      <c r="AC24" s="45">
        <f>IF(VLOOKUP($C24,REV!$C:$AL,28,0)-'TRADE IN'!$F24=0,"",(VLOOKUP($C24,REV!$C:$AL,28,0)-'TRADE IN'!$F24))</f>
        <v>4399</v>
      </c>
      <c r="AD24" s="45">
        <f>IF(VLOOKUP($C24,REV!$C:$AL,29,0)-'TRADE IN'!$F24=0,"",(VLOOKUP($C24,REV!$C:$AL,29,0)-'TRADE IN'!$F24))</f>
        <v>4199</v>
      </c>
      <c r="AE24" s="45">
        <f>IF(VLOOKUP($C24,REV!$C:$AL,30,0)-'TRADE IN'!$F24=0,"",(VLOOKUP($C24,REV!$C:$AL,30,0)-'TRADE IN'!$F24))</f>
        <v>4199</v>
      </c>
      <c r="AF24" s="45">
        <f>IF(VLOOKUP($C24,REV!$C:$AL,31,0)-'TRADE IN'!$F24=0,"",(VLOOKUP($C24,REV!$C:$AL,31,0)-'TRADE IN'!$F24))</f>
        <v>4199</v>
      </c>
      <c r="AG24" s="45">
        <f>IF(VLOOKUP($C24,REV!$C:$AL,31,0)-'TRADE IN'!$F24=0,"",(VLOOKUP($C24,REV!$C:$AL,31,0)-'TRADE IN'!$F24))</f>
        <v>4199</v>
      </c>
      <c r="AH24" s="45">
        <f>IF(VLOOKUP($C24,REV!$C:$AL,32,0)-'TRADE IN'!$F24=0,"",(VLOOKUP($C24,REV!$C:$AL,32,0)-'TRADE IN'!$F24))</f>
        <v>4199</v>
      </c>
      <c r="AI24" s="45">
        <f>IF(VLOOKUP($C24,REV!$C:$AL,33,0)-'TRADE IN'!$F24=0,"",(VLOOKUP($C24,REV!$C:$AL,33,0)-'TRADE IN'!$F24))</f>
        <v>3499</v>
      </c>
      <c r="AJ24" s="45">
        <f>IF(VLOOKUP($C24,REV!$C:$AL,34,0)-'TRADE IN'!$F24=0,"",(VLOOKUP($C24,REV!$C:$AL,34,0)-'TRADE IN'!$F24))</f>
        <v>3499</v>
      </c>
      <c r="AK24" s="45">
        <f>IF(VLOOKUP($C24,REV!$C:$AL,35,0)-'TRADE IN'!$F24=0,"",(VLOOKUP($C24,REV!$C:$AL,35,0)-'TRADE IN'!$F24))</f>
        <v>3499</v>
      </c>
      <c r="AL24" s="45">
        <f>IF(VLOOKUP($C24,REV!$C:$AL,36,0)-'TRADE IN'!$F24=0,"",(VLOOKUP($C24,REV!$C:$AL,36,0)-'TRADE IN'!$F24))</f>
        <v>2499</v>
      </c>
      <c r="AM24" s="45"/>
      <c r="AN24" s="45"/>
      <c r="AO24" s="45"/>
      <c r="AP24" s="45"/>
      <c r="AQ24" s="45"/>
      <c r="AR24" s="45"/>
      <c r="AS24" s="45"/>
      <c r="AT24" s="45"/>
      <c r="AU24" s="45"/>
      <c r="AV24" s="47"/>
      <c r="AW24" s="48" t="str">
        <f>REV!AW24</f>
        <v>01.12.2026</v>
      </c>
      <c r="AX24" s="153" t="str">
        <f>VLOOKUP(C24,REV!C:AX,48,0)</f>
        <v>5G</v>
      </c>
    </row>
    <row r="25" spans="1:50" ht="22.5" customHeight="1">
      <c r="A25" s="41" t="s">
        <v>63</v>
      </c>
      <c r="B25" s="42" t="s">
        <v>64</v>
      </c>
      <c r="C25" s="43">
        <v>4015267</v>
      </c>
      <c r="D25" s="44" t="s">
        <v>82</v>
      </c>
      <c r="E25" s="44" t="s">
        <v>85</v>
      </c>
      <c r="F25" s="45"/>
      <c r="G25" s="45"/>
      <c r="H25" s="46"/>
      <c r="I25" s="46"/>
      <c r="J25" s="46">
        <f>IF(VLOOKUP($C25,REV!$C:$AA,8,0)-'TRADE IN'!$F25=0,"",(VLOOKUP($C25,REV!$C:$AA,8,0)-'TRADE IN'!$F25))</f>
        <v>4399</v>
      </c>
      <c r="K25" s="46">
        <f>IF(VLOOKUP($C25,REV!$C:$AA,9,0)-'TRADE IN'!$F25=0,"",(VLOOKUP($C25,REV!$C:$AA,9,0)-'TRADE IN'!$F25))</f>
        <v>4399</v>
      </c>
      <c r="L25" s="46">
        <f>IF(VLOOKUP($C25,REV!$C:$AA,10,0)-'TRADE IN'!$F25=0,"",(VLOOKUP($C25,REV!$C:$AA,10,0)-'TRADE IN'!$F25))</f>
        <v>4399</v>
      </c>
      <c r="M25" s="46">
        <f>IF(VLOOKUP($C25,REV!$C:$AA,11,0)-'TRADE IN'!$F25=0,"",(VLOOKUP($C25,REV!$C:$AA,11,0)-'TRADE IN'!$F25))</f>
        <v>4399</v>
      </c>
      <c r="N25" s="46">
        <f>IF(VLOOKUP($C25,REV!$C:$AA,12,0)-'TRADE IN'!$F25=0,"",(VLOOKUP($C25,REV!$C:$AA,12,0)-'TRADE IN'!$F25))</f>
        <v>4399</v>
      </c>
      <c r="O25" s="46">
        <f>IF(VLOOKUP($C25,REV!$C:$AA,13,0)-'TRADE IN'!$F25=0,"",(VLOOKUP($C25,REV!$C:$AA,13,0)-'TRADE IN'!$F25))</f>
        <v>4299</v>
      </c>
      <c r="P25" s="46">
        <f>IF(VLOOKUP($C25,REV!$C:$AA,14,0)-'TRADE IN'!$F25=0,"",(VLOOKUP($C25,REV!$C:$AA,14,0)-'TRADE IN'!$F25))</f>
        <v>4199</v>
      </c>
      <c r="Q25" s="46">
        <f>IF(VLOOKUP($C25,REV!$C:$AA,15,0)-'TRADE IN'!$F25=0,"",(VLOOKUP($C25,REV!$C:$AA,15,0)-'TRADE IN'!$F25))</f>
        <v>3499</v>
      </c>
      <c r="R25" s="46">
        <f>IF(VLOOKUP($C25,REV!$C:$AA,16,0)-'TRADE IN'!$F25=0,"",(VLOOKUP($C25,REV!$C:$AA,16,0)-'TRADE IN'!$F25))</f>
        <v>4299</v>
      </c>
      <c r="S25" s="46">
        <f>IF(VLOOKUP($C25,REV!$C:$AA,17,0)-'TRADE IN'!$F25=0,"",(VLOOKUP($C25,REV!$C:$AA,17,0)-'TRADE IN'!$F25))</f>
        <v>4199</v>
      </c>
      <c r="T25" s="46">
        <f>IF(VLOOKUP($C25,REV!$C:$AA,18,0)-'TRADE IN'!$F25=0,"",(VLOOKUP($C25,REV!$C:$AA,18,0)-'TRADE IN'!$F25))</f>
        <v>3499</v>
      </c>
      <c r="U25" s="46">
        <f>IF(VLOOKUP($C25,REV!$C:$AA,19,0)-'TRADE IN'!$F25=0,"",(VLOOKUP($C25,REV!$C:$AA,19,0)-'TRADE IN'!$F25))</f>
        <v>3499</v>
      </c>
      <c r="V25" s="46">
        <f>IF(VLOOKUP($C25,REV!$C:$AA,20,0)-'TRADE IN'!$F25=0,"",(VLOOKUP($C25,REV!$C:$AA,20,0)-'TRADE IN'!$F25))</f>
        <v>3499</v>
      </c>
      <c r="W25" s="46">
        <f>IF(VLOOKUP($C25,REV!$C:$AA,21,0)-'TRADE IN'!$F25=0,"",(VLOOKUP($C25,REV!$C:$AA,21,0)-'TRADE IN'!$F25))</f>
        <v>3499</v>
      </c>
      <c r="X25" s="46">
        <f>IF(VLOOKUP($C25,REV!$C:$AA,22,0)-'TRADE IN'!$F25=0,"",(VLOOKUP($C25,REV!$C:$AA,22,0)-'TRADE IN'!$F25))</f>
        <v>3399</v>
      </c>
      <c r="Y25" s="46">
        <f>IF(VLOOKUP($C25,REV!$C:$AA,23,0)-'TRADE IN'!$F25=0,"",(VLOOKUP($C25,REV!$C:$AA,23,0)-'TRADE IN'!$F25))</f>
        <v>2499</v>
      </c>
      <c r="Z25" s="46">
        <f>IF(VLOOKUP($C25,REV!$C:$AA,24,0)-'TRADE IN'!$F25=0,"",(VLOOKUP($C25,REV!$C:$AA,24,0)-'TRADE IN'!$F25))</f>
        <v>2499</v>
      </c>
      <c r="AA25" s="46">
        <f>IF(VLOOKUP($C25,REV!$C:$AA,25,0)-'TRADE IN'!$F25=0,"",(VLOOKUP($C25,REV!$C:$AA,25,0)-'TRADE IN'!$F25))</f>
        <v>2449</v>
      </c>
      <c r="AB25" s="45">
        <f>IF(VLOOKUP($C25,REV!$C:$AL,27,0)-'TRADE IN'!$F25=0,"",(VLOOKUP($C25,REV!$C:$AL,27,0)-'TRADE IN'!$F25))</f>
        <v>4399</v>
      </c>
      <c r="AC25" s="45">
        <f>IF(VLOOKUP($C25,REV!$C:$AL,28,0)-'TRADE IN'!$F25=0,"",(VLOOKUP($C25,REV!$C:$AL,28,0)-'TRADE IN'!$F25))</f>
        <v>4399</v>
      </c>
      <c r="AD25" s="45">
        <f>IF(VLOOKUP($C25,REV!$C:$AL,29,0)-'TRADE IN'!$F25=0,"",(VLOOKUP($C25,REV!$C:$AL,29,0)-'TRADE IN'!$F25))</f>
        <v>4199</v>
      </c>
      <c r="AE25" s="45">
        <f>IF(VLOOKUP($C25,REV!$C:$AL,30,0)-'TRADE IN'!$F25=0,"",(VLOOKUP($C25,REV!$C:$AL,30,0)-'TRADE IN'!$F25))</f>
        <v>4199</v>
      </c>
      <c r="AF25" s="45">
        <f>IF(VLOOKUP($C25,REV!$C:$AL,31,0)-'TRADE IN'!$F25=0,"",(VLOOKUP($C25,REV!$C:$AL,31,0)-'TRADE IN'!$F25))</f>
        <v>4199</v>
      </c>
      <c r="AG25" s="45">
        <f>IF(VLOOKUP($C25,REV!$C:$AL,31,0)-'TRADE IN'!$F25=0,"",(VLOOKUP($C25,REV!$C:$AL,31,0)-'TRADE IN'!$F25))</f>
        <v>4199</v>
      </c>
      <c r="AH25" s="45">
        <f>IF(VLOOKUP($C25,REV!$C:$AL,32,0)-'TRADE IN'!$F25=0,"",(VLOOKUP($C25,REV!$C:$AL,32,0)-'TRADE IN'!$F25))</f>
        <v>4199</v>
      </c>
      <c r="AI25" s="45">
        <f>IF(VLOOKUP($C25,REV!$C:$AL,33,0)-'TRADE IN'!$F25=0,"",(VLOOKUP($C25,REV!$C:$AL,33,0)-'TRADE IN'!$F25))</f>
        <v>3499</v>
      </c>
      <c r="AJ25" s="45">
        <f>IF(VLOOKUP($C25,REV!$C:$AL,34,0)-'TRADE IN'!$F25=0,"",(VLOOKUP($C25,REV!$C:$AL,34,0)-'TRADE IN'!$F25))</f>
        <v>3499</v>
      </c>
      <c r="AK25" s="45">
        <f>IF(VLOOKUP($C25,REV!$C:$AL,35,0)-'TRADE IN'!$F25=0,"",(VLOOKUP($C25,REV!$C:$AL,35,0)-'TRADE IN'!$F25))</f>
        <v>3499</v>
      </c>
      <c r="AL25" s="45">
        <f>IF(VLOOKUP($C25,REV!$C:$AL,36,0)-'TRADE IN'!$F25=0,"",(VLOOKUP($C25,REV!$C:$AL,36,0)-'TRADE IN'!$F25))</f>
        <v>2499</v>
      </c>
      <c r="AM25" s="45"/>
      <c r="AN25" s="45"/>
      <c r="AO25" s="45"/>
      <c r="AP25" s="45"/>
      <c r="AQ25" s="45"/>
      <c r="AR25" s="45"/>
      <c r="AS25" s="45"/>
      <c r="AT25" s="45"/>
      <c r="AU25" s="45"/>
      <c r="AV25" s="47"/>
      <c r="AW25" s="48" t="str">
        <f>REV!AW25</f>
        <v>01.12.2026</v>
      </c>
      <c r="AX25" s="153" t="str">
        <f>VLOOKUP(C25,REV!C:AX,48,0)</f>
        <v>5G</v>
      </c>
    </row>
    <row r="26" spans="1:50" ht="22.5" customHeight="1">
      <c r="A26" s="41" t="s">
        <v>63</v>
      </c>
      <c r="B26" s="42" t="s">
        <v>64</v>
      </c>
      <c r="C26" s="43">
        <v>4015268</v>
      </c>
      <c r="D26" s="44" t="s">
        <v>82</v>
      </c>
      <c r="E26" s="44" t="s">
        <v>86</v>
      </c>
      <c r="F26" s="45"/>
      <c r="G26" s="45"/>
      <c r="H26" s="46"/>
      <c r="I26" s="46"/>
      <c r="J26" s="46">
        <f>IF(VLOOKUP($C26,REV!$C:$AA,8,0)-'TRADE IN'!$F26=0,"",(VLOOKUP($C26,REV!$C:$AA,8,0)-'TRADE IN'!$F26))</f>
        <v>4399</v>
      </c>
      <c r="K26" s="46">
        <f>IF(VLOOKUP($C26,REV!$C:$AA,9,0)-'TRADE IN'!$F26=0,"",(VLOOKUP($C26,REV!$C:$AA,9,0)-'TRADE IN'!$F26))</f>
        <v>4399</v>
      </c>
      <c r="L26" s="46">
        <f>IF(VLOOKUP($C26,REV!$C:$AA,10,0)-'TRADE IN'!$F26=0,"",(VLOOKUP($C26,REV!$C:$AA,10,0)-'TRADE IN'!$F26))</f>
        <v>4399</v>
      </c>
      <c r="M26" s="46">
        <f>IF(VLOOKUP($C26,REV!$C:$AA,11,0)-'TRADE IN'!$F26=0,"",(VLOOKUP($C26,REV!$C:$AA,11,0)-'TRADE IN'!$F26))</f>
        <v>4399</v>
      </c>
      <c r="N26" s="46">
        <f>IF(VLOOKUP($C26,REV!$C:$AA,12,0)-'TRADE IN'!$F26=0,"",(VLOOKUP($C26,REV!$C:$AA,12,0)-'TRADE IN'!$F26))</f>
        <v>4399</v>
      </c>
      <c r="O26" s="46">
        <f>IF(VLOOKUP($C26,REV!$C:$AA,13,0)-'TRADE IN'!$F26=0,"",(VLOOKUP($C26,REV!$C:$AA,13,0)-'TRADE IN'!$F26))</f>
        <v>4299</v>
      </c>
      <c r="P26" s="46">
        <f>IF(VLOOKUP($C26,REV!$C:$AA,14,0)-'TRADE IN'!$F26=0,"",(VLOOKUP($C26,REV!$C:$AA,14,0)-'TRADE IN'!$F26))</f>
        <v>4199</v>
      </c>
      <c r="Q26" s="46">
        <f>IF(VLOOKUP($C26,REV!$C:$AA,15,0)-'TRADE IN'!$F26=0,"",(VLOOKUP($C26,REV!$C:$AA,15,0)-'TRADE IN'!$F26))</f>
        <v>3499</v>
      </c>
      <c r="R26" s="46">
        <f>IF(VLOOKUP($C26,REV!$C:$AA,16,0)-'TRADE IN'!$F26=0,"",(VLOOKUP($C26,REV!$C:$AA,16,0)-'TRADE IN'!$F26))</f>
        <v>4299</v>
      </c>
      <c r="S26" s="46">
        <f>IF(VLOOKUP($C26,REV!$C:$AA,17,0)-'TRADE IN'!$F26=0,"",(VLOOKUP($C26,REV!$C:$AA,17,0)-'TRADE IN'!$F26))</f>
        <v>4199</v>
      </c>
      <c r="T26" s="46">
        <f>IF(VLOOKUP($C26,REV!$C:$AA,18,0)-'TRADE IN'!$F26=0,"",(VLOOKUP($C26,REV!$C:$AA,18,0)-'TRADE IN'!$F26))</f>
        <v>3499</v>
      </c>
      <c r="U26" s="46">
        <f>IF(VLOOKUP($C26,REV!$C:$AA,19,0)-'TRADE IN'!$F26=0,"",(VLOOKUP($C26,REV!$C:$AA,19,0)-'TRADE IN'!$F26))</f>
        <v>3499</v>
      </c>
      <c r="V26" s="46">
        <f>IF(VLOOKUP($C26,REV!$C:$AA,20,0)-'TRADE IN'!$F26=0,"",(VLOOKUP($C26,REV!$C:$AA,20,0)-'TRADE IN'!$F26))</f>
        <v>3499</v>
      </c>
      <c r="W26" s="46">
        <f>IF(VLOOKUP($C26,REV!$C:$AA,21,0)-'TRADE IN'!$F26=0,"",(VLOOKUP($C26,REV!$C:$AA,21,0)-'TRADE IN'!$F26))</f>
        <v>3499</v>
      </c>
      <c r="X26" s="46">
        <f>IF(VLOOKUP($C26,REV!$C:$AA,22,0)-'TRADE IN'!$F26=0,"",(VLOOKUP($C26,REV!$C:$AA,22,0)-'TRADE IN'!$F26))</f>
        <v>3399</v>
      </c>
      <c r="Y26" s="46">
        <f>IF(VLOOKUP($C26,REV!$C:$AA,23,0)-'TRADE IN'!$F26=0,"",(VLOOKUP($C26,REV!$C:$AA,23,0)-'TRADE IN'!$F26))</f>
        <v>2499</v>
      </c>
      <c r="Z26" s="46">
        <f>IF(VLOOKUP($C26,REV!$C:$AA,24,0)-'TRADE IN'!$F26=0,"",(VLOOKUP($C26,REV!$C:$AA,24,0)-'TRADE IN'!$F26))</f>
        <v>2499</v>
      </c>
      <c r="AA26" s="46">
        <f>IF(VLOOKUP($C26,REV!$C:$AA,25,0)-'TRADE IN'!$F26=0,"",(VLOOKUP($C26,REV!$C:$AA,25,0)-'TRADE IN'!$F26))</f>
        <v>2449</v>
      </c>
      <c r="AB26" s="45">
        <f>IF(VLOOKUP($C26,REV!$C:$AL,27,0)-'TRADE IN'!$F26=0,"",(VLOOKUP($C26,REV!$C:$AL,27,0)-'TRADE IN'!$F26))</f>
        <v>4399</v>
      </c>
      <c r="AC26" s="45">
        <f>IF(VLOOKUP($C26,REV!$C:$AL,28,0)-'TRADE IN'!$F26=0,"",(VLOOKUP($C26,REV!$C:$AL,28,0)-'TRADE IN'!$F26))</f>
        <v>4399</v>
      </c>
      <c r="AD26" s="45">
        <f>IF(VLOOKUP($C26,REV!$C:$AL,29,0)-'TRADE IN'!$F26=0,"",(VLOOKUP($C26,REV!$C:$AL,29,0)-'TRADE IN'!$F26))</f>
        <v>4199</v>
      </c>
      <c r="AE26" s="45">
        <f>IF(VLOOKUP($C26,REV!$C:$AL,30,0)-'TRADE IN'!$F26=0,"",(VLOOKUP($C26,REV!$C:$AL,30,0)-'TRADE IN'!$F26))</f>
        <v>4199</v>
      </c>
      <c r="AF26" s="45">
        <f>IF(VLOOKUP($C26,REV!$C:$AL,31,0)-'TRADE IN'!$F26=0,"",(VLOOKUP($C26,REV!$C:$AL,31,0)-'TRADE IN'!$F26))</f>
        <v>4199</v>
      </c>
      <c r="AG26" s="45">
        <f>IF(VLOOKUP($C26,REV!$C:$AL,31,0)-'TRADE IN'!$F26=0,"",(VLOOKUP($C26,REV!$C:$AL,31,0)-'TRADE IN'!$F26))</f>
        <v>4199</v>
      </c>
      <c r="AH26" s="45">
        <f>IF(VLOOKUP($C26,REV!$C:$AL,32,0)-'TRADE IN'!$F26=0,"",(VLOOKUP($C26,REV!$C:$AL,32,0)-'TRADE IN'!$F26))</f>
        <v>4199</v>
      </c>
      <c r="AI26" s="45">
        <f>IF(VLOOKUP($C26,REV!$C:$AL,33,0)-'TRADE IN'!$F26=0,"",(VLOOKUP($C26,REV!$C:$AL,33,0)-'TRADE IN'!$F26))</f>
        <v>3499</v>
      </c>
      <c r="AJ26" s="45">
        <f>IF(VLOOKUP($C26,REV!$C:$AL,34,0)-'TRADE IN'!$F26=0,"",(VLOOKUP($C26,REV!$C:$AL,34,0)-'TRADE IN'!$F26))</f>
        <v>3499</v>
      </c>
      <c r="AK26" s="45">
        <f>IF(VLOOKUP($C26,REV!$C:$AL,35,0)-'TRADE IN'!$F26=0,"",(VLOOKUP($C26,REV!$C:$AL,35,0)-'TRADE IN'!$F26))</f>
        <v>3499</v>
      </c>
      <c r="AL26" s="45">
        <f>IF(VLOOKUP($C26,REV!$C:$AL,36,0)-'TRADE IN'!$F26=0,"",(VLOOKUP($C26,REV!$C:$AL,36,0)-'TRADE IN'!$F26))</f>
        <v>2499</v>
      </c>
      <c r="AM26" s="45"/>
      <c r="AN26" s="45"/>
      <c r="AO26" s="45"/>
      <c r="AP26" s="45"/>
      <c r="AQ26" s="45"/>
      <c r="AR26" s="45"/>
      <c r="AS26" s="45"/>
      <c r="AT26" s="45"/>
      <c r="AU26" s="45"/>
      <c r="AV26" s="47"/>
      <c r="AW26" s="48" t="str">
        <f>REV!AW26</f>
        <v>01.12.2026</v>
      </c>
      <c r="AX26" s="153" t="str">
        <f>VLOOKUP(C26,REV!C:AX,48,0)</f>
        <v>5G</v>
      </c>
    </row>
    <row r="27" spans="1:50" ht="22.5" customHeight="1">
      <c r="A27" s="41" t="s">
        <v>63</v>
      </c>
      <c r="B27" s="42" t="s">
        <v>64</v>
      </c>
      <c r="C27" s="43">
        <v>4015179</v>
      </c>
      <c r="D27" s="44" t="s">
        <v>87</v>
      </c>
      <c r="E27" s="44" t="s">
        <v>88</v>
      </c>
      <c r="F27" s="45"/>
      <c r="G27" s="45"/>
      <c r="H27" s="46"/>
      <c r="I27" s="46"/>
      <c r="J27" s="46">
        <f>IF(VLOOKUP($C27,REV!$C:$AA,8,0)-'TRADE IN'!$F27=0,"",(VLOOKUP($C27,REV!$C:$AA,8,0)-'TRADE IN'!$F27))</f>
        <v>4499</v>
      </c>
      <c r="K27" s="46">
        <f>IF(VLOOKUP($C27,REV!$C:$AA,9,0)-'TRADE IN'!$F27=0,"",(VLOOKUP($C27,REV!$C:$AA,9,0)-'TRADE IN'!$F27))</f>
        <v>4499</v>
      </c>
      <c r="L27" s="46">
        <f>IF(VLOOKUP($C27,REV!$C:$AA,10,0)-'TRADE IN'!$F27=0,"",(VLOOKUP($C27,REV!$C:$AA,10,0)-'TRADE IN'!$F27))</f>
        <v>4499</v>
      </c>
      <c r="M27" s="46">
        <f>IF(VLOOKUP($C27,REV!$C:$AA,11,0)-'TRADE IN'!$F27=0,"",(VLOOKUP($C27,REV!$C:$AA,11,0)-'TRADE IN'!$F27))</f>
        <v>4499</v>
      </c>
      <c r="N27" s="46">
        <f>IF(VLOOKUP($C27,REV!$C:$AA,12,0)-'TRADE IN'!$F27=0,"",(VLOOKUP($C27,REV!$C:$AA,12,0)-'TRADE IN'!$F27))</f>
        <v>4499</v>
      </c>
      <c r="O27" s="46">
        <f>IF(VLOOKUP($C27,REV!$C:$AA,13,0)-'TRADE IN'!$F27=0,"",(VLOOKUP($C27,REV!$C:$AA,13,0)-'TRADE IN'!$F27))</f>
        <v>4399</v>
      </c>
      <c r="P27" s="46">
        <f>IF(VLOOKUP($C27,REV!$C:$AA,14,0)-'TRADE IN'!$F27=0,"",(VLOOKUP($C27,REV!$C:$AA,14,0)-'TRADE IN'!$F27))</f>
        <v>4299</v>
      </c>
      <c r="Q27" s="46">
        <f>IF(VLOOKUP($C27,REV!$C:$AA,15,0)-'TRADE IN'!$F27=0,"",(VLOOKUP($C27,REV!$C:$AA,15,0)-'TRADE IN'!$F27))</f>
        <v>3499</v>
      </c>
      <c r="R27" s="46">
        <f>IF(VLOOKUP($C27,REV!$C:$AA,16,0)-'TRADE IN'!$F27=0,"",(VLOOKUP($C27,REV!$C:$AA,16,0)-'TRADE IN'!$F27))</f>
        <v>4399</v>
      </c>
      <c r="S27" s="46">
        <f>IF(VLOOKUP($C27,REV!$C:$AA,17,0)-'TRADE IN'!$F27=0,"",(VLOOKUP($C27,REV!$C:$AA,17,0)-'TRADE IN'!$F27))</f>
        <v>4299</v>
      </c>
      <c r="T27" s="46">
        <f>IF(VLOOKUP($C27,REV!$C:$AA,18,0)-'TRADE IN'!$F27=0,"",(VLOOKUP($C27,REV!$C:$AA,18,0)-'TRADE IN'!$F27))</f>
        <v>3499</v>
      </c>
      <c r="U27" s="46">
        <f>IF(VLOOKUP($C27,REV!$C:$AA,19,0)-'TRADE IN'!$F27=0,"",(VLOOKUP($C27,REV!$C:$AA,19,0)-'TRADE IN'!$F27))</f>
        <v>3499</v>
      </c>
      <c r="V27" s="46">
        <f>IF(VLOOKUP($C27,REV!$C:$AA,20,0)-'TRADE IN'!$F27=0,"",(VLOOKUP($C27,REV!$C:$AA,20,0)-'TRADE IN'!$F27))</f>
        <v>3499</v>
      </c>
      <c r="W27" s="46">
        <f>IF(VLOOKUP($C27,REV!$C:$AA,21,0)-'TRADE IN'!$F27=0,"",(VLOOKUP($C27,REV!$C:$AA,21,0)-'TRADE IN'!$F27))</f>
        <v>3499</v>
      </c>
      <c r="X27" s="46">
        <f>IF(VLOOKUP($C27,REV!$C:$AA,22,0)-'TRADE IN'!$F27=0,"",(VLOOKUP($C27,REV!$C:$AA,22,0)-'TRADE IN'!$F27))</f>
        <v>3399</v>
      </c>
      <c r="Y27" s="46">
        <f>IF(VLOOKUP($C27,REV!$C:$AA,23,0)-'TRADE IN'!$F27=0,"",(VLOOKUP($C27,REV!$C:$AA,23,0)-'TRADE IN'!$F27))</f>
        <v>2899</v>
      </c>
      <c r="Z27" s="46">
        <f>IF(VLOOKUP($C27,REV!$C:$AA,24,0)-'TRADE IN'!$F27=0,"",(VLOOKUP($C27,REV!$C:$AA,24,0)-'TRADE IN'!$F27))</f>
        <v>2899</v>
      </c>
      <c r="AA27" s="46">
        <f>IF(VLOOKUP($C27,REV!$C:$AA,25,0)-'TRADE IN'!$F27=0,"",(VLOOKUP($C27,REV!$C:$AA,25,0)-'TRADE IN'!$F27))</f>
        <v>2899</v>
      </c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7"/>
      <c r="AW27" s="48" t="str">
        <f>REV!AW27</f>
        <v>01.12.2026</v>
      </c>
      <c r="AX27" s="153" t="str">
        <f>VLOOKUP(C27,REV!C:AX,48,0)</f>
        <v>5G</v>
      </c>
    </row>
    <row r="28" spans="1:50" ht="22.5" customHeight="1">
      <c r="A28" s="41" t="s">
        <v>63</v>
      </c>
      <c r="B28" s="42" t="s">
        <v>64</v>
      </c>
      <c r="C28" s="43">
        <v>4015187</v>
      </c>
      <c r="D28" s="44" t="s">
        <v>87</v>
      </c>
      <c r="E28" s="44" t="s">
        <v>89</v>
      </c>
      <c r="F28" s="45"/>
      <c r="G28" s="45"/>
      <c r="H28" s="46"/>
      <c r="I28" s="46"/>
      <c r="J28" s="46">
        <f>IF(VLOOKUP($C28,REV!$C:$AA,8,0)-'TRADE IN'!$F28=0,"",(VLOOKUP($C28,REV!$C:$AA,8,0)-'TRADE IN'!$F28))</f>
        <v>4499</v>
      </c>
      <c r="K28" s="46">
        <f>IF(VLOOKUP($C28,REV!$C:$AA,9,0)-'TRADE IN'!$F28=0,"",(VLOOKUP($C28,REV!$C:$AA,9,0)-'TRADE IN'!$F28))</f>
        <v>4499</v>
      </c>
      <c r="L28" s="46">
        <f>IF(VLOOKUP($C28,REV!$C:$AA,10,0)-'TRADE IN'!$F28=0,"",(VLOOKUP($C28,REV!$C:$AA,10,0)-'TRADE IN'!$F28))</f>
        <v>4499</v>
      </c>
      <c r="M28" s="46">
        <f>IF(VLOOKUP($C28,REV!$C:$AA,11,0)-'TRADE IN'!$F28=0,"",(VLOOKUP($C28,REV!$C:$AA,11,0)-'TRADE IN'!$F28))</f>
        <v>4499</v>
      </c>
      <c r="N28" s="46">
        <f>IF(VLOOKUP($C28,REV!$C:$AA,12,0)-'TRADE IN'!$F28=0,"",(VLOOKUP($C28,REV!$C:$AA,12,0)-'TRADE IN'!$F28))</f>
        <v>4499</v>
      </c>
      <c r="O28" s="46">
        <f>IF(VLOOKUP($C28,REV!$C:$AA,13,0)-'TRADE IN'!$F28=0,"",(VLOOKUP($C28,REV!$C:$AA,13,0)-'TRADE IN'!$F28))</f>
        <v>4399</v>
      </c>
      <c r="P28" s="46">
        <f>IF(VLOOKUP($C28,REV!$C:$AA,14,0)-'TRADE IN'!$F28=0,"",(VLOOKUP($C28,REV!$C:$AA,14,0)-'TRADE IN'!$F28))</f>
        <v>4299</v>
      </c>
      <c r="Q28" s="46">
        <f>IF(VLOOKUP($C28,REV!$C:$AA,15,0)-'TRADE IN'!$F28=0,"",(VLOOKUP($C28,REV!$C:$AA,15,0)-'TRADE IN'!$F28))</f>
        <v>3499</v>
      </c>
      <c r="R28" s="46">
        <f>IF(VLOOKUP($C28,REV!$C:$AA,16,0)-'TRADE IN'!$F28=0,"",(VLOOKUP($C28,REV!$C:$AA,16,0)-'TRADE IN'!$F28))</f>
        <v>4399</v>
      </c>
      <c r="S28" s="46">
        <f>IF(VLOOKUP($C28,REV!$C:$AA,17,0)-'TRADE IN'!$F28=0,"",(VLOOKUP($C28,REV!$C:$AA,17,0)-'TRADE IN'!$F28))</f>
        <v>4299</v>
      </c>
      <c r="T28" s="46">
        <f>IF(VLOOKUP($C28,REV!$C:$AA,18,0)-'TRADE IN'!$F28=0,"",(VLOOKUP($C28,REV!$C:$AA,18,0)-'TRADE IN'!$F28))</f>
        <v>3499</v>
      </c>
      <c r="U28" s="46">
        <f>IF(VLOOKUP($C28,REV!$C:$AA,19,0)-'TRADE IN'!$F28=0,"",(VLOOKUP($C28,REV!$C:$AA,19,0)-'TRADE IN'!$F28))</f>
        <v>3499</v>
      </c>
      <c r="V28" s="46">
        <f>IF(VLOOKUP($C28,REV!$C:$AA,20,0)-'TRADE IN'!$F28=0,"",(VLOOKUP($C28,REV!$C:$AA,20,0)-'TRADE IN'!$F28))</f>
        <v>3499</v>
      </c>
      <c r="W28" s="46">
        <f>IF(VLOOKUP($C28,REV!$C:$AA,21,0)-'TRADE IN'!$F28=0,"",(VLOOKUP($C28,REV!$C:$AA,21,0)-'TRADE IN'!$F28))</f>
        <v>3499</v>
      </c>
      <c r="X28" s="46">
        <f>IF(VLOOKUP($C28,REV!$C:$AA,22,0)-'TRADE IN'!$F28=0,"",(VLOOKUP($C28,REV!$C:$AA,22,0)-'TRADE IN'!$F28))</f>
        <v>3399</v>
      </c>
      <c r="Y28" s="46">
        <f>IF(VLOOKUP($C28,REV!$C:$AA,23,0)-'TRADE IN'!$F28=0,"",(VLOOKUP($C28,REV!$C:$AA,23,0)-'TRADE IN'!$F28))</f>
        <v>2899</v>
      </c>
      <c r="Z28" s="46">
        <f>IF(VLOOKUP($C28,REV!$C:$AA,24,0)-'TRADE IN'!$F28=0,"",(VLOOKUP($C28,REV!$C:$AA,24,0)-'TRADE IN'!$F28))</f>
        <v>2899</v>
      </c>
      <c r="AA28" s="46">
        <f>IF(VLOOKUP($C28,REV!$C:$AA,25,0)-'TRADE IN'!$F28=0,"",(VLOOKUP($C28,REV!$C:$AA,25,0)-'TRADE IN'!$F28))</f>
        <v>2899</v>
      </c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7"/>
      <c r="AW28" s="48" t="str">
        <f>REV!AW28</f>
        <v>01.12.2026</v>
      </c>
      <c r="AX28" s="153" t="str">
        <f>VLOOKUP(C28,REV!C:AX,48,0)</f>
        <v>5G</v>
      </c>
    </row>
    <row r="29" spans="1:50" ht="22.5" customHeight="1">
      <c r="A29" s="41" t="s">
        <v>63</v>
      </c>
      <c r="B29" s="42" t="s">
        <v>64</v>
      </c>
      <c r="C29" s="43">
        <v>4015711</v>
      </c>
      <c r="D29" s="44" t="s">
        <v>87</v>
      </c>
      <c r="E29" s="44" t="s">
        <v>90</v>
      </c>
      <c r="F29" s="45"/>
      <c r="G29" s="45"/>
      <c r="H29" s="46"/>
      <c r="I29" s="46"/>
      <c r="J29" s="46">
        <f>IF(VLOOKUP($C29,REV!$C:$AA,8,0)-'TRADE IN'!$F29=0,"",(VLOOKUP($C29,REV!$C:$AA,8,0)-'TRADE IN'!$F29))</f>
        <v>4499</v>
      </c>
      <c r="K29" s="46">
        <f>IF(VLOOKUP($C29,REV!$C:$AA,9,0)-'TRADE IN'!$F29=0,"",(VLOOKUP($C29,REV!$C:$AA,9,0)-'TRADE IN'!$F29))</f>
        <v>4499</v>
      </c>
      <c r="L29" s="46">
        <f>IF(VLOOKUP($C29,REV!$C:$AA,10,0)-'TRADE IN'!$F29=0,"",(VLOOKUP($C29,REV!$C:$AA,10,0)-'TRADE IN'!$F29))</f>
        <v>4499</v>
      </c>
      <c r="M29" s="46">
        <f>IF(VLOOKUP($C29,REV!$C:$AA,11,0)-'TRADE IN'!$F29=0,"",(VLOOKUP($C29,REV!$C:$AA,11,0)-'TRADE IN'!$F29))</f>
        <v>4499</v>
      </c>
      <c r="N29" s="46">
        <f>IF(VLOOKUP($C29,REV!$C:$AA,12,0)-'TRADE IN'!$F29=0,"",(VLOOKUP($C29,REV!$C:$AA,12,0)-'TRADE IN'!$F29))</f>
        <v>4499</v>
      </c>
      <c r="O29" s="46">
        <f>IF(VLOOKUP($C29,REV!$C:$AA,13,0)-'TRADE IN'!$F29=0,"",(VLOOKUP($C29,REV!$C:$AA,13,0)-'TRADE IN'!$F29))</f>
        <v>4399</v>
      </c>
      <c r="P29" s="46">
        <f>IF(VLOOKUP($C29,REV!$C:$AA,14,0)-'TRADE IN'!$F29=0,"",(VLOOKUP($C29,REV!$C:$AA,14,0)-'TRADE IN'!$F29))</f>
        <v>4299</v>
      </c>
      <c r="Q29" s="46">
        <f>IF(VLOOKUP($C29,REV!$C:$AA,15,0)-'TRADE IN'!$F29=0,"",(VLOOKUP($C29,REV!$C:$AA,15,0)-'TRADE IN'!$F29))</f>
        <v>3499</v>
      </c>
      <c r="R29" s="46">
        <f>IF(VLOOKUP($C29,REV!$C:$AA,16,0)-'TRADE IN'!$F29=0,"",(VLOOKUP($C29,REV!$C:$AA,16,0)-'TRADE IN'!$F29))</f>
        <v>4399</v>
      </c>
      <c r="S29" s="46">
        <f>IF(VLOOKUP($C29,REV!$C:$AA,17,0)-'TRADE IN'!$F29=0,"",(VLOOKUP($C29,REV!$C:$AA,17,0)-'TRADE IN'!$F29))</f>
        <v>4299</v>
      </c>
      <c r="T29" s="46">
        <f>IF(VLOOKUP($C29,REV!$C:$AA,18,0)-'TRADE IN'!$F29=0,"",(VLOOKUP($C29,REV!$C:$AA,18,0)-'TRADE IN'!$F29))</f>
        <v>3499</v>
      </c>
      <c r="U29" s="46">
        <f>IF(VLOOKUP($C29,REV!$C:$AA,19,0)-'TRADE IN'!$F29=0,"",(VLOOKUP($C29,REV!$C:$AA,19,0)-'TRADE IN'!$F29))</f>
        <v>3499</v>
      </c>
      <c r="V29" s="46">
        <f>IF(VLOOKUP($C29,REV!$C:$AA,20,0)-'TRADE IN'!$F29=0,"",(VLOOKUP($C29,REV!$C:$AA,20,0)-'TRADE IN'!$F29))</f>
        <v>3499</v>
      </c>
      <c r="W29" s="46">
        <f>IF(VLOOKUP($C29,REV!$C:$AA,21,0)-'TRADE IN'!$F29=0,"",(VLOOKUP($C29,REV!$C:$AA,21,0)-'TRADE IN'!$F29))</f>
        <v>3499</v>
      </c>
      <c r="X29" s="46">
        <f>IF(VLOOKUP($C29,REV!$C:$AA,22,0)-'TRADE IN'!$F29=0,"",(VLOOKUP($C29,REV!$C:$AA,22,0)-'TRADE IN'!$F29))</f>
        <v>3399</v>
      </c>
      <c r="Y29" s="46">
        <f>IF(VLOOKUP($C29,REV!$C:$AA,23,0)-'TRADE IN'!$F29=0,"",(VLOOKUP($C29,REV!$C:$AA,23,0)-'TRADE IN'!$F29))</f>
        <v>2899</v>
      </c>
      <c r="Z29" s="46">
        <f>IF(VLOOKUP($C29,REV!$C:$AA,24,0)-'TRADE IN'!$F29=0,"",(VLOOKUP($C29,REV!$C:$AA,24,0)-'TRADE IN'!$F29))</f>
        <v>2899</v>
      </c>
      <c r="AA29" s="46">
        <f>IF(VLOOKUP($C29,REV!$C:$AA,25,0)-'TRADE IN'!$F29=0,"",(VLOOKUP($C29,REV!$C:$AA,25,0)-'TRADE IN'!$F29))</f>
        <v>2899</v>
      </c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7"/>
      <c r="AW29" s="48" t="str">
        <f>REV!AW29</f>
        <v>01.12.2026</v>
      </c>
      <c r="AX29" s="153" t="str">
        <f>VLOOKUP(C29,REV!C:AX,48,0)</f>
        <v>5G</v>
      </c>
    </row>
    <row r="30" spans="1:50" ht="22.5" customHeight="1">
      <c r="A30" s="41" t="s">
        <v>63</v>
      </c>
      <c r="B30" s="42" t="s">
        <v>64</v>
      </c>
      <c r="C30" s="43">
        <v>4015162</v>
      </c>
      <c r="D30" s="44" t="s">
        <v>91</v>
      </c>
      <c r="E30" s="44" t="s">
        <v>92</v>
      </c>
      <c r="F30" s="45"/>
      <c r="G30" s="45"/>
      <c r="H30" s="46"/>
      <c r="I30" s="46"/>
      <c r="J30" s="46">
        <f>IF(VLOOKUP($C30,REV!$C:$AA,8,0)-'TRADE IN'!$F30=0,"",(VLOOKUP($C30,REV!$C:$AA,8,0)-'TRADE IN'!$F30))</f>
        <v>6399</v>
      </c>
      <c r="K30" s="46">
        <f>IF(VLOOKUP($C30,REV!$C:$AA,9,0)-'TRADE IN'!$F30=0,"",(VLOOKUP($C30,REV!$C:$AA,9,0)-'TRADE IN'!$F30))</f>
        <v>6399</v>
      </c>
      <c r="L30" s="46">
        <f>IF(VLOOKUP($C30,REV!$C:$AA,10,0)-'TRADE IN'!$F30=0,"",(VLOOKUP($C30,REV!$C:$AA,10,0)-'TRADE IN'!$F30))</f>
        <v>6399</v>
      </c>
      <c r="M30" s="46">
        <f>IF(VLOOKUP($C30,REV!$C:$AA,11,0)-'TRADE IN'!$F30=0,"",(VLOOKUP($C30,REV!$C:$AA,11,0)-'TRADE IN'!$F30))</f>
        <v>6399</v>
      </c>
      <c r="N30" s="46">
        <f>IF(VLOOKUP($C30,REV!$C:$AA,12,0)-'TRADE IN'!$F30=0,"",(VLOOKUP($C30,REV!$C:$AA,12,0)-'TRADE IN'!$F30))</f>
        <v>6399</v>
      </c>
      <c r="O30" s="46">
        <f>IF(VLOOKUP($C30,REV!$C:$AA,13,0)-'TRADE IN'!$F30=0,"",(VLOOKUP($C30,REV!$C:$AA,13,0)-'TRADE IN'!$F30))</f>
        <v>6299</v>
      </c>
      <c r="P30" s="46">
        <f>IF(VLOOKUP($C30,REV!$C:$AA,14,0)-'TRADE IN'!$F30=0,"",(VLOOKUP($C30,REV!$C:$AA,14,0)-'TRADE IN'!$F30))</f>
        <v>6199</v>
      </c>
      <c r="Q30" s="46">
        <f>IF(VLOOKUP($C30,REV!$C:$AA,15,0)-'TRADE IN'!$F30=0,"",(VLOOKUP($C30,REV!$C:$AA,15,0)-'TRADE IN'!$F30))</f>
        <v>5999</v>
      </c>
      <c r="R30" s="46">
        <f>IF(VLOOKUP($C30,REV!$C:$AA,16,0)-'TRADE IN'!$F30=0,"",(VLOOKUP($C30,REV!$C:$AA,16,0)-'TRADE IN'!$F30))</f>
        <v>6299</v>
      </c>
      <c r="S30" s="46">
        <f>IF(VLOOKUP($C30,REV!$C:$AA,17,0)-'TRADE IN'!$F30=0,"",(VLOOKUP($C30,REV!$C:$AA,17,0)-'TRADE IN'!$F30))</f>
        <v>6199</v>
      </c>
      <c r="T30" s="46">
        <f>IF(VLOOKUP($C30,REV!$C:$AA,18,0)-'TRADE IN'!$F30=0,"",(VLOOKUP($C30,REV!$C:$AA,18,0)-'TRADE IN'!$F30))</f>
        <v>5999</v>
      </c>
      <c r="U30" s="46">
        <f>IF(VLOOKUP($C30,REV!$C:$AA,19,0)-'TRADE IN'!$F30=0,"",(VLOOKUP($C30,REV!$C:$AA,19,0)-'TRADE IN'!$F30))</f>
        <v>5999</v>
      </c>
      <c r="V30" s="46">
        <f>IF(VLOOKUP($C30,REV!$C:$AA,20,0)-'TRADE IN'!$F30=0,"",(VLOOKUP($C30,REV!$C:$AA,20,0)-'TRADE IN'!$F30))</f>
        <v>5999</v>
      </c>
      <c r="W30" s="46">
        <f>IF(VLOOKUP($C30,REV!$C:$AA,21,0)-'TRADE IN'!$F30=0,"",(VLOOKUP($C30,REV!$C:$AA,21,0)-'TRADE IN'!$F30))</f>
        <v>5999</v>
      </c>
      <c r="X30" s="46">
        <f>IF(VLOOKUP($C30,REV!$C:$AA,22,0)-'TRADE IN'!$F30=0,"",(VLOOKUP($C30,REV!$C:$AA,22,0)-'TRADE IN'!$F30))</f>
        <v>5899</v>
      </c>
      <c r="Y30" s="46">
        <f>IF(VLOOKUP($C30,REV!$C:$AA,23,0)-'TRADE IN'!$F30=0,"",(VLOOKUP($C30,REV!$C:$AA,23,0)-'TRADE IN'!$F30))</f>
        <v>5499</v>
      </c>
      <c r="Z30" s="46">
        <f>IF(VLOOKUP($C30,REV!$C:$AA,24,0)-'TRADE IN'!$F30=0,"",(VLOOKUP($C30,REV!$C:$AA,24,0)-'TRADE IN'!$F30))</f>
        <v>5499</v>
      </c>
      <c r="AA30" s="46">
        <f>IF(VLOOKUP($C30,REV!$C:$AA,25,0)-'TRADE IN'!$F30=0,"",(VLOOKUP($C30,REV!$C:$AA,25,0)-'TRADE IN'!$F30))</f>
        <v>5499</v>
      </c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7"/>
      <c r="AW30" s="48" t="str">
        <f>REV!AW30</f>
        <v>01.12.2026</v>
      </c>
      <c r="AX30" s="153" t="str">
        <f>VLOOKUP(C30,REV!C:AX,48,0)</f>
        <v>5G</v>
      </c>
    </row>
    <row r="31" spans="1:50" ht="22.5" customHeight="1">
      <c r="A31" s="41" t="s">
        <v>63</v>
      </c>
      <c r="B31" s="42" t="s">
        <v>64</v>
      </c>
      <c r="C31" s="43">
        <v>4015112</v>
      </c>
      <c r="D31" s="44" t="s">
        <v>93</v>
      </c>
      <c r="E31" s="44" t="s">
        <v>94</v>
      </c>
      <c r="F31" s="45"/>
      <c r="G31" s="45"/>
      <c r="H31" s="46"/>
      <c r="I31" s="46"/>
      <c r="J31" s="46">
        <f>IF(VLOOKUP($C31,REV!$C:$AA,8,0)-'TRADE IN'!$F31=0,"",(VLOOKUP($C31,REV!$C:$AA,8,0)-'TRADE IN'!$F31))</f>
        <v>5899</v>
      </c>
      <c r="K31" s="46">
        <f>IF(VLOOKUP($C31,REV!$C:$AA,9,0)-'TRADE IN'!$F31=0,"",(VLOOKUP($C31,REV!$C:$AA,9,0)-'TRADE IN'!$F31))</f>
        <v>5899</v>
      </c>
      <c r="L31" s="46">
        <f>IF(VLOOKUP($C31,REV!$C:$AA,10,0)-'TRADE IN'!$F31=0,"",(VLOOKUP($C31,REV!$C:$AA,10,0)-'TRADE IN'!$F31))</f>
        <v>5899</v>
      </c>
      <c r="M31" s="46">
        <f>IF(VLOOKUP($C31,REV!$C:$AA,11,0)-'TRADE IN'!$F31=0,"",(VLOOKUP($C31,REV!$C:$AA,11,0)-'TRADE IN'!$F31))</f>
        <v>5899</v>
      </c>
      <c r="N31" s="46">
        <f>IF(VLOOKUP($C31,REV!$C:$AA,12,0)-'TRADE IN'!$F31=0,"",(VLOOKUP($C31,REV!$C:$AA,12,0)-'TRADE IN'!$F31))</f>
        <v>5899</v>
      </c>
      <c r="O31" s="46">
        <f>IF(VLOOKUP($C31,REV!$C:$AA,13,0)-'TRADE IN'!$F31=0,"",(VLOOKUP($C31,REV!$C:$AA,13,0)-'TRADE IN'!$F31))</f>
        <v>5799</v>
      </c>
      <c r="P31" s="46">
        <f>IF(VLOOKUP($C31,REV!$C:$AA,14,0)-'TRADE IN'!$F31=0,"",(VLOOKUP($C31,REV!$C:$AA,14,0)-'TRADE IN'!$F31))</f>
        <v>5699</v>
      </c>
      <c r="Q31" s="46">
        <f>IF(VLOOKUP($C31,REV!$C:$AA,15,0)-'TRADE IN'!$F31=0,"",(VLOOKUP($C31,REV!$C:$AA,15,0)-'TRADE IN'!$F31))</f>
        <v>5499</v>
      </c>
      <c r="R31" s="46">
        <f>IF(VLOOKUP($C31,REV!$C:$AA,16,0)-'TRADE IN'!$F31=0,"",(VLOOKUP($C31,REV!$C:$AA,16,0)-'TRADE IN'!$F31))</f>
        <v>5799</v>
      </c>
      <c r="S31" s="46">
        <f>IF(VLOOKUP($C31,REV!$C:$AA,17,0)-'TRADE IN'!$F31=0,"",(VLOOKUP($C31,REV!$C:$AA,17,0)-'TRADE IN'!$F31))</f>
        <v>5699</v>
      </c>
      <c r="T31" s="46">
        <f>IF(VLOOKUP($C31,REV!$C:$AA,18,0)-'TRADE IN'!$F31=0,"",(VLOOKUP($C31,REV!$C:$AA,18,0)-'TRADE IN'!$F31))</f>
        <v>5499</v>
      </c>
      <c r="U31" s="46">
        <f>IF(VLOOKUP($C31,REV!$C:$AA,19,0)-'TRADE IN'!$F31=0,"",(VLOOKUP($C31,REV!$C:$AA,19,0)-'TRADE IN'!$F31))</f>
        <v>5499</v>
      </c>
      <c r="V31" s="46">
        <f>IF(VLOOKUP($C31,REV!$C:$AA,20,0)-'TRADE IN'!$F31=0,"",(VLOOKUP($C31,REV!$C:$AA,20,0)-'TRADE IN'!$F31))</f>
        <v>5499</v>
      </c>
      <c r="W31" s="46">
        <f>IF(VLOOKUP($C31,REV!$C:$AA,21,0)-'TRADE IN'!$F31=0,"",(VLOOKUP($C31,REV!$C:$AA,21,0)-'TRADE IN'!$F31))</f>
        <v>5499</v>
      </c>
      <c r="X31" s="46">
        <f>IF(VLOOKUP($C31,REV!$C:$AA,22,0)-'TRADE IN'!$F31=0,"",(VLOOKUP($C31,REV!$C:$AA,22,0)-'TRADE IN'!$F31))</f>
        <v>5399</v>
      </c>
      <c r="Y31" s="46">
        <f>IF(VLOOKUP($C31,REV!$C:$AA,23,0)-'TRADE IN'!$F31=0,"",(VLOOKUP($C31,REV!$C:$AA,23,0)-'TRADE IN'!$F31))</f>
        <v>4999</v>
      </c>
      <c r="Z31" s="46">
        <f>IF(VLOOKUP($C31,REV!$C:$AA,24,0)-'TRADE IN'!$F31=0,"",(VLOOKUP($C31,REV!$C:$AA,24,0)-'TRADE IN'!$F31))</f>
        <v>4999</v>
      </c>
      <c r="AA31" s="46">
        <f>IF(VLOOKUP($C31,REV!$C:$AA,25,0)-'TRADE IN'!$F31=0,"",(VLOOKUP($C31,REV!$C:$AA,25,0)-'TRADE IN'!$F31))</f>
        <v>4999</v>
      </c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7"/>
      <c r="AW31" s="48" t="str">
        <f>REV!AW31</f>
        <v>01.12.2026</v>
      </c>
      <c r="AX31" s="153" t="str">
        <f>VLOOKUP(C31,REV!C:AX,48,0)</f>
        <v>5G</v>
      </c>
    </row>
    <row r="32" spans="1:50" ht="22.5" customHeight="1">
      <c r="A32" s="41" t="s">
        <v>63</v>
      </c>
      <c r="B32" s="42" t="s">
        <v>64</v>
      </c>
      <c r="C32" s="43">
        <v>4015116</v>
      </c>
      <c r="D32" s="44" t="s">
        <v>93</v>
      </c>
      <c r="E32" s="44" t="s">
        <v>95</v>
      </c>
      <c r="F32" s="45"/>
      <c r="G32" s="45"/>
      <c r="H32" s="46"/>
      <c r="I32" s="46"/>
      <c r="J32" s="46">
        <f>IF(VLOOKUP($C32,REV!$C:$AA,8,0)-'TRADE IN'!$F32=0,"",(VLOOKUP($C32,REV!$C:$AA,8,0)-'TRADE IN'!$F32))</f>
        <v>5899</v>
      </c>
      <c r="K32" s="46">
        <f>IF(VLOOKUP($C32,REV!$C:$AA,9,0)-'TRADE IN'!$F32=0,"",(VLOOKUP($C32,REV!$C:$AA,9,0)-'TRADE IN'!$F32))</f>
        <v>5899</v>
      </c>
      <c r="L32" s="46">
        <f>IF(VLOOKUP($C32,REV!$C:$AA,10,0)-'TRADE IN'!$F32=0,"",(VLOOKUP($C32,REV!$C:$AA,10,0)-'TRADE IN'!$F32))</f>
        <v>5899</v>
      </c>
      <c r="M32" s="46">
        <f>IF(VLOOKUP($C32,REV!$C:$AA,11,0)-'TRADE IN'!$F32=0,"",(VLOOKUP($C32,REV!$C:$AA,11,0)-'TRADE IN'!$F32))</f>
        <v>5899</v>
      </c>
      <c r="N32" s="46">
        <f>IF(VLOOKUP($C32,REV!$C:$AA,12,0)-'TRADE IN'!$F32=0,"",(VLOOKUP($C32,REV!$C:$AA,12,0)-'TRADE IN'!$F32))</f>
        <v>5899</v>
      </c>
      <c r="O32" s="46">
        <f>IF(VLOOKUP($C32,REV!$C:$AA,13,0)-'TRADE IN'!$F32=0,"",(VLOOKUP($C32,REV!$C:$AA,13,0)-'TRADE IN'!$F32))</f>
        <v>5799</v>
      </c>
      <c r="P32" s="46">
        <f>IF(VLOOKUP($C32,REV!$C:$AA,14,0)-'TRADE IN'!$F32=0,"",(VLOOKUP($C32,REV!$C:$AA,14,0)-'TRADE IN'!$F32))</f>
        <v>5699</v>
      </c>
      <c r="Q32" s="46">
        <f>IF(VLOOKUP($C32,REV!$C:$AA,15,0)-'TRADE IN'!$F32=0,"",(VLOOKUP($C32,REV!$C:$AA,15,0)-'TRADE IN'!$F32))</f>
        <v>5499</v>
      </c>
      <c r="R32" s="46">
        <f>IF(VLOOKUP($C32,REV!$C:$AA,16,0)-'TRADE IN'!$F32=0,"",(VLOOKUP($C32,REV!$C:$AA,16,0)-'TRADE IN'!$F32))</f>
        <v>5799</v>
      </c>
      <c r="S32" s="46">
        <f>IF(VLOOKUP($C32,REV!$C:$AA,17,0)-'TRADE IN'!$F32=0,"",(VLOOKUP($C32,REV!$C:$AA,17,0)-'TRADE IN'!$F32))</f>
        <v>5699</v>
      </c>
      <c r="T32" s="46">
        <f>IF(VLOOKUP($C32,REV!$C:$AA,18,0)-'TRADE IN'!$F32=0,"",(VLOOKUP($C32,REV!$C:$AA,18,0)-'TRADE IN'!$F32))</f>
        <v>5499</v>
      </c>
      <c r="U32" s="46">
        <f>IF(VLOOKUP($C32,REV!$C:$AA,19,0)-'TRADE IN'!$F32=0,"",(VLOOKUP($C32,REV!$C:$AA,19,0)-'TRADE IN'!$F32))</f>
        <v>5499</v>
      </c>
      <c r="V32" s="46">
        <f>IF(VLOOKUP($C32,REV!$C:$AA,20,0)-'TRADE IN'!$F32=0,"",(VLOOKUP($C32,REV!$C:$AA,20,0)-'TRADE IN'!$F32))</f>
        <v>5499</v>
      </c>
      <c r="W32" s="46">
        <f>IF(VLOOKUP($C32,REV!$C:$AA,21,0)-'TRADE IN'!$F32=0,"",(VLOOKUP($C32,REV!$C:$AA,21,0)-'TRADE IN'!$F32))</f>
        <v>5499</v>
      </c>
      <c r="X32" s="46">
        <f>IF(VLOOKUP($C32,REV!$C:$AA,22,0)-'TRADE IN'!$F32=0,"",(VLOOKUP($C32,REV!$C:$AA,22,0)-'TRADE IN'!$F32))</f>
        <v>5399</v>
      </c>
      <c r="Y32" s="46">
        <f>IF(VLOOKUP($C32,REV!$C:$AA,23,0)-'TRADE IN'!$F32=0,"",(VLOOKUP($C32,REV!$C:$AA,23,0)-'TRADE IN'!$F32))</f>
        <v>4999</v>
      </c>
      <c r="Z32" s="46">
        <f>IF(VLOOKUP($C32,REV!$C:$AA,24,0)-'TRADE IN'!$F32=0,"",(VLOOKUP($C32,REV!$C:$AA,24,0)-'TRADE IN'!$F32))</f>
        <v>4999</v>
      </c>
      <c r="AA32" s="46">
        <f>IF(VLOOKUP($C32,REV!$C:$AA,25,0)-'TRADE IN'!$F32=0,"",(VLOOKUP($C32,REV!$C:$AA,25,0)-'TRADE IN'!$F32))</f>
        <v>4999</v>
      </c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7"/>
      <c r="AW32" s="48" t="str">
        <f>REV!AW32</f>
        <v>01.12.2026</v>
      </c>
      <c r="AX32" s="153" t="str">
        <f>VLOOKUP(C32,REV!C:AX,48,0)</f>
        <v>5G</v>
      </c>
    </row>
    <row r="33" spans="1:50" ht="22.5" customHeight="1">
      <c r="A33" s="41" t="s">
        <v>63</v>
      </c>
      <c r="B33" s="42" t="s">
        <v>64</v>
      </c>
      <c r="C33" s="43">
        <v>4015742</v>
      </c>
      <c r="D33" s="44" t="s">
        <v>96</v>
      </c>
      <c r="E33" s="44" t="s">
        <v>97</v>
      </c>
      <c r="F33" s="45"/>
      <c r="G33" s="45"/>
      <c r="H33" s="46"/>
      <c r="I33" s="46"/>
      <c r="J33" s="46">
        <f>IF(VLOOKUP($C33,REV!$C:$AA,8,0)-'TRADE IN'!$F33=0,"",(VLOOKUP($C33,REV!$C:$AA,8,0)-'TRADE IN'!$F33))</f>
        <v>4999</v>
      </c>
      <c r="K33" s="46">
        <f>IF(VLOOKUP($C33,REV!$C:$AA,9,0)-'TRADE IN'!$F33=0,"",(VLOOKUP($C33,REV!$C:$AA,9,0)-'TRADE IN'!$F33))</f>
        <v>4899</v>
      </c>
      <c r="L33" s="46">
        <f>IF(VLOOKUP($C33,REV!$C:$AA,10,0)-'TRADE IN'!$F33=0,"",(VLOOKUP($C33,REV!$C:$AA,10,0)-'TRADE IN'!$F33))</f>
        <v>4899</v>
      </c>
      <c r="M33" s="46">
        <f>IF(VLOOKUP($C33,REV!$C:$AA,11,0)-'TRADE IN'!$F33=0,"",(VLOOKUP($C33,REV!$C:$AA,11,0)-'TRADE IN'!$F33))</f>
        <v>4999</v>
      </c>
      <c r="N33" s="46">
        <f>IF(VLOOKUP($C33,REV!$C:$AA,12,0)-'TRADE IN'!$F33=0,"",(VLOOKUP($C33,REV!$C:$AA,12,0)-'TRADE IN'!$F33))</f>
        <v>4899</v>
      </c>
      <c r="O33" s="46">
        <f>IF(VLOOKUP($C33,REV!$C:$AA,13,0)-'TRADE IN'!$F33=0,"",(VLOOKUP($C33,REV!$C:$AA,13,0)-'TRADE IN'!$F33))</f>
        <v>4799</v>
      </c>
      <c r="P33" s="46">
        <f>IF(VLOOKUP($C33,REV!$C:$AA,14,0)-'TRADE IN'!$F33=0,"",(VLOOKUP($C33,REV!$C:$AA,14,0)-'TRADE IN'!$F33))</f>
        <v>4699</v>
      </c>
      <c r="Q33" s="46">
        <f>IF(VLOOKUP($C33,REV!$C:$AA,15,0)-'TRADE IN'!$F33=0,"",(VLOOKUP($C33,REV!$C:$AA,15,0)-'TRADE IN'!$F33))</f>
        <v>4499</v>
      </c>
      <c r="R33" s="46">
        <f>IF(VLOOKUP($C33,REV!$C:$AA,16,0)-'TRADE IN'!$F33=0,"",(VLOOKUP($C33,REV!$C:$AA,16,0)-'TRADE IN'!$F33))</f>
        <v>4799</v>
      </c>
      <c r="S33" s="46">
        <f>IF(VLOOKUP($C33,REV!$C:$AA,17,0)-'TRADE IN'!$F33=0,"",(VLOOKUP($C33,REV!$C:$AA,17,0)-'TRADE IN'!$F33))</f>
        <v>4699</v>
      </c>
      <c r="T33" s="46">
        <f>IF(VLOOKUP($C33,REV!$C:$AA,18,0)-'TRADE IN'!$F33=0,"",(VLOOKUP($C33,REV!$C:$AA,18,0)-'TRADE IN'!$F33))</f>
        <v>4499</v>
      </c>
      <c r="U33" s="46">
        <f>IF(VLOOKUP($C33,REV!$C:$AA,19,0)-'TRADE IN'!$F33=0,"",(VLOOKUP($C33,REV!$C:$AA,19,0)-'TRADE IN'!$F33))</f>
        <v>4399</v>
      </c>
      <c r="V33" s="46">
        <f>IF(VLOOKUP($C33,REV!$C:$AA,20,0)-'TRADE IN'!$F33=0,"",(VLOOKUP($C33,REV!$C:$AA,20,0)-'TRADE IN'!$F33))</f>
        <v>4399</v>
      </c>
      <c r="W33" s="46">
        <f>IF(VLOOKUP($C33,REV!$C:$AA,21,0)-'TRADE IN'!$F33=0,"",(VLOOKUP($C33,REV!$C:$AA,21,0)-'TRADE IN'!$F33))</f>
        <v>4299</v>
      </c>
      <c r="X33" s="46">
        <f>IF(VLOOKUP($C33,REV!$C:$AA,22,0)-'TRADE IN'!$F33=0,"",(VLOOKUP($C33,REV!$C:$AA,22,0)-'TRADE IN'!$F33))</f>
        <v>4199</v>
      </c>
      <c r="Y33" s="46">
        <f>IF(VLOOKUP($C33,REV!$C:$AA,23,0)-'TRADE IN'!$F33=0,"",(VLOOKUP($C33,REV!$C:$AA,23,0)-'TRADE IN'!$F33))</f>
        <v>3499</v>
      </c>
      <c r="Z33" s="46">
        <f>IF(VLOOKUP($C33,REV!$C:$AA,24,0)-'TRADE IN'!$F33=0,"",(VLOOKUP($C33,REV!$C:$AA,24,0)-'TRADE IN'!$F33))</f>
        <v>3499</v>
      </c>
      <c r="AA33" s="46">
        <f>IF(VLOOKUP($C33,REV!$C:$AA,25,0)-'TRADE IN'!$F33=0,"",(VLOOKUP($C33,REV!$C:$AA,25,0)-'TRADE IN'!$F33))</f>
        <v>3499</v>
      </c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7"/>
      <c r="AW33" s="48" t="str">
        <f>REV!AW33</f>
        <v>01.12.2026</v>
      </c>
      <c r="AX33" s="153" t="str">
        <f>VLOOKUP(C33,REV!C:AX,48,0)</f>
        <v>5G</v>
      </c>
    </row>
    <row r="34" spans="1:50" ht="22.5" customHeight="1">
      <c r="A34" s="41" t="s">
        <v>63</v>
      </c>
      <c r="B34" s="42" t="s">
        <v>64</v>
      </c>
      <c r="C34" s="43">
        <v>4015725</v>
      </c>
      <c r="D34" s="44" t="s">
        <v>96</v>
      </c>
      <c r="E34" s="44" t="s">
        <v>98</v>
      </c>
      <c r="F34" s="45"/>
      <c r="G34" s="45"/>
      <c r="H34" s="46"/>
      <c r="I34" s="46"/>
      <c r="J34" s="46">
        <f>IF(VLOOKUP($C34,REV!$C:$AA,8,0)-'TRADE IN'!$F34=0,"",(VLOOKUP($C34,REV!$C:$AA,8,0)-'TRADE IN'!$F34))</f>
        <v>4999</v>
      </c>
      <c r="K34" s="46">
        <f>IF(VLOOKUP($C34,REV!$C:$AA,9,0)-'TRADE IN'!$F34=0,"",(VLOOKUP($C34,REV!$C:$AA,9,0)-'TRADE IN'!$F34))</f>
        <v>4899</v>
      </c>
      <c r="L34" s="46">
        <f>IF(VLOOKUP($C34,REV!$C:$AA,10,0)-'TRADE IN'!$F34=0,"",(VLOOKUP($C34,REV!$C:$AA,10,0)-'TRADE IN'!$F34))</f>
        <v>4899</v>
      </c>
      <c r="M34" s="46">
        <f>IF(VLOOKUP($C34,REV!$C:$AA,11,0)-'TRADE IN'!$F34=0,"",(VLOOKUP($C34,REV!$C:$AA,11,0)-'TRADE IN'!$F34))</f>
        <v>4999</v>
      </c>
      <c r="N34" s="46">
        <f>IF(VLOOKUP($C34,REV!$C:$AA,12,0)-'TRADE IN'!$F34=0,"",(VLOOKUP($C34,REV!$C:$AA,12,0)-'TRADE IN'!$F34))</f>
        <v>4899</v>
      </c>
      <c r="O34" s="46">
        <f>IF(VLOOKUP($C34,REV!$C:$AA,13,0)-'TRADE IN'!$F34=0,"",(VLOOKUP($C34,REV!$C:$AA,13,0)-'TRADE IN'!$F34))</f>
        <v>4799</v>
      </c>
      <c r="P34" s="46">
        <f>IF(VLOOKUP($C34,REV!$C:$AA,14,0)-'TRADE IN'!$F34=0,"",(VLOOKUP($C34,REV!$C:$AA,14,0)-'TRADE IN'!$F34))</f>
        <v>4699</v>
      </c>
      <c r="Q34" s="46">
        <f>IF(VLOOKUP($C34,REV!$C:$AA,15,0)-'TRADE IN'!$F34=0,"",(VLOOKUP($C34,REV!$C:$AA,15,0)-'TRADE IN'!$F34))</f>
        <v>4499</v>
      </c>
      <c r="R34" s="46">
        <f>IF(VLOOKUP($C34,REV!$C:$AA,16,0)-'TRADE IN'!$F34=0,"",(VLOOKUP($C34,REV!$C:$AA,16,0)-'TRADE IN'!$F34))</f>
        <v>4799</v>
      </c>
      <c r="S34" s="46">
        <f>IF(VLOOKUP($C34,REV!$C:$AA,17,0)-'TRADE IN'!$F34=0,"",(VLOOKUP($C34,REV!$C:$AA,17,0)-'TRADE IN'!$F34))</f>
        <v>4699</v>
      </c>
      <c r="T34" s="46">
        <f>IF(VLOOKUP($C34,REV!$C:$AA,18,0)-'TRADE IN'!$F34=0,"",(VLOOKUP($C34,REV!$C:$AA,18,0)-'TRADE IN'!$F34))</f>
        <v>4499</v>
      </c>
      <c r="U34" s="46">
        <f>IF(VLOOKUP($C34,REV!$C:$AA,19,0)-'TRADE IN'!$F34=0,"",(VLOOKUP($C34,REV!$C:$AA,19,0)-'TRADE IN'!$F34))</f>
        <v>4399</v>
      </c>
      <c r="V34" s="46">
        <f>IF(VLOOKUP($C34,REV!$C:$AA,20,0)-'TRADE IN'!$F34=0,"",(VLOOKUP($C34,REV!$C:$AA,20,0)-'TRADE IN'!$F34))</f>
        <v>4399</v>
      </c>
      <c r="W34" s="46">
        <f>IF(VLOOKUP($C34,REV!$C:$AA,21,0)-'TRADE IN'!$F34=0,"",(VLOOKUP($C34,REV!$C:$AA,21,0)-'TRADE IN'!$F34))</f>
        <v>4299</v>
      </c>
      <c r="X34" s="46">
        <f>IF(VLOOKUP($C34,REV!$C:$AA,22,0)-'TRADE IN'!$F34=0,"",(VLOOKUP($C34,REV!$C:$AA,22,0)-'TRADE IN'!$F34))</f>
        <v>4199</v>
      </c>
      <c r="Y34" s="46">
        <f>IF(VLOOKUP($C34,REV!$C:$AA,23,0)-'TRADE IN'!$F34=0,"",(VLOOKUP($C34,REV!$C:$AA,23,0)-'TRADE IN'!$F34))</f>
        <v>3499</v>
      </c>
      <c r="Z34" s="46">
        <f>IF(VLOOKUP($C34,REV!$C:$AA,24,0)-'TRADE IN'!$F34=0,"",(VLOOKUP($C34,REV!$C:$AA,24,0)-'TRADE IN'!$F34))</f>
        <v>3499</v>
      </c>
      <c r="AA34" s="46">
        <f>IF(VLOOKUP($C34,REV!$C:$AA,25,0)-'TRADE IN'!$F34=0,"",(VLOOKUP($C34,REV!$C:$AA,25,0)-'TRADE IN'!$F34))</f>
        <v>3499</v>
      </c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7"/>
      <c r="AW34" s="48" t="str">
        <f>REV!AW34</f>
        <v>01.12.2026</v>
      </c>
      <c r="AX34" s="153" t="str">
        <f>VLOOKUP(C34,REV!C:AX,48,0)</f>
        <v>5G</v>
      </c>
    </row>
    <row r="35" spans="1:50" ht="22.5" customHeight="1">
      <c r="A35" s="41" t="s">
        <v>63</v>
      </c>
      <c r="B35" s="42" t="s">
        <v>64</v>
      </c>
      <c r="C35" s="43">
        <v>4015794</v>
      </c>
      <c r="D35" s="44" t="s">
        <v>96</v>
      </c>
      <c r="E35" s="44" t="s">
        <v>99</v>
      </c>
      <c r="F35" s="45"/>
      <c r="G35" s="45"/>
      <c r="H35" s="46"/>
      <c r="I35" s="46"/>
      <c r="J35" s="46">
        <f>IF(VLOOKUP($C35,REV!$C:$AA,8,0)-'TRADE IN'!$F35=0,"",(VLOOKUP($C35,REV!$C:$AA,8,0)-'TRADE IN'!$F35))</f>
        <v>4999</v>
      </c>
      <c r="K35" s="46">
        <f>IF(VLOOKUP($C35,REV!$C:$AA,9,0)-'TRADE IN'!$F35=0,"",(VLOOKUP($C35,REV!$C:$AA,9,0)-'TRADE IN'!$F35))</f>
        <v>4899</v>
      </c>
      <c r="L35" s="46">
        <f>IF(VLOOKUP($C35,REV!$C:$AA,10,0)-'TRADE IN'!$F35=0,"",(VLOOKUP($C35,REV!$C:$AA,10,0)-'TRADE IN'!$F35))</f>
        <v>4899</v>
      </c>
      <c r="M35" s="46">
        <f>IF(VLOOKUP($C35,REV!$C:$AA,11,0)-'TRADE IN'!$F35=0,"",(VLOOKUP($C35,REV!$C:$AA,11,0)-'TRADE IN'!$F35))</f>
        <v>4999</v>
      </c>
      <c r="N35" s="46">
        <f>IF(VLOOKUP($C35,REV!$C:$AA,12,0)-'TRADE IN'!$F35=0,"",(VLOOKUP($C35,REV!$C:$AA,12,0)-'TRADE IN'!$F35))</f>
        <v>4899</v>
      </c>
      <c r="O35" s="46">
        <f>IF(VLOOKUP($C35,REV!$C:$AA,13,0)-'TRADE IN'!$F35=0,"",(VLOOKUP($C35,REV!$C:$AA,13,0)-'TRADE IN'!$F35))</f>
        <v>4799</v>
      </c>
      <c r="P35" s="46">
        <f>IF(VLOOKUP($C35,REV!$C:$AA,14,0)-'TRADE IN'!$F35=0,"",(VLOOKUP($C35,REV!$C:$AA,14,0)-'TRADE IN'!$F35))</f>
        <v>4699</v>
      </c>
      <c r="Q35" s="46">
        <f>IF(VLOOKUP($C35,REV!$C:$AA,15,0)-'TRADE IN'!$F35=0,"",(VLOOKUP($C35,REV!$C:$AA,15,0)-'TRADE IN'!$F35))</f>
        <v>4499</v>
      </c>
      <c r="R35" s="46">
        <f>IF(VLOOKUP($C35,REV!$C:$AA,16,0)-'TRADE IN'!$F35=0,"",(VLOOKUP($C35,REV!$C:$AA,16,0)-'TRADE IN'!$F35))</f>
        <v>4799</v>
      </c>
      <c r="S35" s="46">
        <f>IF(VLOOKUP($C35,REV!$C:$AA,17,0)-'TRADE IN'!$F35=0,"",(VLOOKUP($C35,REV!$C:$AA,17,0)-'TRADE IN'!$F35))</f>
        <v>4699</v>
      </c>
      <c r="T35" s="46">
        <f>IF(VLOOKUP($C35,REV!$C:$AA,18,0)-'TRADE IN'!$F35=0,"",(VLOOKUP($C35,REV!$C:$AA,18,0)-'TRADE IN'!$F35))</f>
        <v>4499</v>
      </c>
      <c r="U35" s="46">
        <f>IF(VLOOKUP($C35,REV!$C:$AA,19,0)-'TRADE IN'!$F35=0,"",(VLOOKUP($C35,REV!$C:$AA,19,0)-'TRADE IN'!$F35))</f>
        <v>4399</v>
      </c>
      <c r="V35" s="46">
        <f>IF(VLOOKUP($C35,REV!$C:$AA,20,0)-'TRADE IN'!$F35=0,"",(VLOOKUP($C35,REV!$C:$AA,20,0)-'TRADE IN'!$F35))</f>
        <v>4399</v>
      </c>
      <c r="W35" s="46">
        <f>IF(VLOOKUP($C35,REV!$C:$AA,21,0)-'TRADE IN'!$F35=0,"",(VLOOKUP($C35,REV!$C:$AA,21,0)-'TRADE IN'!$F35))</f>
        <v>4299</v>
      </c>
      <c r="X35" s="46">
        <f>IF(VLOOKUP($C35,REV!$C:$AA,22,0)-'TRADE IN'!$F35=0,"",(VLOOKUP($C35,REV!$C:$AA,22,0)-'TRADE IN'!$F35))</f>
        <v>4199</v>
      </c>
      <c r="Y35" s="46">
        <f>IF(VLOOKUP($C35,REV!$C:$AA,23,0)-'TRADE IN'!$F35=0,"",(VLOOKUP($C35,REV!$C:$AA,23,0)-'TRADE IN'!$F35))</f>
        <v>3499</v>
      </c>
      <c r="Z35" s="46">
        <f>IF(VLOOKUP($C35,REV!$C:$AA,24,0)-'TRADE IN'!$F35=0,"",(VLOOKUP($C35,REV!$C:$AA,24,0)-'TRADE IN'!$F35))</f>
        <v>3499</v>
      </c>
      <c r="AA35" s="46">
        <f>IF(VLOOKUP($C35,REV!$C:$AA,25,0)-'TRADE IN'!$F35=0,"",(VLOOKUP($C35,REV!$C:$AA,25,0)-'TRADE IN'!$F35))</f>
        <v>3499</v>
      </c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7"/>
      <c r="AW35" s="48" t="str">
        <f>REV!AW35</f>
        <v>01.12.2026</v>
      </c>
      <c r="AX35" s="153" t="str">
        <f>VLOOKUP(C35,REV!C:AX,48,0)</f>
        <v>5G</v>
      </c>
    </row>
    <row r="36" spans="1:50" ht="22.5" customHeight="1">
      <c r="A36" s="41" t="s">
        <v>63</v>
      </c>
      <c r="B36" s="42" t="s">
        <v>64</v>
      </c>
      <c r="C36" s="43">
        <v>4015808</v>
      </c>
      <c r="D36" s="44" t="s">
        <v>96</v>
      </c>
      <c r="E36" s="44" t="s">
        <v>100</v>
      </c>
      <c r="F36" s="45"/>
      <c r="G36" s="45"/>
      <c r="H36" s="46"/>
      <c r="I36" s="46"/>
      <c r="J36" s="46">
        <f>IF(VLOOKUP($C36,REV!$C:$AA,8,0)-'TRADE IN'!$F36=0,"",(VLOOKUP($C36,REV!$C:$AA,8,0)-'TRADE IN'!$F36))</f>
        <v>4999</v>
      </c>
      <c r="K36" s="46">
        <f>IF(VLOOKUP($C36,REV!$C:$AA,9,0)-'TRADE IN'!$F36=0,"",(VLOOKUP($C36,REV!$C:$AA,9,0)-'TRADE IN'!$F36))</f>
        <v>4899</v>
      </c>
      <c r="L36" s="46">
        <f>IF(VLOOKUP($C36,REV!$C:$AA,10,0)-'TRADE IN'!$F36=0,"",(VLOOKUP($C36,REV!$C:$AA,10,0)-'TRADE IN'!$F36))</f>
        <v>4899</v>
      </c>
      <c r="M36" s="46">
        <f>IF(VLOOKUP($C36,REV!$C:$AA,11,0)-'TRADE IN'!$F36=0,"",(VLOOKUP($C36,REV!$C:$AA,11,0)-'TRADE IN'!$F36))</f>
        <v>4999</v>
      </c>
      <c r="N36" s="46">
        <f>IF(VLOOKUP($C36,REV!$C:$AA,12,0)-'TRADE IN'!$F36=0,"",(VLOOKUP($C36,REV!$C:$AA,12,0)-'TRADE IN'!$F36))</f>
        <v>4899</v>
      </c>
      <c r="O36" s="46">
        <f>IF(VLOOKUP($C36,REV!$C:$AA,13,0)-'TRADE IN'!$F36=0,"",(VLOOKUP($C36,REV!$C:$AA,13,0)-'TRADE IN'!$F36))</f>
        <v>4799</v>
      </c>
      <c r="P36" s="46">
        <f>IF(VLOOKUP($C36,REV!$C:$AA,14,0)-'TRADE IN'!$F36=0,"",(VLOOKUP($C36,REV!$C:$AA,14,0)-'TRADE IN'!$F36))</f>
        <v>4699</v>
      </c>
      <c r="Q36" s="46">
        <f>IF(VLOOKUP($C36,REV!$C:$AA,15,0)-'TRADE IN'!$F36=0,"",(VLOOKUP($C36,REV!$C:$AA,15,0)-'TRADE IN'!$F36))</f>
        <v>4499</v>
      </c>
      <c r="R36" s="46">
        <f>IF(VLOOKUP($C36,REV!$C:$AA,16,0)-'TRADE IN'!$F36=0,"",(VLOOKUP($C36,REV!$C:$AA,16,0)-'TRADE IN'!$F36))</f>
        <v>4799</v>
      </c>
      <c r="S36" s="46">
        <f>IF(VLOOKUP($C36,REV!$C:$AA,17,0)-'TRADE IN'!$F36=0,"",(VLOOKUP($C36,REV!$C:$AA,17,0)-'TRADE IN'!$F36))</f>
        <v>4699</v>
      </c>
      <c r="T36" s="46">
        <f>IF(VLOOKUP($C36,REV!$C:$AA,18,0)-'TRADE IN'!$F36=0,"",(VLOOKUP($C36,REV!$C:$AA,18,0)-'TRADE IN'!$F36))</f>
        <v>4499</v>
      </c>
      <c r="U36" s="46">
        <f>IF(VLOOKUP($C36,REV!$C:$AA,19,0)-'TRADE IN'!$F36=0,"",(VLOOKUP($C36,REV!$C:$AA,19,0)-'TRADE IN'!$F36))</f>
        <v>4399</v>
      </c>
      <c r="V36" s="46">
        <f>IF(VLOOKUP($C36,REV!$C:$AA,20,0)-'TRADE IN'!$F36=0,"",(VLOOKUP($C36,REV!$C:$AA,20,0)-'TRADE IN'!$F36))</f>
        <v>4399</v>
      </c>
      <c r="W36" s="46">
        <f>IF(VLOOKUP($C36,REV!$C:$AA,21,0)-'TRADE IN'!$F36=0,"",(VLOOKUP($C36,REV!$C:$AA,21,0)-'TRADE IN'!$F36))</f>
        <v>4299</v>
      </c>
      <c r="X36" s="46">
        <f>IF(VLOOKUP($C36,REV!$C:$AA,22,0)-'TRADE IN'!$F36=0,"",(VLOOKUP($C36,REV!$C:$AA,22,0)-'TRADE IN'!$F36))</f>
        <v>4199</v>
      </c>
      <c r="Y36" s="46">
        <f>IF(VLOOKUP($C36,REV!$C:$AA,23,0)-'TRADE IN'!$F36=0,"",(VLOOKUP($C36,REV!$C:$AA,23,0)-'TRADE IN'!$F36))</f>
        <v>3499</v>
      </c>
      <c r="Z36" s="46">
        <f>IF(VLOOKUP($C36,REV!$C:$AA,24,0)-'TRADE IN'!$F36=0,"",(VLOOKUP($C36,REV!$C:$AA,24,0)-'TRADE IN'!$F36))</f>
        <v>3499</v>
      </c>
      <c r="AA36" s="46">
        <f>IF(VLOOKUP($C36,REV!$C:$AA,25,0)-'TRADE IN'!$F36=0,"",(VLOOKUP($C36,REV!$C:$AA,25,0)-'TRADE IN'!$F36))</f>
        <v>3499</v>
      </c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7"/>
      <c r="AW36" s="48" t="str">
        <f>REV!AW36</f>
        <v>01.12.2026</v>
      </c>
      <c r="AX36" s="153" t="str">
        <f>VLOOKUP(C36,REV!C:AX,48,0)</f>
        <v>5G</v>
      </c>
    </row>
    <row r="37" spans="1:50" ht="22.5" customHeight="1">
      <c r="A37" s="41" t="s">
        <v>63</v>
      </c>
      <c r="B37" s="42" t="s">
        <v>64</v>
      </c>
      <c r="C37" s="43">
        <v>4015743</v>
      </c>
      <c r="D37" s="44" t="s">
        <v>101</v>
      </c>
      <c r="E37" s="44" t="s">
        <v>102</v>
      </c>
      <c r="F37" s="45"/>
      <c r="G37" s="45"/>
      <c r="H37" s="46"/>
      <c r="I37" s="46"/>
      <c r="J37" s="46">
        <f>IF(VLOOKUP($C37,REV!$C:$AA,8,0)-'TRADE IN'!$F37=0,"",(VLOOKUP($C37,REV!$C:$AA,8,0)-'TRADE IN'!$F37))</f>
        <v>5099</v>
      </c>
      <c r="K37" s="46">
        <f>IF(VLOOKUP($C37,REV!$C:$AA,9,0)-'TRADE IN'!$F37=0,"",(VLOOKUP($C37,REV!$C:$AA,9,0)-'TRADE IN'!$F37))</f>
        <v>5099</v>
      </c>
      <c r="L37" s="46">
        <f>IF(VLOOKUP($C37,REV!$C:$AA,10,0)-'TRADE IN'!$F37=0,"",(VLOOKUP($C37,REV!$C:$AA,10,0)-'TRADE IN'!$F37))</f>
        <v>5099</v>
      </c>
      <c r="M37" s="46">
        <f>IF(VLOOKUP($C37,REV!$C:$AA,11,0)-'TRADE IN'!$F37=0,"",(VLOOKUP($C37,REV!$C:$AA,11,0)-'TRADE IN'!$F37))</f>
        <v>5099</v>
      </c>
      <c r="N37" s="46">
        <f>IF(VLOOKUP($C37,REV!$C:$AA,12,0)-'TRADE IN'!$F37=0,"",(VLOOKUP($C37,REV!$C:$AA,12,0)-'TRADE IN'!$F37))</f>
        <v>5099</v>
      </c>
      <c r="O37" s="46">
        <f>IF(VLOOKUP($C37,REV!$C:$AA,13,0)-'TRADE IN'!$F37=0,"",(VLOOKUP($C37,REV!$C:$AA,13,0)-'TRADE IN'!$F37))</f>
        <v>4999</v>
      </c>
      <c r="P37" s="46">
        <f>IF(VLOOKUP($C37,REV!$C:$AA,14,0)-'TRADE IN'!$F37=0,"",(VLOOKUP($C37,REV!$C:$AA,14,0)-'TRADE IN'!$F37))</f>
        <v>4899</v>
      </c>
      <c r="Q37" s="46">
        <f>IF(VLOOKUP($C37,REV!$C:$AA,15,0)-'TRADE IN'!$F37=0,"",(VLOOKUP($C37,REV!$C:$AA,15,0)-'TRADE IN'!$F37))</f>
        <v>3999</v>
      </c>
      <c r="R37" s="46">
        <f>IF(VLOOKUP($C37,REV!$C:$AA,16,0)-'TRADE IN'!$F37=0,"",(VLOOKUP($C37,REV!$C:$AA,16,0)-'TRADE IN'!$F37))</f>
        <v>4999</v>
      </c>
      <c r="S37" s="46">
        <f>IF(VLOOKUP($C37,REV!$C:$AA,17,0)-'TRADE IN'!$F37=0,"",(VLOOKUP($C37,REV!$C:$AA,17,0)-'TRADE IN'!$F37))</f>
        <v>4899</v>
      </c>
      <c r="T37" s="46">
        <f>IF(VLOOKUP($C37,REV!$C:$AA,18,0)-'TRADE IN'!$F37=0,"",(VLOOKUP($C37,REV!$C:$AA,18,0)-'TRADE IN'!$F37))</f>
        <v>3999</v>
      </c>
      <c r="U37" s="46">
        <f>IF(VLOOKUP($C37,REV!$C:$AA,19,0)-'TRADE IN'!$F37=0,"",(VLOOKUP($C37,REV!$C:$AA,19,0)-'TRADE IN'!$F37))</f>
        <v>3999</v>
      </c>
      <c r="V37" s="46">
        <f>IF(VLOOKUP($C37,REV!$C:$AA,20,0)-'TRADE IN'!$F37=0,"",(VLOOKUP($C37,REV!$C:$AA,20,0)-'TRADE IN'!$F37))</f>
        <v>3999</v>
      </c>
      <c r="W37" s="46">
        <f>IF(VLOOKUP($C37,REV!$C:$AA,21,0)-'TRADE IN'!$F37=0,"",(VLOOKUP($C37,REV!$C:$AA,21,0)-'TRADE IN'!$F37))</f>
        <v>3999</v>
      </c>
      <c r="X37" s="46">
        <f>IF(VLOOKUP($C37,REV!$C:$AA,22,0)-'TRADE IN'!$F37=0,"",(VLOOKUP($C37,REV!$C:$AA,22,0)-'TRADE IN'!$F37))</f>
        <v>3899</v>
      </c>
      <c r="Y37" s="46">
        <f>IF(VLOOKUP($C37,REV!$C:$AA,23,0)-'TRADE IN'!$F37=0,"",(VLOOKUP($C37,REV!$C:$AA,23,0)-'TRADE IN'!$F37))</f>
        <v>3699</v>
      </c>
      <c r="Z37" s="46">
        <f>IF(VLOOKUP($C37,REV!$C:$AA,24,0)-'TRADE IN'!$F37=0,"",(VLOOKUP($C37,REV!$C:$AA,24,0)-'TRADE IN'!$F37))</f>
        <v>3699</v>
      </c>
      <c r="AA37" s="46">
        <f>IF(VLOOKUP($C37,REV!$C:$AA,25,0)-'TRADE IN'!$F37=0,"",(VLOOKUP($C37,REV!$C:$AA,25,0)-'TRADE IN'!$F37))</f>
        <v>3649</v>
      </c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7"/>
      <c r="AW37" s="48" t="str">
        <f>REV!AW37</f>
        <v>01.12.2026</v>
      </c>
      <c r="AX37" s="153" t="str">
        <f>VLOOKUP(C37,REV!C:AX,48,0)</f>
        <v>5G</v>
      </c>
    </row>
    <row r="38" spans="1:50" ht="22.5" customHeight="1">
      <c r="A38" s="41" t="s">
        <v>63</v>
      </c>
      <c r="B38" s="42" t="s">
        <v>64</v>
      </c>
      <c r="C38" s="43">
        <v>4015770</v>
      </c>
      <c r="D38" s="44" t="s">
        <v>101</v>
      </c>
      <c r="E38" s="44" t="s">
        <v>103</v>
      </c>
      <c r="F38" s="45"/>
      <c r="G38" s="45"/>
      <c r="H38" s="46"/>
      <c r="I38" s="46"/>
      <c r="J38" s="46">
        <f>IF(VLOOKUP($C38,REV!$C:$AA,8,0)-'TRADE IN'!$F38=0,"",(VLOOKUP($C38,REV!$C:$AA,8,0)-'TRADE IN'!$F38))</f>
        <v>5099</v>
      </c>
      <c r="K38" s="46">
        <f>IF(VLOOKUP($C38,REV!$C:$AA,9,0)-'TRADE IN'!$F38=0,"",(VLOOKUP($C38,REV!$C:$AA,9,0)-'TRADE IN'!$F38))</f>
        <v>5099</v>
      </c>
      <c r="L38" s="46">
        <f>IF(VLOOKUP($C38,REV!$C:$AA,10,0)-'TRADE IN'!$F38=0,"",(VLOOKUP($C38,REV!$C:$AA,10,0)-'TRADE IN'!$F38))</f>
        <v>5099</v>
      </c>
      <c r="M38" s="46">
        <f>IF(VLOOKUP($C38,REV!$C:$AA,11,0)-'TRADE IN'!$F38=0,"",(VLOOKUP($C38,REV!$C:$AA,11,0)-'TRADE IN'!$F38))</f>
        <v>5099</v>
      </c>
      <c r="N38" s="46">
        <f>IF(VLOOKUP($C38,REV!$C:$AA,12,0)-'TRADE IN'!$F38=0,"",(VLOOKUP($C38,REV!$C:$AA,12,0)-'TRADE IN'!$F38))</f>
        <v>5099</v>
      </c>
      <c r="O38" s="46">
        <f>IF(VLOOKUP($C38,REV!$C:$AA,13,0)-'TRADE IN'!$F38=0,"",(VLOOKUP($C38,REV!$C:$AA,13,0)-'TRADE IN'!$F38))</f>
        <v>4999</v>
      </c>
      <c r="P38" s="46">
        <f>IF(VLOOKUP($C38,REV!$C:$AA,14,0)-'TRADE IN'!$F38=0,"",(VLOOKUP($C38,REV!$C:$AA,14,0)-'TRADE IN'!$F38))</f>
        <v>4899</v>
      </c>
      <c r="Q38" s="46">
        <f>IF(VLOOKUP($C38,REV!$C:$AA,15,0)-'TRADE IN'!$F38=0,"",(VLOOKUP($C38,REV!$C:$AA,15,0)-'TRADE IN'!$F38))</f>
        <v>3999</v>
      </c>
      <c r="R38" s="46">
        <f>IF(VLOOKUP($C38,REV!$C:$AA,16,0)-'TRADE IN'!$F38=0,"",(VLOOKUP($C38,REV!$C:$AA,16,0)-'TRADE IN'!$F38))</f>
        <v>4999</v>
      </c>
      <c r="S38" s="46">
        <f>IF(VLOOKUP($C38,REV!$C:$AA,17,0)-'TRADE IN'!$F38=0,"",(VLOOKUP($C38,REV!$C:$AA,17,0)-'TRADE IN'!$F38))</f>
        <v>4899</v>
      </c>
      <c r="T38" s="46">
        <f>IF(VLOOKUP($C38,REV!$C:$AA,18,0)-'TRADE IN'!$F38=0,"",(VLOOKUP($C38,REV!$C:$AA,18,0)-'TRADE IN'!$F38))</f>
        <v>3999</v>
      </c>
      <c r="U38" s="46">
        <f>IF(VLOOKUP($C38,REV!$C:$AA,19,0)-'TRADE IN'!$F38=0,"",(VLOOKUP($C38,REV!$C:$AA,19,0)-'TRADE IN'!$F38))</f>
        <v>3999</v>
      </c>
      <c r="V38" s="46">
        <f>IF(VLOOKUP($C38,REV!$C:$AA,20,0)-'TRADE IN'!$F38=0,"",(VLOOKUP($C38,REV!$C:$AA,20,0)-'TRADE IN'!$F38))</f>
        <v>3999</v>
      </c>
      <c r="W38" s="46">
        <f>IF(VLOOKUP($C38,REV!$C:$AA,21,0)-'TRADE IN'!$F38=0,"",(VLOOKUP($C38,REV!$C:$AA,21,0)-'TRADE IN'!$F38))</f>
        <v>3999</v>
      </c>
      <c r="X38" s="46">
        <f>IF(VLOOKUP($C38,REV!$C:$AA,22,0)-'TRADE IN'!$F38=0,"",(VLOOKUP($C38,REV!$C:$AA,22,0)-'TRADE IN'!$F38))</f>
        <v>3899</v>
      </c>
      <c r="Y38" s="46">
        <f>IF(VLOOKUP($C38,REV!$C:$AA,23,0)-'TRADE IN'!$F38=0,"",(VLOOKUP($C38,REV!$C:$AA,23,0)-'TRADE IN'!$F38))</f>
        <v>3699</v>
      </c>
      <c r="Z38" s="46">
        <f>IF(VLOOKUP($C38,REV!$C:$AA,24,0)-'TRADE IN'!$F38=0,"",(VLOOKUP($C38,REV!$C:$AA,24,0)-'TRADE IN'!$F38))</f>
        <v>3699</v>
      </c>
      <c r="AA38" s="46">
        <f>IF(VLOOKUP($C38,REV!$C:$AA,25,0)-'TRADE IN'!$F38=0,"",(VLOOKUP($C38,REV!$C:$AA,25,0)-'TRADE IN'!$F38))</f>
        <v>3649</v>
      </c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7"/>
      <c r="AW38" s="48" t="str">
        <f>REV!AW38</f>
        <v>01.12.2026</v>
      </c>
      <c r="AX38" s="153" t="str">
        <f>VLOOKUP(C38,REV!C:AX,48,0)</f>
        <v>5G</v>
      </c>
    </row>
    <row r="39" spans="1:50" ht="22.5" customHeight="1">
      <c r="A39" s="41" t="s">
        <v>63</v>
      </c>
      <c r="B39" s="42" t="s">
        <v>64</v>
      </c>
      <c r="C39" s="43">
        <v>4015960</v>
      </c>
      <c r="D39" s="44" t="s">
        <v>101</v>
      </c>
      <c r="E39" s="44" t="s">
        <v>104</v>
      </c>
      <c r="F39" s="45"/>
      <c r="G39" s="45"/>
      <c r="H39" s="46"/>
      <c r="I39" s="46"/>
      <c r="J39" s="46">
        <f>IF(VLOOKUP($C39,REV!$C:$AA,8,0)-'TRADE IN'!$F39=0,"",(VLOOKUP($C39,REV!$C:$AA,8,0)-'TRADE IN'!$F39))</f>
        <v>5099</v>
      </c>
      <c r="K39" s="46">
        <f>IF(VLOOKUP($C39,REV!$C:$AA,9,0)-'TRADE IN'!$F39=0,"",(VLOOKUP($C39,REV!$C:$AA,9,0)-'TRADE IN'!$F39))</f>
        <v>5099</v>
      </c>
      <c r="L39" s="46">
        <f>IF(VLOOKUP($C39,REV!$C:$AA,10,0)-'TRADE IN'!$F39=0,"",(VLOOKUP($C39,REV!$C:$AA,10,0)-'TRADE IN'!$F39))</f>
        <v>5099</v>
      </c>
      <c r="M39" s="46">
        <f>IF(VLOOKUP($C39,REV!$C:$AA,11,0)-'TRADE IN'!$F39=0,"",(VLOOKUP($C39,REV!$C:$AA,11,0)-'TRADE IN'!$F39))</f>
        <v>5099</v>
      </c>
      <c r="N39" s="46">
        <f>IF(VLOOKUP($C39,REV!$C:$AA,12,0)-'TRADE IN'!$F39=0,"",(VLOOKUP($C39,REV!$C:$AA,12,0)-'TRADE IN'!$F39))</f>
        <v>5099</v>
      </c>
      <c r="O39" s="46">
        <f>IF(VLOOKUP($C39,REV!$C:$AA,13,0)-'TRADE IN'!$F39=0,"",(VLOOKUP($C39,REV!$C:$AA,13,0)-'TRADE IN'!$F39))</f>
        <v>4999</v>
      </c>
      <c r="P39" s="46">
        <f>IF(VLOOKUP($C39,REV!$C:$AA,14,0)-'TRADE IN'!$F39=0,"",(VLOOKUP($C39,REV!$C:$AA,14,0)-'TRADE IN'!$F39))</f>
        <v>4899</v>
      </c>
      <c r="Q39" s="46">
        <f>IF(VLOOKUP($C39,REV!$C:$AA,15,0)-'TRADE IN'!$F39=0,"",(VLOOKUP($C39,REV!$C:$AA,15,0)-'TRADE IN'!$F39))</f>
        <v>3999</v>
      </c>
      <c r="R39" s="46">
        <f>IF(VLOOKUP($C39,REV!$C:$AA,16,0)-'TRADE IN'!$F39=0,"",(VLOOKUP($C39,REV!$C:$AA,16,0)-'TRADE IN'!$F39))</f>
        <v>4999</v>
      </c>
      <c r="S39" s="46">
        <f>IF(VLOOKUP($C39,REV!$C:$AA,17,0)-'TRADE IN'!$F39=0,"",(VLOOKUP($C39,REV!$C:$AA,17,0)-'TRADE IN'!$F39))</f>
        <v>4899</v>
      </c>
      <c r="T39" s="46">
        <f>IF(VLOOKUP($C39,REV!$C:$AA,18,0)-'TRADE IN'!$F39=0,"",(VLOOKUP($C39,REV!$C:$AA,18,0)-'TRADE IN'!$F39))</f>
        <v>3999</v>
      </c>
      <c r="U39" s="46">
        <f>IF(VLOOKUP($C39,REV!$C:$AA,19,0)-'TRADE IN'!$F39=0,"",(VLOOKUP($C39,REV!$C:$AA,19,0)-'TRADE IN'!$F39))</f>
        <v>3999</v>
      </c>
      <c r="V39" s="46">
        <f>IF(VLOOKUP($C39,REV!$C:$AA,20,0)-'TRADE IN'!$F39=0,"",(VLOOKUP($C39,REV!$C:$AA,20,0)-'TRADE IN'!$F39))</f>
        <v>3999</v>
      </c>
      <c r="W39" s="46">
        <f>IF(VLOOKUP($C39,REV!$C:$AA,21,0)-'TRADE IN'!$F39=0,"",(VLOOKUP($C39,REV!$C:$AA,21,0)-'TRADE IN'!$F39))</f>
        <v>3999</v>
      </c>
      <c r="X39" s="46">
        <f>IF(VLOOKUP($C39,REV!$C:$AA,22,0)-'TRADE IN'!$F39=0,"",(VLOOKUP($C39,REV!$C:$AA,22,0)-'TRADE IN'!$F39))</f>
        <v>3899</v>
      </c>
      <c r="Y39" s="46">
        <f>IF(VLOOKUP($C39,REV!$C:$AA,23,0)-'TRADE IN'!$F39=0,"",(VLOOKUP($C39,REV!$C:$AA,23,0)-'TRADE IN'!$F39))</f>
        <v>3699</v>
      </c>
      <c r="Z39" s="46">
        <f>IF(VLOOKUP($C39,REV!$C:$AA,24,0)-'TRADE IN'!$F39=0,"",(VLOOKUP($C39,REV!$C:$AA,24,0)-'TRADE IN'!$F39))</f>
        <v>3699</v>
      </c>
      <c r="AA39" s="46">
        <f>IF(VLOOKUP($C39,REV!$C:$AA,25,0)-'TRADE IN'!$F39=0,"",(VLOOKUP($C39,REV!$C:$AA,25,0)-'TRADE IN'!$F39))</f>
        <v>3649</v>
      </c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7"/>
      <c r="AW39" s="48" t="str">
        <f>REV!AW39</f>
        <v>01.12.2026</v>
      </c>
      <c r="AX39" s="153" t="str">
        <f>VLOOKUP(C39,REV!C:AX,48,0)</f>
        <v>5G</v>
      </c>
    </row>
    <row r="40" spans="1:50" ht="22.5" customHeight="1">
      <c r="A40" s="41" t="s">
        <v>63</v>
      </c>
      <c r="B40" s="42" t="s">
        <v>64</v>
      </c>
      <c r="C40" s="43">
        <v>4015961</v>
      </c>
      <c r="D40" s="44" t="s">
        <v>101</v>
      </c>
      <c r="E40" s="44" t="s">
        <v>105</v>
      </c>
      <c r="F40" s="45"/>
      <c r="G40" s="45"/>
      <c r="H40" s="46"/>
      <c r="I40" s="46"/>
      <c r="J40" s="46">
        <f>IF(VLOOKUP($C40,REV!$C:$AA,8,0)-'TRADE IN'!$F40=0,"",(VLOOKUP($C40,REV!$C:$AA,8,0)-'TRADE IN'!$F40))</f>
        <v>5099</v>
      </c>
      <c r="K40" s="46">
        <f>IF(VLOOKUP($C40,REV!$C:$AA,9,0)-'TRADE IN'!$F40=0,"",(VLOOKUP($C40,REV!$C:$AA,9,0)-'TRADE IN'!$F40))</f>
        <v>5099</v>
      </c>
      <c r="L40" s="46">
        <f>IF(VLOOKUP($C40,REV!$C:$AA,10,0)-'TRADE IN'!$F40=0,"",(VLOOKUP($C40,REV!$C:$AA,10,0)-'TRADE IN'!$F40))</f>
        <v>5099</v>
      </c>
      <c r="M40" s="46">
        <f>IF(VLOOKUP($C40,REV!$C:$AA,11,0)-'TRADE IN'!$F40=0,"",(VLOOKUP($C40,REV!$C:$AA,11,0)-'TRADE IN'!$F40))</f>
        <v>5099</v>
      </c>
      <c r="N40" s="46">
        <f>IF(VLOOKUP($C40,REV!$C:$AA,12,0)-'TRADE IN'!$F40=0,"",(VLOOKUP($C40,REV!$C:$AA,12,0)-'TRADE IN'!$F40))</f>
        <v>5099</v>
      </c>
      <c r="O40" s="46">
        <f>IF(VLOOKUP($C40,REV!$C:$AA,13,0)-'TRADE IN'!$F40=0,"",(VLOOKUP($C40,REV!$C:$AA,13,0)-'TRADE IN'!$F40))</f>
        <v>4999</v>
      </c>
      <c r="P40" s="46">
        <f>IF(VLOOKUP($C40,REV!$C:$AA,14,0)-'TRADE IN'!$F40=0,"",(VLOOKUP($C40,REV!$C:$AA,14,0)-'TRADE IN'!$F40))</f>
        <v>4899</v>
      </c>
      <c r="Q40" s="46">
        <f>IF(VLOOKUP($C40,REV!$C:$AA,15,0)-'TRADE IN'!$F40=0,"",(VLOOKUP($C40,REV!$C:$AA,15,0)-'TRADE IN'!$F40))</f>
        <v>3999</v>
      </c>
      <c r="R40" s="46">
        <f>IF(VLOOKUP($C40,REV!$C:$AA,16,0)-'TRADE IN'!$F40=0,"",(VLOOKUP($C40,REV!$C:$AA,16,0)-'TRADE IN'!$F40))</f>
        <v>4999</v>
      </c>
      <c r="S40" s="46">
        <f>IF(VLOOKUP($C40,REV!$C:$AA,17,0)-'TRADE IN'!$F40=0,"",(VLOOKUP($C40,REV!$C:$AA,17,0)-'TRADE IN'!$F40))</f>
        <v>4899</v>
      </c>
      <c r="T40" s="46">
        <f>IF(VLOOKUP($C40,REV!$C:$AA,18,0)-'TRADE IN'!$F40=0,"",(VLOOKUP($C40,REV!$C:$AA,18,0)-'TRADE IN'!$F40))</f>
        <v>3999</v>
      </c>
      <c r="U40" s="46">
        <f>IF(VLOOKUP($C40,REV!$C:$AA,19,0)-'TRADE IN'!$F40=0,"",(VLOOKUP($C40,REV!$C:$AA,19,0)-'TRADE IN'!$F40))</f>
        <v>3999</v>
      </c>
      <c r="V40" s="46">
        <f>IF(VLOOKUP($C40,REV!$C:$AA,20,0)-'TRADE IN'!$F40=0,"",(VLOOKUP($C40,REV!$C:$AA,20,0)-'TRADE IN'!$F40))</f>
        <v>3999</v>
      </c>
      <c r="W40" s="46">
        <f>IF(VLOOKUP($C40,REV!$C:$AA,21,0)-'TRADE IN'!$F40=0,"",(VLOOKUP($C40,REV!$C:$AA,21,0)-'TRADE IN'!$F40))</f>
        <v>3999</v>
      </c>
      <c r="X40" s="46">
        <f>IF(VLOOKUP($C40,REV!$C:$AA,22,0)-'TRADE IN'!$F40=0,"",(VLOOKUP($C40,REV!$C:$AA,22,0)-'TRADE IN'!$F40))</f>
        <v>3899</v>
      </c>
      <c r="Y40" s="46">
        <f>IF(VLOOKUP($C40,REV!$C:$AA,23,0)-'TRADE IN'!$F40=0,"",(VLOOKUP($C40,REV!$C:$AA,23,0)-'TRADE IN'!$F40))</f>
        <v>3699</v>
      </c>
      <c r="Z40" s="46">
        <f>IF(VLOOKUP($C40,REV!$C:$AA,24,0)-'TRADE IN'!$F40=0,"",(VLOOKUP($C40,REV!$C:$AA,24,0)-'TRADE IN'!$F40))</f>
        <v>3699</v>
      </c>
      <c r="AA40" s="46">
        <f>IF(VLOOKUP($C40,REV!$C:$AA,25,0)-'TRADE IN'!$F40=0,"",(VLOOKUP($C40,REV!$C:$AA,25,0)-'TRADE IN'!$F40))</f>
        <v>3649</v>
      </c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7"/>
      <c r="AW40" s="48" t="str">
        <f>REV!AW40</f>
        <v>01.12.2026</v>
      </c>
      <c r="AX40" s="153" t="str">
        <f>VLOOKUP(C40,REV!C:AX,48,0)</f>
        <v>5G</v>
      </c>
    </row>
    <row r="41" spans="1:50" ht="22.5" customHeight="1">
      <c r="A41" s="41" t="s">
        <v>63</v>
      </c>
      <c r="B41" s="42" t="s">
        <v>64</v>
      </c>
      <c r="C41" s="43">
        <v>4015963</v>
      </c>
      <c r="D41" s="44" t="s">
        <v>101</v>
      </c>
      <c r="E41" s="44" t="s">
        <v>106</v>
      </c>
      <c r="F41" s="45"/>
      <c r="G41" s="45"/>
      <c r="H41" s="46"/>
      <c r="I41" s="46"/>
      <c r="J41" s="46">
        <f>IF(VLOOKUP($C41,REV!$C:$AA,8,0)-'TRADE IN'!$F41=0,"",(VLOOKUP($C41,REV!$C:$AA,8,0)-'TRADE IN'!$F41))</f>
        <v>5099</v>
      </c>
      <c r="K41" s="46">
        <f>IF(VLOOKUP($C41,REV!$C:$AA,9,0)-'TRADE IN'!$F41=0,"",(VLOOKUP($C41,REV!$C:$AA,9,0)-'TRADE IN'!$F41))</f>
        <v>5099</v>
      </c>
      <c r="L41" s="46">
        <f>IF(VLOOKUP($C41,REV!$C:$AA,10,0)-'TRADE IN'!$F41=0,"",(VLOOKUP($C41,REV!$C:$AA,10,0)-'TRADE IN'!$F41))</f>
        <v>5099</v>
      </c>
      <c r="M41" s="46">
        <f>IF(VLOOKUP($C41,REV!$C:$AA,11,0)-'TRADE IN'!$F41=0,"",(VLOOKUP($C41,REV!$C:$AA,11,0)-'TRADE IN'!$F41))</f>
        <v>5099</v>
      </c>
      <c r="N41" s="46">
        <f>IF(VLOOKUP($C41,REV!$C:$AA,12,0)-'TRADE IN'!$F41=0,"",(VLOOKUP($C41,REV!$C:$AA,12,0)-'TRADE IN'!$F41))</f>
        <v>5099</v>
      </c>
      <c r="O41" s="46">
        <f>IF(VLOOKUP($C41,REV!$C:$AA,13,0)-'TRADE IN'!$F41=0,"",(VLOOKUP($C41,REV!$C:$AA,13,0)-'TRADE IN'!$F41))</f>
        <v>4999</v>
      </c>
      <c r="P41" s="46">
        <f>IF(VLOOKUP($C41,REV!$C:$AA,14,0)-'TRADE IN'!$F41=0,"",(VLOOKUP($C41,REV!$C:$AA,14,0)-'TRADE IN'!$F41))</f>
        <v>4899</v>
      </c>
      <c r="Q41" s="46">
        <f>IF(VLOOKUP($C41,REV!$C:$AA,15,0)-'TRADE IN'!$F41=0,"",(VLOOKUP($C41,REV!$C:$AA,15,0)-'TRADE IN'!$F41))</f>
        <v>3999</v>
      </c>
      <c r="R41" s="46">
        <f>IF(VLOOKUP($C41,REV!$C:$AA,16,0)-'TRADE IN'!$F41=0,"",(VLOOKUP($C41,REV!$C:$AA,16,0)-'TRADE IN'!$F41))</f>
        <v>4999</v>
      </c>
      <c r="S41" s="46">
        <f>IF(VLOOKUP($C41,REV!$C:$AA,17,0)-'TRADE IN'!$F41=0,"",(VLOOKUP($C41,REV!$C:$AA,17,0)-'TRADE IN'!$F41))</f>
        <v>4899</v>
      </c>
      <c r="T41" s="46">
        <f>IF(VLOOKUP($C41,REV!$C:$AA,18,0)-'TRADE IN'!$F41=0,"",(VLOOKUP($C41,REV!$C:$AA,18,0)-'TRADE IN'!$F41))</f>
        <v>3999</v>
      </c>
      <c r="U41" s="46">
        <f>IF(VLOOKUP($C41,REV!$C:$AA,19,0)-'TRADE IN'!$F41=0,"",(VLOOKUP($C41,REV!$C:$AA,19,0)-'TRADE IN'!$F41))</f>
        <v>3999</v>
      </c>
      <c r="V41" s="46">
        <f>IF(VLOOKUP($C41,REV!$C:$AA,20,0)-'TRADE IN'!$F41=0,"",(VLOOKUP($C41,REV!$C:$AA,20,0)-'TRADE IN'!$F41))</f>
        <v>3999</v>
      </c>
      <c r="W41" s="46">
        <f>IF(VLOOKUP($C41,REV!$C:$AA,21,0)-'TRADE IN'!$F41=0,"",(VLOOKUP($C41,REV!$C:$AA,21,0)-'TRADE IN'!$F41))</f>
        <v>3999</v>
      </c>
      <c r="X41" s="46">
        <f>IF(VLOOKUP($C41,REV!$C:$AA,22,0)-'TRADE IN'!$F41=0,"",(VLOOKUP($C41,REV!$C:$AA,22,0)-'TRADE IN'!$F41))</f>
        <v>3899</v>
      </c>
      <c r="Y41" s="46">
        <f>IF(VLOOKUP($C41,REV!$C:$AA,23,0)-'TRADE IN'!$F41=0,"",(VLOOKUP($C41,REV!$C:$AA,23,0)-'TRADE IN'!$F41))</f>
        <v>3699</v>
      </c>
      <c r="Z41" s="46">
        <f>IF(VLOOKUP($C41,REV!$C:$AA,24,0)-'TRADE IN'!$F41=0,"",(VLOOKUP($C41,REV!$C:$AA,24,0)-'TRADE IN'!$F41))</f>
        <v>3699</v>
      </c>
      <c r="AA41" s="46">
        <f>IF(VLOOKUP($C41,REV!$C:$AA,25,0)-'TRADE IN'!$F41=0,"",(VLOOKUP($C41,REV!$C:$AA,25,0)-'TRADE IN'!$F41))</f>
        <v>3649</v>
      </c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7"/>
      <c r="AW41" s="48" t="str">
        <f>REV!AW41</f>
        <v>01.12.2026</v>
      </c>
      <c r="AX41" s="153" t="str">
        <f>VLOOKUP(C41,REV!C:AX,48,0)</f>
        <v>5G</v>
      </c>
    </row>
    <row r="42" spans="1:50" ht="22.5" customHeight="1">
      <c r="A42" s="41" t="s">
        <v>63</v>
      </c>
      <c r="B42" s="42" t="s">
        <v>64</v>
      </c>
      <c r="C42" s="43">
        <v>4015744</v>
      </c>
      <c r="D42" s="44" t="s">
        <v>107</v>
      </c>
      <c r="E42" s="44" t="s">
        <v>108</v>
      </c>
      <c r="F42" s="45"/>
      <c r="G42" s="45"/>
      <c r="H42" s="46"/>
      <c r="I42" s="46"/>
      <c r="J42" s="46">
        <f>IF(VLOOKUP($C42,REV!$C:$AA,8,0)-'TRADE IN'!$F42=0,"",(VLOOKUP($C42,REV!$C:$AA,8,0)-'TRADE IN'!$F42))</f>
        <v>5599</v>
      </c>
      <c r="K42" s="46">
        <f>IF(VLOOKUP($C42,REV!$C:$AA,9,0)-'TRADE IN'!$F42=0,"",(VLOOKUP($C42,REV!$C:$AA,9,0)-'TRADE IN'!$F42))</f>
        <v>5599</v>
      </c>
      <c r="L42" s="46">
        <f>IF(VLOOKUP($C42,REV!$C:$AA,10,0)-'TRADE IN'!$F42=0,"",(VLOOKUP($C42,REV!$C:$AA,10,0)-'TRADE IN'!$F42))</f>
        <v>5499</v>
      </c>
      <c r="M42" s="46">
        <f>IF(VLOOKUP($C42,REV!$C:$AA,11,0)-'TRADE IN'!$F42=0,"",(VLOOKUP($C42,REV!$C:$AA,11,0)-'TRADE IN'!$F42))</f>
        <v>5599</v>
      </c>
      <c r="N42" s="46">
        <f>IF(VLOOKUP($C42,REV!$C:$AA,12,0)-'TRADE IN'!$F42=0,"",(VLOOKUP($C42,REV!$C:$AA,12,0)-'TRADE IN'!$F42))</f>
        <v>5599</v>
      </c>
      <c r="O42" s="46">
        <f>IF(VLOOKUP($C42,REV!$C:$AA,13,0)-'TRADE IN'!$F42=0,"",(VLOOKUP($C42,REV!$C:$AA,13,0)-'TRADE IN'!$F42))</f>
        <v>5499</v>
      </c>
      <c r="P42" s="46">
        <f>IF(VLOOKUP($C42,REV!$C:$AA,14,0)-'TRADE IN'!$F42=0,"",(VLOOKUP($C42,REV!$C:$AA,14,0)-'TRADE IN'!$F42))</f>
        <v>5399</v>
      </c>
      <c r="Q42" s="46">
        <f>IF(VLOOKUP($C42,REV!$C:$AA,15,0)-'TRADE IN'!$F42=0,"",(VLOOKUP($C42,REV!$C:$AA,15,0)-'TRADE IN'!$F42))</f>
        <v>5199</v>
      </c>
      <c r="R42" s="46">
        <f>IF(VLOOKUP($C42,REV!$C:$AA,16,0)-'TRADE IN'!$F42=0,"",(VLOOKUP($C42,REV!$C:$AA,16,0)-'TRADE IN'!$F42))</f>
        <v>5499</v>
      </c>
      <c r="S42" s="46">
        <f>IF(VLOOKUP($C42,REV!$C:$AA,17,0)-'TRADE IN'!$F42=0,"",(VLOOKUP($C42,REV!$C:$AA,17,0)-'TRADE IN'!$F42))</f>
        <v>5399</v>
      </c>
      <c r="T42" s="46">
        <f>IF(VLOOKUP($C42,REV!$C:$AA,18,0)-'TRADE IN'!$F42=0,"",(VLOOKUP($C42,REV!$C:$AA,18,0)-'TRADE IN'!$F42))</f>
        <v>5199</v>
      </c>
      <c r="U42" s="46">
        <f>IF(VLOOKUP($C42,REV!$C:$AA,19,0)-'TRADE IN'!$F42=0,"",(VLOOKUP($C42,REV!$C:$AA,19,0)-'TRADE IN'!$F42))</f>
        <v>5099</v>
      </c>
      <c r="V42" s="46">
        <f>IF(VLOOKUP($C42,REV!$C:$AA,20,0)-'TRADE IN'!$F42=0,"",(VLOOKUP($C42,REV!$C:$AA,20,0)-'TRADE IN'!$F42))</f>
        <v>5099</v>
      </c>
      <c r="W42" s="46">
        <f>IF(VLOOKUP($C42,REV!$C:$AA,21,0)-'TRADE IN'!$F42=0,"",(VLOOKUP($C42,REV!$C:$AA,21,0)-'TRADE IN'!$F42))</f>
        <v>5099</v>
      </c>
      <c r="X42" s="46">
        <f>IF(VLOOKUP($C42,REV!$C:$AA,22,0)-'TRADE IN'!$F42=0,"",(VLOOKUP($C42,REV!$C:$AA,22,0)-'TRADE IN'!$F42))</f>
        <v>4999</v>
      </c>
      <c r="Y42" s="46">
        <f>IF(VLOOKUP($C42,REV!$C:$AA,23,0)-'TRADE IN'!$F42=0,"",(VLOOKUP($C42,REV!$C:$AA,23,0)-'TRADE IN'!$F42))</f>
        <v>4599</v>
      </c>
      <c r="Z42" s="46">
        <f>IF(VLOOKUP($C42,REV!$C:$AA,24,0)-'TRADE IN'!$F42=0,"",(VLOOKUP($C42,REV!$C:$AA,24,0)-'TRADE IN'!$F42))</f>
        <v>4599</v>
      </c>
      <c r="AA42" s="46">
        <f>IF(VLOOKUP($C42,REV!$C:$AA,25,0)-'TRADE IN'!$F42=0,"",(VLOOKUP($C42,REV!$C:$AA,25,0)-'TRADE IN'!$F42))</f>
        <v>4549</v>
      </c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7"/>
      <c r="AW42" s="48" t="str">
        <f>REV!AW42</f>
        <v>01.12.2026</v>
      </c>
      <c r="AX42" s="153" t="str">
        <f>VLOOKUP(C42,REV!C:AX,48,0)</f>
        <v>5G</v>
      </c>
    </row>
    <row r="43" spans="1:50" ht="22.5" customHeight="1">
      <c r="A43" s="41" t="s">
        <v>63</v>
      </c>
      <c r="B43" s="42" t="s">
        <v>64</v>
      </c>
      <c r="C43" s="43">
        <v>4015965</v>
      </c>
      <c r="D43" s="44" t="s">
        <v>107</v>
      </c>
      <c r="E43" s="44" t="s">
        <v>109</v>
      </c>
      <c r="F43" s="45"/>
      <c r="G43" s="45"/>
      <c r="H43" s="46"/>
      <c r="I43" s="46"/>
      <c r="J43" s="46">
        <f>IF(VLOOKUP($C43,REV!$C:$AA,8,0)-'TRADE IN'!$F43=0,"",(VLOOKUP($C43,REV!$C:$AA,8,0)-'TRADE IN'!$F43))</f>
        <v>5599</v>
      </c>
      <c r="K43" s="46">
        <f>IF(VLOOKUP($C43,REV!$C:$AA,9,0)-'TRADE IN'!$F43=0,"",(VLOOKUP($C43,REV!$C:$AA,9,0)-'TRADE IN'!$F43))</f>
        <v>5599</v>
      </c>
      <c r="L43" s="46">
        <f>IF(VLOOKUP($C43,REV!$C:$AA,10,0)-'TRADE IN'!$F43=0,"",(VLOOKUP($C43,REV!$C:$AA,10,0)-'TRADE IN'!$F43))</f>
        <v>5499</v>
      </c>
      <c r="M43" s="46">
        <f>IF(VLOOKUP($C43,REV!$C:$AA,11,0)-'TRADE IN'!$F43=0,"",(VLOOKUP($C43,REV!$C:$AA,11,0)-'TRADE IN'!$F43))</f>
        <v>5599</v>
      </c>
      <c r="N43" s="46">
        <f>IF(VLOOKUP($C43,REV!$C:$AA,12,0)-'TRADE IN'!$F43=0,"",(VLOOKUP($C43,REV!$C:$AA,12,0)-'TRADE IN'!$F43))</f>
        <v>5599</v>
      </c>
      <c r="O43" s="46">
        <f>IF(VLOOKUP($C43,REV!$C:$AA,13,0)-'TRADE IN'!$F43=0,"",(VLOOKUP($C43,REV!$C:$AA,13,0)-'TRADE IN'!$F43))</f>
        <v>5499</v>
      </c>
      <c r="P43" s="46">
        <f>IF(VLOOKUP($C43,REV!$C:$AA,14,0)-'TRADE IN'!$F43=0,"",(VLOOKUP($C43,REV!$C:$AA,14,0)-'TRADE IN'!$F43))</f>
        <v>5399</v>
      </c>
      <c r="Q43" s="46">
        <f>IF(VLOOKUP($C43,REV!$C:$AA,15,0)-'TRADE IN'!$F43=0,"",(VLOOKUP($C43,REV!$C:$AA,15,0)-'TRADE IN'!$F43))</f>
        <v>5199</v>
      </c>
      <c r="R43" s="46">
        <f>IF(VLOOKUP($C43,REV!$C:$AA,16,0)-'TRADE IN'!$F43=0,"",(VLOOKUP($C43,REV!$C:$AA,16,0)-'TRADE IN'!$F43))</f>
        <v>5499</v>
      </c>
      <c r="S43" s="46">
        <f>IF(VLOOKUP($C43,REV!$C:$AA,17,0)-'TRADE IN'!$F43=0,"",(VLOOKUP($C43,REV!$C:$AA,17,0)-'TRADE IN'!$F43))</f>
        <v>5399</v>
      </c>
      <c r="T43" s="46">
        <f>IF(VLOOKUP($C43,REV!$C:$AA,18,0)-'TRADE IN'!$F43=0,"",(VLOOKUP($C43,REV!$C:$AA,18,0)-'TRADE IN'!$F43))</f>
        <v>5199</v>
      </c>
      <c r="U43" s="46">
        <f>IF(VLOOKUP($C43,REV!$C:$AA,19,0)-'TRADE IN'!$F43=0,"",(VLOOKUP($C43,REV!$C:$AA,19,0)-'TRADE IN'!$F43))</f>
        <v>5099</v>
      </c>
      <c r="V43" s="46">
        <f>IF(VLOOKUP($C43,REV!$C:$AA,20,0)-'TRADE IN'!$F43=0,"",(VLOOKUP($C43,REV!$C:$AA,20,0)-'TRADE IN'!$F43))</f>
        <v>5099</v>
      </c>
      <c r="W43" s="46">
        <f>IF(VLOOKUP($C43,REV!$C:$AA,21,0)-'TRADE IN'!$F43=0,"",(VLOOKUP($C43,REV!$C:$AA,21,0)-'TRADE IN'!$F43))</f>
        <v>5099</v>
      </c>
      <c r="X43" s="46">
        <f>IF(VLOOKUP($C43,REV!$C:$AA,22,0)-'TRADE IN'!$F43=0,"",(VLOOKUP($C43,REV!$C:$AA,22,0)-'TRADE IN'!$F43))</f>
        <v>4999</v>
      </c>
      <c r="Y43" s="46">
        <f>IF(VLOOKUP($C43,REV!$C:$AA,23,0)-'TRADE IN'!$F43=0,"",(VLOOKUP($C43,REV!$C:$AA,23,0)-'TRADE IN'!$F43))</f>
        <v>4599</v>
      </c>
      <c r="Z43" s="46">
        <f>IF(VLOOKUP($C43,REV!$C:$AA,24,0)-'TRADE IN'!$F43=0,"",(VLOOKUP($C43,REV!$C:$AA,24,0)-'TRADE IN'!$F43))</f>
        <v>4599</v>
      </c>
      <c r="AA43" s="46">
        <f>IF(VLOOKUP($C43,REV!$C:$AA,25,0)-'TRADE IN'!$F43=0,"",(VLOOKUP($C43,REV!$C:$AA,25,0)-'TRADE IN'!$F43))</f>
        <v>4549</v>
      </c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7"/>
      <c r="AW43" s="48" t="str">
        <f>REV!AW43</f>
        <v>01.12.2026</v>
      </c>
      <c r="AX43" s="153" t="str">
        <f>VLOOKUP(C43,REV!C:AX,48,0)</f>
        <v>5G</v>
      </c>
    </row>
    <row r="44" spans="1:50" ht="22.5" customHeight="1">
      <c r="A44" s="41" t="s">
        <v>63</v>
      </c>
      <c r="B44" s="42" t="s">
        <v>64</v>
      </c>
      <c r="C44" s="43">
        <v>4015746</v>
      </c>
      <c r="D44" s="44" t="s">
        <v>110</v>
      </c>
      <c r="E44" s="44" t="s">
        <v>111</v>
      </c>
      <c r="F44" s="45"/>
      <c r="G44" s="45"/>
      <c r="H44" s="46"/>
      <c r="I44" s="46"/>
      <c r="J44" s="46">
        <f>IF(VLOOKUP($C44,REV!$C:$AA,8,0)-'TRADE IN'!$F44=0,"",(VLOOKUP($C44,REV!$C:$AA,8,0)-'TRADE IN'!$F44))</f>
        <v>5899</v>
      </c>
      <c r="K44" s="46">
        <f>IF(VLOOKUP($C44,REV!$C:$AA,9,0)-'TRADE IN'!$F44=0,"",(VLOOKUP($C44,REV!$C:$AA,9,0)-'TRADE IN'!$F44))</f>
        <v>5899</v>
      </c>
      <c r="L44" s="46">
        <f>IF(VLOOKUP($C44,REV!$C:$AA,10,0)-'TRADE IN'!$F44=0,"",(VLOOKUP($C44,REV!$C:$AA,10,0)-'TRADE IN'!$F44))</f>
        <v>5899</v>
      </c>
      <c r="M44" s="46">
        <f>IF(VLOOKUP($C44,REV!$C:$AA,11,0)-'TRADE IN'!$F44=0,"",(VLOOKUP($C44,REV!$C:$AA,11,0)-'TRADE IN'!$F44))</f>
        <v>5899</v>
      </c>
      <c r="N44" s="46">
        <f>IF(VLOOKUP($C44,REV!$C:$AA,12,0)-'TRADE IN'!$F44=0,"",(VLOOKUP($C44,REV!$C:$AA,12,0)-'TRADE IN'!$F44))</f>
        <v>5899</v>
      </c>
      <c r="O44" s="46">
        <f>IF(VLOOKUP($C44,REV!$C:$AA,13,0)-'TRADE IN'!$F44=0,"",(VLOOKUP($C44,REV!$C:$AA,13,0)-'TRADE IN'!$F44))</f>
        <v>5799</v>
      </c>
      <c r="P44" s="46">
        <f>IF(VLOOKUP($C44,REV!$C:$AA,14,0)-'TRADE IN'!$F44=0,"",(VLOOKUP($C44,REV!$C:$AA,14,0)-'TRADE IN'!$F44))</f>
        <v>5699</v>
      </c>
      <c r="Q44" s="46">
        <f>IF(VLOOKUP($C44,REV!$C:$AA,15,0)-'TRADE IN'!$F44=0,"",(VLOOKUP($C44,REV!$C:$AA,15,0)-'TRADE IN'!$F44))</f>
        <v>5499</v>
      </c>
      <c r="R44" s="46">
        <f>IF(VLOOKUP($C44,REV!$C:$AA,16,0)-'TRADE IN'!$F44=0,"",(VLOOKUP($C44,REV!$C:$AA,16,0)-'TRADE IN'!$F44))</f>
        <v>5799</v>
      </c>
      <c r="S44" s="46">
        <f>IF(VLOOKUP($C44,REV!$C:$AA,17,0)-'TRADE IN'!$F44=0,"",(VLOOKUP($C44,REV!$C:$AA,17,0)-'TRADE IN'!$F44))</f>
        <v>5699</v>
      </c>
      <c r="T44" s="46">
        <f>IF(VLOOKUP($C44,REV!$C:$AA,18,0)-'TRADE IN'!$F44=0,"",(VLOOKUP($C44,REV!$C:$AA,18,0)-'TRADE IN'!$F44))</f>
        <v>5499</v>
      </c>
      <c r="U44" s="46">
        <f>IF(VLOOKUP($C44,REV!$C:$AA,19,0)-'TRADE IN'!$F44=0,"",(VLOOKUP($C44,REV!$C:$AA,19,0)-'TRADE IN'!$F44))</f>
        <v>5499</v>
      </c>
      <c r="V44" s="46">
        <f>IF(VLOOKUP($C44,REV!$C:$AA,20,0)-'TRADE IN'!$F44=0,"",(VLOOKUP($C44,REV!$C:$AA,20,0)-'TRADE IN'!$F44))</f>
        <v>5499</v>
      </c>
      <c r="W44" s="46">
        <f>IF(VLOOKUP($C44,REV!$C:$AA,21,0)-'TRADE IN'!$F44=0,"",(VLOOKUP($C44,REV!$C:$AA,21,0)-'TRADE IN'!$F44))</f>
        <v>5499</v>
      </c>
      <c r="X44" s="46">
        <f>IF(VLOOKUP($C44,REV!$C:$AA,22,0)-'TRADE IN'!$F44=0,"",(VLOOKUP($C44,REV!$C:$AA,22,0)-'TRADE IN'!$F44))</f>
        <v>5399</v>
      </c>
      <c r="Y44" s="46">
        <f>IF(VLOOKUP($C44,REV!$C:$AA,23,0)-'TRADE IN'!$F44=0,"",(VLOOKUP($C44,REV!$C:$AA,23,0)-'TRADE IN'!$F44))</f>
        <v>4999</v>
      </c>
      <c r="Z44" s="46">
        <f>IF(VLOOKUP($C44,REV!$C:$AA,24,0)-'TRADE IN'!$F44=0,"",(VLOOKUP($C44,REV!$C:$AA,24,0)-'TRADE IN'!$F44))</f>
        <v>4999</v>
      </c>
      <c r="AA44" s="46">
        <f>IF(VLOOKUP($C44,REV!$C:$AA,25,0)-'TRADE IN'!$F44=0,"",(VLOOKUP($C44,REV!$C:$AA,25,0)-'TRADE IN'!$F44))</f>
        <v>4999</v>
      </c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7"/>
      <c r="AW44" s="48" t="str">
        <f>REV!AW44</f>
        <v>01.12.2026</v>
      </c>
      <c r="AX44" s="153" t="str">
        <f>VLOOKUP(C44,REV!C:AX,48,0)</f>
        <v>5G</v>
      </c>
    </row>
    <row r="45" spans="1:50" ht="22.5" customHeight="1">
      <c r="A45" s="41" t="s">
        <v>63</v>
      </c>
      <c r="B45" s="42" t="s">
        <v>64</v>
      </c>
      <c r="C45" s="43">
        <v>4015748</v>
      </c>
      <c r="D45" s="44" t="s">
        <v>112</v>
      </c>
      <c r="E45" s="44" t="s">
        <v>113</v>
      </c>
      <c r="F45" s="45"/>
      <c r="G45" s="45"/>
      <c r="H45" s="46"/>
      <c r="I45" s="46"/>
      <c r="J45" s="46">
        <f>IF(VLOOKUP($C45,REV!$C:$AA,8,0)-'TRADE IN'!$F45=0,"",(VLOOKUP($C45,REV!$C:$AA,8,0)-'TRADE IN'!$F45))</f>
        <v>6399</v>
      </c>
      <c r="K45" s="46">
        <f>IF(VLOOKUP($C45,REV!$C:$AA,9,0)-'TRADE IN'!$F45=0,"",(VLOOKUP($C45,REV!$C:$AA,9,0)-'TRADE IN'!$F45))</f>
        <v>6399</v>
      </c>
      <c r="L45" s="46">
        <f>IF(VLOOKUP($C45,REV!$C:$AA,10,0)-'TRADE IN'!$F45=0,"",(VLOOKUP($C45,REV!$C:$AA,10,0)-'TRADE IN'!$F45))</f>
        <v>6399</v>
      </c>
      <c r="M45" s="46">
        <f>IF(VLOOKUP($C45,REV!$C:$AA,11,0)-'TRADE IN'!$F45=0,"",(VLOOKUP($C45,REV!$C:$AA,11,0)-'TRADE IN'!$F45))</f>
        <v>6399</v>
      </c>
      <c r="N45" s="46">
        <f>IF(VLOOKUP($C45,REV!$C:$AA,12,0)-'TRADE IN'!$F45=0,"",(VLOOKUP($C45,REV!$C:$AA,12,0)-'TRADE IN'!$F45))</f>
        <v>6399</v>
      </c>
      <c r="O45" s="46">
        <f>IF(VLOOKUP($C45,REV!$C:$AA,13,0)-'TRADE IN'!$F45=0,"",(VLOOKUP($C45,REV!$C:$AA,13,0)-'TRADE IN'!$F45))</f>
        <v>6299</v>
      </c>
      <c r="P45" s="46">
        <f>IF(VLOOKUP($C45,REV!$C:$AA,14,0)-'TRADE IN'!$F45=0,"",(VLOOKUP($C45,REV!$C:$AA,14,0)-'TRADE IN'!$F45))</f>
        <v>6199</v>
      </c>
      <c r="Q45" s="46">
        <f>IF(VLOOKUP($C45,REV!$C:$AA,15,0)-'TRADE IN'!$F45=0,"",(VLOOKUP($C45,REV!$C:$AA,15,0)-'TRADE IN'!$F45))</f>
        <v>5999</v>
      </c>
      <c r="R45" s="46">
        <f>IF(VLOOKUP($C45,REV!$C:$AA,16,0)-'TRADE IN'!$F45=0,"",(VLOOKUP($C45,REV!$C:$AA,16,0)-'TRADE IN'!$F45))</f>
        <v>6299</v>
      </c>
      <c r="S45" s="46">
        <f>IF(VLOOKUP($C45,REV!$C:$AA,17,0)-'TRADE IN'!$F45=0,"",(VLOOKUP($C45,REV!$C:$AA,17,0)-'TRADE IN'!$F45))</f>
        <v>6199</v>
      </c>
      <c r="T45" s="46">
        <f>IF(VLOOKUP($C45,REV!$C:$AA,18,0)-'TRADE IN'!$F45=0,"",(VLOOKUP($C45,REV!$C:$AA,18,0)-'TRADE IN'!$F45))</f>
        <v>5999</v>
      </c>
      <c r="U45" s="46">
        <f>IF(VLOOKUP($C45,REV!$C:$AA,19,0)-'TRADE IN'!$F45=0,"",(VLOOKUP($C45,REV!$C:$AA,19,0)-'TRADE IN'!$F45))</f>
        <v>5999</v>
      </c>
      <c r="V45" s="46">
        <f>IF(VLOOKUP($C45,REV!$C:$AA,20,0)-'TRADE IN'!$F45=0,"",(VLOOKUP($C45,REV!$C:$AA,20,0)-'TRADE IN'!$F45))</f>
        <v>5999</v>
      </c>
      <c r="W45" s="46">
        <f>IF(VLOOKUP($C45,REV!$C:$AA,21,0)-'TRADE IN'!$F45=0,"",(VLOOKUP($C45,REV!$C:$AA,21,0)-'TRADE IN'!$F45))</f>
        <v>5999</v>
      </c>
      <c r="X45" s="46">
        <f>IF(VLOOKUP($C45,REV!$C:$AA,22,0)-'TRADE IN'!$F45=0,"",(VLOOKUP($C45,REV!$C:$AA,22,0)-'TRADE IN'!$F45))</f>
        <v>5899</v>
      </c>
      <c r="Y45" s="46">
        <f>IF(VLOOKUP($C45,REV!$C:$AA,23,0)-'TRADE IN'!$F45=0,"",(VLOOKUP($C45,REV!$C:$AA,23,0)-'TRADE IN'!$F45))</f>
        <v>5499</v>
      </c>
      <c r="Z45" s="46">
        <f>IF(VLOOKUP($C45,REV!$C:$AA,24,0)-'TRADE IN'!$F45=0,"",(VLOOKUP($C45,REV!$C:$AA,24,0)-'TRADE IN'!$F45))</f>
        <v>5499</v>
      </c>
      <c r="AA45" s="46">
        <f>IF(VLOOKUP($C45,REV!$C:$AA,25,0)-'TRADE IN'!$F45=0,"",(VLOOKUP($C45,REV!$C:$AA,25,0)-'TRADE IN'!$F45))</f>
        <v>5499</v>
      </c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7"/>
      <c r="AW45" s="48" t="str">
        <f>REV!AW45</f>
        <v>01.12.2026</v>
      </c>
      <c r="AX45" s="153" t="str">
        <f>VLOOKUP(C45,REV!C:AX,48,0)</f>
        <v>5G</v>
      </c>
    </row>
    <row r="46" spans="1:50" ht="22.5" customHeight="1">
      <c r="A46" s="41" t="s">
        <v>63</v>
      </c>
      <c r="B46" s="42" t="s">
        <v>64</v>
      </c>
      <c r="C46" s="43">
        <v>4015796</v>
      </c>
      <c r="D46" s="44" t="s">
        <v>112</v>
      </c>
      <c r="E46" s="44" t="s">
        <v>114</v>
      </c>
      <c r="F46" s="45"/>
      <c r="G46" s="45"/>
      <c r="H46" s="46"/>
      <c r="I46" s="46"/>
      <c r="J46" s="46">
        <f>IF(VLOOKUP($C46,REV!$C:$AA,8,0)-'TRADE IN'!$F46=0,"",(VLOOKUP($C46,REV!$C:$AA,8,0)-'TRADE IN'!$F46))</f>
        <v>6399</v>
      </c>
      <c r="K46" s="46">
        <f>IF(VLOOKUP($C46,REV!$C:$AA,9,0)-'TRADE IN'!$F46=0,"",(VLOOKUP($C46,REV!$C:$AA,9,0)-'TRADE IN'!$F46))</f>
        <v>6399</v>
      </c>
      <c r="L46" s="46">
        <f>IF(VLOOKUP($C46,REV!$C:$AA,10,0)-'TRADE IN'!$F46=0,"",(VLOOKUP($C46,REV!$C:$AA,10,0)-'TRADE IN'!$F46))</f>
        <v>6399</v>
      </c>
      <c r="M46" s="46">
        <f>IF(VLOOKUP($C46,REV!$C:$AA,11,0)-'TRADE IN'!$F46=0,"",(VLOOKUP($C46,REV!$C:$AA,11,0)-'TRADE IN'!$F46))</f>
        <v>6399</v>
      </c>
      <c r="N46" s="46">
        <f>IF(VLOOKUP($C46,REV!$C:$AA,12,0)-'TRADE IN'!$F46=0,"",(VLOOKUP($C46,REV!$C:$AA,12,0)-'TRADE IN'!$F46))</f>
        <v>6399</v>
      </c>
      <c r="O46" s="46">
        <f>IF(VLOOKUP($C46,REV!$C:$AA,13,0)-'TRADE IN'!$F46=0,"",(VLOOKUP($C46,REV!$C:$AA,13,0)-'TRADE IN'!$F46))</f>
        <v>6299</v>
      </c>
      <c r="P46" s="46">
        <f>IF(VLOOKUP($C46,REV!$C:$AA,14,0)-'TRADE IN'!$F46=0,"",(VLOOKUP($C46,REV!$C:$AA,14,0)-'TRADE IN'!$F46))</f>
        <v>6199</v>
      </c>
      <c r="Q46" s="46">
        <f>IF(VLOOKUP($C46,REV!$C:$AA,15,0)-'TRADE IN'!$F46=0,"",(VLOOKUP($C46,REV!$C:$AA,15,0)-'TRADE IN'!$F46))</f>
        <v>5999</v>
      </c>
      <c r="R46" s="46">
        <f>IF(VLOOKUP($C46,REV!$C:$AA,16,0)-'TRADE IN'!$F46=0,"",(VLOOKUP($C46,REV!$C:$AA,16,0)-'TRADE IN'!$F46))</f>
        <v>6299</v>
      </c>
      <c r="S46" s="46">
        <f>IF(VLOOKUP($C46,REV!$C:$AA,17,0)-'TRADE IN'!$F46=0,"",(VLOOKUP($C46,REV!$C:$AA,17,0)-'TRADE IN'!$F46))</f>
        <v>6199</v>
      </c>
      <c r="T46" s="46">
        <f>IF(VLOOKUP($C46,REV!$C:$AA,18,0)-'TRADE IN'!$F46=0,"",(VLOOKUP($C46,REV!$C:$AA,18,0)-'TRADE IN'!$F46))</f>
        <v>5999</v>
      </c>
      <c r="U46" s="46">
        <f>IF(VLOOKUP($C46,REV!$C:$AA,19,0)-'TRADE IN'!$F46=0,"",(VLOOKUP($C46,REV!$C:$AA,19,0)-'TRADE IN'!$F46))</f>
        <v>5999</v>
      </c>
      <c r="V46" s="46">
        <f>IF(VLOOKUP($C46,REV!$C:$AA,20,0)-'TRADE IN'!$F46=0,"",(VLOOKUP($C46,REV!$C:$AA,20,0)-'TRADE IN'!$F46))</f>
        <v>5999</v>
      </c>
      <c r="W46" s="46">
        <f>IF(VLOOKUP($C46,REV!$C:$AA,21,0)-'TRADE IN'!$F46=0,"",(VLOOKUP($C46,REV!$C:$AA,21,0)-'TRADE IN'!$F46))</f>
        <v>5999</v>
      </c>
      <c r="X46" s="46">
        <f>IF(VLOOKUP($C46,REV!$C:$AA,22,0)-'TRADE IN'!$F46=0,"",(VLOOKUP($C46,REV!$C:$AA,22,0)-'TRADE IN'!$F46))</f>
        <v>5899</v>
      </c>
      <c r="Y46" s="46">
        <f>IF(VLOOKUP($C46,REV!$C:$AA,23,0)-'TRADE IN'!$F46=0,"",(VLOOKUP($C46,REV!$C:$AA,23,0)-'TRADE IN'!$F46))</f>
        <v>5499</v>
      </c>
      <c r="Z46" s="46">
        <f>IF(VLOOKUP($C46,REV!$C:$AA,24,0)-'TRADE IN'!$F46=0,"",(VLOOKUP($C46,REV!$C:$AA,24,0)-'TRADE IN'!$F46))</f>
        <v>5499</v>
      </c>
      <c r="AA46" s="46">
        <f>IF(VLOOKUP($C46,REV!$C:$AA,25,0)-'TRADE IN'!$F46=0,"",(VLOOKUP($C46,REV!$C:$AA,25,0)-'TRADE IN'!$F46))</f>
        <v>5499</v>
      </c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7"/>
      <c r="AW46" s="48" t="str">
        <f>REV!AW46</f>
        <v>01.12.2026</v>
      </c>
      <c r="AX46" s="153" t="str">
        <f>VLOOKUP(C46,REV!C:AX,48,0)</f>
        <v>5G</v>
      </c>
    </row>
    <row r="47" spans="1:50" ht="22.5" customHeight="1">
      <c r="A47" s="41" t="s">
        <v>63</v>
      </c>
      <c r="B47" s="42" t="s">
        <v>64</v>
      </c>
      <c r="C47" s="43">
        <v>4015767</v>
      </c>
      <c r="D47" s="44" t="s">
        <v>112</v>
      </c>
      <c r="E47" s="44" t="s">
        <v>115</v>
      </c>
      <c r="F47" s="45"/>
      <c r="G47" s="45"/>
      <c r="H47" s="46"/>
      <c r="I47" s="46"/>
      <c r="J47" s="46">
        <f>IF(VLOOKUP($C47,REV!$C:$AA,8,0)-'TRADE IN'!$F47=0,"",(VLOOKUP($C47,REV!$C:$AA,8,0)-'TRADE IN'!$F47))</f>
        <v>6399</v>
      </c>
      <c r="K47" s="46">
        <f>IF(VLOOKUP($C47,REV!$C:$AA,9,0)-'TRADE IN'!$F47=0,"",(VLOOKUP($C47,REV!$C:$AA,9,0)-'TRADE IN'!$F47))</f>
        <v>6399</v>
      </c>
      <c r="L47" s="46">
        <f>IF(VLOOKUP($C47,REV!$C:$AA,10,0)-'TRADE IN'!$F47=0,"",(VLOOKUP($C47,REV!$C:$AA,10,0)-'TRADE IN'!$F47))</f>
        <v>6399</v>
      </c>
      <c r="M47" s="46">
        <f>IF(VLOOKUP($C47,REV!$C:$AA,11,0)-'TRADE IN'!$F47=0,"",(VLOOKUP($C47,REV!$C:$AA,11,0)-'TRADE IN'!$F47))</f>
        <v>6399</v>
      </c>
      <c r="N47" s="46">
        <f>IF(VLOOKUP($C47,REV!$C:$AA,12,0)-'TRADE IN'!$F47=0,"",(VLOOKUP($C47,REV!$C:$AA,12,0)-'TRADE IN'!$F47))</f>
        <v>6399</v>
      </c>
      <c r="O47" s="46">
        <f>IF(VLOOKUP($C47,REV!$C:$AA,13,0)-'TRADE IN'!$F47=0,"",(VLOOKUP($C47,REV!$C:$AA,13,0)-'TRADE IN'!$F47))</f>
        <v>6299</v>
      </c>
      <c r="P47" s="46">
        <f>IF(VLOOKUP($C47,REV!$C:$AA,14,0)-'TRADE IN'!$F47=0,"",(VLOOKUP($C47,REV!$C:$AA,14,0)-'TRADE IN'!$F47))</f>
        <v>6199</v>
      </c>
      <c r="Q47" s="46">
        <f>IF(VLOOKUP($C47,REV!$C:$AA,15,0)-'TRADE IN'!$F47=0,"",(VLOOKUP($C47,REV!$C:$AA,15,0)-'TRADE IN'!$F47))</f>
        <v>5999</v>
      </c>
      <c r="R47" s="46">
        <f>IF(VLOOKUP($C47,REV!$C:$AA,16,0)-'TRADE IN'!$F47=0,"",(VLOOKUP($C47,REV!$C:$AA,16,0)-'TRADE IN'!$F47))</f>
        <v>6299</v>
      </c>
      <c r="S47" s="46">
        <f>IF(VLOOKUP($C47,REV!$C:$AA,17,0)-'TRADE IN'!$F47=0,"",(VLOOKUP($C47,REV!$C:$AA,17,0)-'TRADE IN'!$F47))</f>
        <v>6199</v>
      </c>
      <c r="T47" s="46">
        <f>IF(VLOOKUP($C47,REV!$C:$AA,18,0)-'TRADE IN'!$F47=0,"",(VLOOKUP($C47,REV!$C:$AA,18,0)-'TRADE IN'!$F47))</f>
        <v>5999</v>
      </c>
      <c r="U47" s="46">
        <f>IF(VLOOKUP($C47,REV!$C:$AA,19,0)-'TRADE IN'!$F47=0,"",(VLOOKUP($C47,REV!$C:$AA,19,0)-'TRADE IN'!$F47))</f>
        <v>5999</v>
      </c>
      <c r="V47" s="46">
        <f>IF(VLOOKUP($C47,REV!$C:$AA,20,0)-'TRADE IN'!$F47=0,"",(VLOOKUP($C47,REV!$C:$AA,20,0)-'TRADE IN'!$F47))</f>
        <v>5999</v>
      </c>
      <c r="W47" s="46">
        <f>IF(VLOOKUP($C47,REV!$C:$AA,21,0)-'TRADE IN'!$F47=0,"",(VLOOKUP($C47,REV!$C:$AA,21,0)-'TRADE IN'!$F47))</f>
        <v>5999</v>
      </c>
      <c r="X47" s="46">
        <f>IF(VLOOKUP($C47,REV!$C:$AA,22,0)-'TRADE IN'!$F47=0,"",(VLOOKUP($C47,REV!$C:$AA,22,0)-'TRADE IN'!$F47))</f>
        <v>5899</v>
      </c>
      <c r="Y47" s="46">
        <f>IF(VLOOKUP($C47,REV!$C:$AA,23,0)-'TRADE IN'!$F47=0,"",(VLOOKUP($C47,REV!$C:$AA,23,0)-'TRADE IN'!$F47))</f>
        <v>5499</v>
      </c>
      <c r="Z47" s="46">
        <f>IF(VLOOKUP($C47,REV!$C:$AA,24,0)-'TRADE IN'!$F47=0,"",(VLOOKUP($C47,REV!$C:$AA,24,0)-'TRADE IN'!$F47))</f>
        <v>5499</v>
      </c>
      <c r="AA47" s="46">
        <f>IF(VLOOKUP($C47,REV!$C:$AA,25,0)-'TRADE IN'!$F47=0,"",(VLOOKUP($C47,REV!$C:$AA,25,0)-'TRADE IN'!$F47))</f>
        <v>5499</v>
      </c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7"/>
      <c r="AW47" s="48" t="str">
        <f>REV!AW47</f>
        <v>01.12.2026</v>
      </c>
      <c r="AX47" s="153" t="str">
        <f>VLOOKUP(C47,REV!C:AX,48,0)</f>
        <v>5G</v>
      </c>
    </row>
    <row r="48" spans="1:50" ht="22.5" customHeight="1">
      <c r="A48" s="41" t="s">
        <v>63</v>
      </c>
      <c r="B48" s="42" t="s">
        <v>64</v>
      </c>
      <c r="C48" s="43">
        <v>4015782</v>
      </c>
      <c r="D48" s="44" t="s">
        <v>112</v>
      </c>
      <c r="E48" s="44" t="s">
        <v>116</v>
      </c>
      <c r="F48" s="45"/>
      <c r="G48" s="45"/>
      <c r="H48" s="46"/>
      <c r="I48" s="46"/>
      <c r="J48" s="46">
        <f>IF(VLOOKUP($C48,REV!$C:$AA,8,0)-'TRADE IN'!$F48=0,"",(VLOOKUP($C48,REV!$C:$AA,8,0)-'TRADE IN'!$F48))</f>
        <v>6399</v>
      </c>
      <c r="K48" s="46">
        <f>IF(VLOOKUP($C48,REV!$C:$AA,9,0)-'TRADE IN'!$F48=0,"",(VLOOKUP($C48,REV!$C:$AA,9,0)-'TRADE IN'!$F48))</f>
        <v>6399</v>
      </c>
      <c r="L48" s="46">
        <f>IF(VLOOKUP($C48,REV!$C:$AA,10,0)-'TRADE IN'!$F48=0,"",(VLOOKUP($C48,REV!$C:$AA,10,0)-'TRADE IN'!$F48))</f>
        <v>6399</v>
      </c>
      <c r="M48" s="46">
        <f>IF(VLOOKUP($C48,REV!$C:$AA,11,0)-'TRADE IN'!$F48=0,"",(VLOOKUP($C48,REV!$C:$AA,11,0)-'TRADE IN'!$F48))</f>
        <v>6399</v>
      </c>
      <c r="N48" s="46">
        <f>IF(VLOOKUP($C48,REV!$C:$AA,12,0)-'TRADE IN'!$F48=0,"",(VLOOKUP($C48,REV!$C:$AA,12,0)-'TRADE IN'!$F48))</f>
        <v>6399</v>
      </c>
      <c r="O48" s="46">
        <f>IF(VLOOKUP($C48,REV!$C:$AA,13,0)-'TRADE IN'!$F48=0,"",(VLOOKUP($C48,REV!$C:$AA,13,0)-'TRADE IN'!$F48))</f>
        <v>6299</v>
      </c>
      <c r="P48" s="46">
        <f>IF(VLOOKUP($C48,REV!$C:$AA,14,0)-'TRADE IN'!$F48=0,"",(VLOOKUP($C48,REV!$C:$AA,14,0)-'TRADE IN'!$F48))</f>
        <v>6199</v>
      </c>
      <c r="Q48" s="46">
        <f>IF(VLOOKUP($C48,REV!$C:$AA,15,0)-'TRADE IN'!$F48=0,"",(VLOOKUP($C48,REV!$C:$AA,15,0)-'TRADE IN'!$F48))</f>
        <v>5999</v>
      </c>
      <c r="R48" s="46">
        <f>IF(VLOOKUP($C48,REV!$C:$AA,16,0)-'TRADE IN'!$F48=0,"",(VLOOKUP($C48,REV!$C:$AA,16,0)-'TRADE IN'!$F48))</f>
        <v>6299</v>
      </c>
      <c r="S48" s="46">
        <f>IF(VLOOKUP($C48,REV!$C:$AA,17,0)-'TRADE IN'!$F48=0,"",(VLOOKUP($C48,REV!$C:$AA,17,0)-'TRADE IN'!$F48))</f>
        <v>6199</v>
      </c>
      <c r="T48" s="46">
        <f>IF(VLOOKUP($C48,REV!$C:$AA,18,0)-'TRADE IN'!$F48=0,"",(VLOOKUP($C48,REV!$C:$AA,18,0)-'TRADE IN'!$F48))</f>
        <v>5999</v>
      </c>
      <c r="U48" s="46">
        <f>IF(VLOOKUP($C48,REV!$C:$AA,19,0)-'TRADE IN'!$F48=0,"",(VLOOKUP($C48,REV!$C:$AA,19,0)-'TRADE IN'!$F48))</f>
        <v>5999</v>
      </c>
      <c r="V48" s="46">
        <f>IF(VLOOKUP($C48,REV!$C:$AA,20,0)-'TRADE IN'!$F48=0,"",(VLOOKUP($C48,REV!$C:$AA,20,0)-'TRADE IN'!$F48))</f>
        <v>5999</v>
      </c>
      <c r="W48" s="46">
        <f>IF(VLOOKUP($C48,REV!$C:$AA,21,0)-'TRADE IN'!$F48=0,"",(VLOOKUP($C48,REV!$C:$AA,21,0)-'TRADE IN'!$F48))</f>
        <v>5999</v>
      </c>
      <c r="X48" s="46">
        <f>IF(VLOOKUP($C48,REV!$C:$AA,22,0)-'TRADE IN'!$F48=0,"",(VLOOKUP($C48,REV!$C:$AA,22,0)-'TRADE IN'!$F48))</f>
        <v>5899</v>
      </c>
      <c r="Y48" s="46">
        <f>IF(VLOOKUP($C48,REV!$C:$AA,23,0)-'TRADE IN'!$F48=0,"",(VLOOKUP($C48,REV!$C:$AA,23,0)-'TRADE IN'!$F48))</f>
        <v>5499</v>
      </c>
      <c r="Z48" s="46">
        <f>IF(VLOOKUP($C48,REV!$C:$AA,24,0)-'TRADE IN'!$F48=0,"",(VLOOKUP($C48,REV!$C:$AA,24,0)-'TRADE IN'!$F48))</f>
        <v>5499</v>
      </c>
      <c r="AA48" s="46">
        <f>IF(VLOOKUP($C48,REV!$C:$AA,25,0)-'TRADE IN'!$F48=0,"",(VLOOKUP($C48,REV!$C:$AA,25,0)-'TRADE IN'!$F48))</f>
        <v>5499</v>
      </c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7"/>
      <c r="AW48" s="48" t="str">
        <f>REV!AW48</f>
        <v>01.12.2026</v>
      </c>
      <c r="AX48" s="153" t="str">
        <f>VLOOKUP(C48,REV!C:AX,48,0)</f>
        <v>5G</v>
      </c>
    </row>
    <row r="49" spans="1:50" ht="22.5" customHeight="1">
      <c r="A49" s="41" t="s">
        <v>63</v>
      </c>
      <c r="B49" s="42" t="s">
        <v>64</v>
      </c>
      <c r="C49" s="43">
        <v>4015749</v>
      </c>
      <c r="D49" s="44" t="s">
        <v>117</v>
      </c>
      <c r="E49" s="44" t="s">
        <v>118</v>
      </c>
      <c r="F49" s="45"/>
      <c r="G49" s="45"/>
      <c r="H49" s="46"/>
      <c r="I49" s="46"/>
      <c r="J49" s="46">
        <f>IF(VLOOKUP($C49,REV!$C:$AA,8,0)-'TRADE IN'!$F49=0,"",(VLOOKUP($C49,REV!$C:$AA,8,0)-'TRADE IN'!$F49))</f>
        <v>6899</v>
      </c>
      <c r="K49" s="46">
        <f>IF(VLOOKUP($C49,REV!$C:$AA,9,0)-'TRADE IN'!$F49=0,"",(VLOOKUP($C49,REV!$C:$AA,9,0)-'TRADE IN'!$F49))</f>
        <v>6899</v>
      </c>
      <c r="L49" s="46">
        <f>IF(VLOOKUP($C49,REV!$C:$AA,10,0)-'TRADE IN'!$F49=0,"",(VLOOKUP($C49,REV!$C:$AA,10,0)-'TRADE IN'!$F49))</f>
        <v>6899</v>
      </c>
      <c r="M49" s="46">
        <f>IF(VLOOKUP($C49,REV!$C:$AA,11,0)-'TRADE IN'!$F49=0,"",(VLOOKUP($C49,REV!$C:$AA,11,0)-'TRADE IN'!$F49))</f>
        <v>6899</v>
      </c>
      <c r="N49" s="46">
        <f>IF(VLOOKUP($C49,REV!$C:$AA,12,0)-'TRADE IN'!$F49=0,"",(VLOOKUP($C49,REV!$C:$AA,12,0)-'TRADE IN'!$F49))</f>
        <v>6899</v>
      </c>
      <c r="O49" s="46">
        <f>IF(VLOOKUP($C49,REV!$C:$AA,13,0)-'TRADE IN'!$F49=0,"",(VLOOKUP($C49,REV!$C:$AA,13,0)-'TRADE IN'!$F49))</f>
        <v>6799</v>
      </c>
      <c r="P49" s="46">
        <f>IF(VLOOKUP($C49,REV!$C:$AA,14,0)-'TRADE IN'!$F49=0,"",(VLOOKUP($C49,REV!$C:$AA,14,0)-'TRADE IN'!$F49))</f>
        <v>6699</v>
      </c>
      <c r="Q49" s="46">
        <f>IF(VLOOKUP($C49,REV!$C:$AA,15,0)-'TRADE IN'!$F49=0,"",(VLOOKUP($C49,REV!$C:$AA,15,0)-'TRADE IN'!$F49))</f>
        <v>6499</v>
      </c>
      <c r="R49" s="46">
        <f>IF(VLOOKUP($C49,REV!$C:$AA,16,0)-'TRADE IN'!$F49=0,"",(VLOOKUP($C49,REV!$C:$AA,16,0)-'TRADE IN'!$F49))</f>
        <v>6799</v>
      </c>
      <c r="S49" s="46">
        <f>IF(VLOOKUP($C49,REV!$C:$AA,17,0)-'TRADE IN'!$F49=0,"",(VLOOKUP($C49,REV!$C:$AA,17,0)-'TRADE IN'!$F49))</f>
        <v>6699</v>
      </c>
      <c r="T49" s="46">
        <f>IF(VLOOKUP($C49,REV!$C:$AA,18,0)-'TRADE IN'!$F49=0,"",(VLOOKUP($C49,REV!$C:$AA,18,0)-'TRADE IN'!$F49))</f>
        <v>6499</v>
      </c>
      <c r="U49" s="46">
        <f>IF(VLOOKUP($C49,REV!$C:$AA,19,0)-'TRADE IN'!$F49=0,"",(VLOOKUP($C49,REV!$C:$AA,19,0)-'TRADE IN'!$F49))</f>
        <v>6499</v>
      </c>
      <c r="V49" s="46">
        <f>IF(VLOOKUP($C49,REV!$C:$AA,20,0)-'TRADE IN'!$F49=0,"",(VLOOKUP($C49,REV!$C:$AA,20,0)-'TRADE IN'!$F49))</f>
        <v>6499</v>
      </c>
      <c r="W49" s="46">
        <f>IF(VLOOKUP($C49,REV!$C:$AA,21,0)-'TRADE IN'!$F49=0,"",(VLOOKUP($C49,REV!$C:$AA,21,0)-'TRADE IN'!$F49))</f>
        <v>6499</v>
      </c>
      <c r="X49" s="46">
        <f>IF(VLOOKUP($C49,REV!$C:$AA,22,0)-'TRADE IN'!$F49=0,"",(VLOOKUP($C49,REV!$C:$AA,22,0)-'TRADE IN'!$F49))</f>
        <v>6399</v>
      </c>
      <c r="Y49" s="46">
        <f>IF(VLOOKUP($C49,REV!$C:$AA,23,0)-'TRADE IN'!$F49=0,"",(VLOOKUP($C49,REV!$C:$AA,23,0)-'TRADE IN'!$F49))</f>
        <v>5999</v>
      </c>
      <c r="Z49" s="46">
        <f>IF(VLOOKUP($C49,REV!$C:$AA,24,0)-'TRADE IN'!$F49=0,"",(VLOOKUP($C49,REV!$C:$AA,24,0)-'TRADE IN'!$F49))</f>
        <v>5999</v>
      </c>
      <c r="AA49" s="46">
        <f>IF(VLOOKUP($C49,REV!$C:$AA,25,0)-'TRADE IN'!$F49=0,"",(VLOOKUP($C49,REV!$C:$AA,25,0)-'TRADE IN'!$F49))</f>
        <v>5999</v>
      </c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7"/>
      <c r="AW49" s="48" t="str">
        <f>REV!AW49</f>
        <v>01.12.2026</v>
      </c>
      <c r="AX49" s="153" t="str">
        <f>VLOOKUP(C49,REV!C:AX,48,0)</f>
        <v>5G</v>
      </c>
    </row>
    <row r="50" spans="1:50" ht="22.5" customHeight="1">
      <c r="A50" s="41" t="s">
        <v>63</v>
      </c>
      <c r="B50" s="42" t="s">
        <v>64</v>
      </c>
      <c r="C50" s="43">
        <v>4015797</v>
      </c>
      <c r="D50" s="44" t="s">
        <v>117</v>
      </c>
      <c r="E50" s="44" t="s">
        <v>119</v>
      </c>
      <c r="F50" s="45"/>
      <c r="G50" s="45"/>
      <c r="H50" s="46"/>
      <c r="I50" s="46"/>
      <c r="J50" s="46">
        <f>IF(VLOOKUP($C50,REV!$C:$AA,8,0)-'TRADE IN'!$F50=0,"",(VLOOKUP($C50,REV!$C:$AA,8,0)-'TRADE IN'!$F50))</f>
        <v>6899</v>
      </c>
      <c r="K50" s="46">
        <f>IF(VLOOKUP($C50,REV!$C:$AA,9,0)-'TRADE IN'!$F50=0,"",(VLOOKUP($C50,REV!$C:$AA,9,0)-'TRADE IN'!$F50))</f>
        <v>6899</v>
      </c>
      <c r="L50" s="46">
        <f>IF(VLOOKUP($C50,REV!$C:$AA,10,0)-'TRADE IN'!$F50=0,"",(VLOOKUP($C50,REV!$C:$AA,10,0)-'TRADE IN'!$F50))</f>
        <v>6899</v>
      </c>
      <c r="M50" s="46">
        <f>IF(VLOOKUP($C50,REV!$C:$AA,11,0)-'TRADE IN'!$F50=0,"",(VLOOKUP($C50,REV!$C:$AA,11,0)-'TRADE IN'!$F50))</f>
        <v>6899</v>
      </c>
      <c r="N50" s="46">
        <f>IF(VLOOKUP($C50,REV!$C:$AA,12,0)-'TRADE IN'!$F50=0,"",(VLOOKUP($C50,REV!$C:$AA,12,0)-'TRADE IN'!$F50))</f>
        <v>6899</v>
      </c>
      <c r="O50" s="46">
        <f>IF(VLOOKUP($C50,REV!$C:$AA,13,0)-'TRADE IN'!$F50=0,"",(VLOOKUP($C50,REV!$C:$AA,13,0)-'TRADE IN'!$F50))</f>
        <v>6799</v>
      </c>
      <c r="P50" s="46">
        <f>IF(VLOOKUP($C50,REV!$C:$AA,14,0)-'TRADE IN'!$F50=0,"",(VLOOKUP($C50,REV!$C:$AA,14,0)-'TRADE IN'!$F50))</f>
        <v>6699</v>
      </c>
      <c r="Q50" s="46">
        <f>IF(VLOOKUP($C50,REV!$C:$AA,15,0)-'TRADE IN'!$F50=0,"",(VLOOKUP($C50,REV!$C:$AA,15,0)-'TRADE IN'!$F50))</f>
        <v>6499</v>
      </c>
      <c r="R50" s="46">
        <f>IF(VLOOKUP($C50,REV!$C:$AA,16,0)-'TRADE IN'!$F50=0,"",(VLOOKUP($C50,REV!$C:$AA,16,0)-'TRADE IN'!$F50))</f>
        <v>6799</v>
      </c>
      <c r="S50" s="46">
        <f>IF(VLOOKUP($C50,REV!$C:$AA,17,0)-'TRADE IN'!$F50=0,"",(VLOOKUP($C50,REV!$C:$AA,17,0)-'TRADE IN'!$F50))</f>
        <v>6699</v>
      </c>
      <c r="T50" s="46">
        <f>IF(VLOOKUP($C50,REV!$C:$AA,18,0)-'TRADE IN'!$F50=0,"",(VLOOKUP($C50,REV!$C:$AA,18,0)-'TRADE IN'!$F50))</f>
        <v>6499</v>
      </c>
      <c r="U50" s="46">
        <f>IF(VLOOKUP($C50,REV!$C:$AA,19,0)-'TRADE IN'!$F50=0,"",(VLOOKUP($C50,REV!$C:$AA,19,0)-'TRADE IN'!$F50))</f>
        <v>6499</v>
      </c>
      <c r="V50" s="46">
        <f>IF(VLOOKUP($C50,REV!$C:$AA,20,0)-'TRADE IN'!$F50=0,"",(VLOOKUP($C50,REV!$C:$AA,20,0)-'TRADE IN'!$F50))</f>
        <v>6499</v>
      </c>
      <c r="W50" s="46">
        <f>IF(VLOOKUP($C50,REV!$C:$AA,21,0)-'TRADE IN'!$F50=0,"",(VLOOKUP($C50,REV!$C:$AA,21,0)-'TRADE IN'!$F50))</f>
        <v>6499</v>
      </c>
      <c r="X50" s="46">
        <f>IF(VLOOKUP($C50,REV!$C:$AA,22,0)-'TRADE IN'!$F50=0,"",(VLOOKUP($C50,REV!$C:$AA,22,0)-'TRADE IN'!$F50))</f>
        <v>6399</v>
      </c>
      <c r="Y50" s="46">
        <f>IF(VLOOKUP($C50,REV!$C:$AA,23,0)-'TRADE IN'!$F50=0,"",(VLOOKUP($C50,REV!$C:$AA,23,0)-'TRADE IN'!$F50))</f>
        <v>5999</v>
      </c>
      <c r="Z50" s="46">
        <f>IF(VLOOKUP($C50,REV!$C:$AA,24,0)-'TRADE IN'!$F50=0,"",(VLOOKUP($C50,REV!$C:$AA,24,0)-'TRADE IN'!$F50))</f>
        <v>5999</v>
      </c>
      <c r="AA50" s="46">
        <f>IF(VLOOKUP($C50,REV!$C:$AA,25,0)-'TRADE IN'!$F50=0,"",(VLOOKUP($C50,REV!$C:$AA,25,0)-'TRADE IN'!$F50))</f>
        <v>5999</v>
      </c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7"/>
      <c r="AW50" s="48" t="str">
        <f>REV!AW50</f>
        <v>01.12.2026</v>
      </c>
      <c r="AX50" s="153" t="str">
        <f>VLOOKUP(C50,REV!C:AX,48,0)</f>
        <v>5G</v>
      </c>
    </row>
    <row r="51" spans="1:50" ht="22.5" customHeight="1">
      <c r="A51" s="41" t="s">
        <v>63</v>
      </c>
      <c r="B51" s="42" t="s">
        <v>64</v>
      </c>
      <c r="C51" s="43">
        <v>4015769</v>
      </c>
      <c r="D51" s="44" t="s">
        <v>117</v>
      </c>
      <c r="E51" s="44" t="s">
        <v>120</v>
      </c>
      <c r="F51" s="45"/>
      <c r="G51" s="45"/>
      <c r="H51" s="46"/>
      <c r="I51" s="46"/>
      <c r="J51" s="46">
        <f>IF(VLOOKUP($C51,REV!$C:$AA,8,0)-'TRADE IN'!$F51=0,"",(VLOOKUP($C51,REV!$C:$AA,8,0)-'TRADE IN'!$F51))</f>
        <v>6899</v>
      </c>
      <c r="K51" s="46">
        <f>IF(VLOOKUP($C51,REV!$C:$AA,9,0)-'TRADE IN'!$F51=0,"",(VLOOKUP($C51,REV!$C:$AA,9,0)-'TRADE IN'!$F51))</f>
        <v>6899</v>
      </c>
      <c r="L51" s="46">
        <f>IF(VLOOKUP($C51,REV!$C:$AA,10,0)-'TRADE IN'!$F51=0,"",(VLOOKUP($C51,REV!$C:$AA,10,0)-'TRADE IN'!$F51))</f>
        <v>6899</v>
      </c>
      <c r="M51" s="46">
        <f>IF(VLOOKUP($C51,REV!$C:$AA,11,0)-'TRADE IN'!$F51=0,"",(VLOOKUP($C51,REV!$C:$AA,11,0)-'TRADE IN'!$F51))</f>
        <v>6899</v>
      </c>
      <c r="N51" s="46">
        <f>IF(VLOOKUP($C51,REV!$C:$AA,12,0)-'TRADE IN'!$F51=0,"",(VLOOKUP($C51,REV!$C:$AA,12,0)-'TRADE IN'!$F51))</f>
        <v>6899</v>
      </c>
      <c r="O51" s="46">
        <f>IF(VLOOKUP($C51,REV!$C:$AA,13,0)-'TRADE IN'!$F51=0,"",(VLOOKUP($C51,REV!$C:$AA,13,0)-'TRADE IN'!$F51))</f>
        <v>6799</v>
      </c>
      <c r="P51" s="46">
        <f>IF(VLOOKUP($C51,REV!$C:$AA,14,0)-'TRADE IN'!$F51=0,"",(VLOOKUP($C51,REV!$C:$AA,14,0)-'TRADE IN'!$F51))</f>
        <v>6699</v>
      </c>
      <c r="Q51" s="46">
        <f>IF(VLOOKUP($C51,REV!$C:$AA,15,0)-'TRADE IN'!$F51=0,"",(VLOOKUP($C51,REV!$C:$AA,15,0)-'TRADE IN'!$F51))</f>
        <v>6499</v>
      </c>
      <c r="R51" s="46">
        <f>IF(VLOOKUP($C51,REV!$C:$AA,16,0)-'TRADE IN'!$F51=0,"",(VLOOKUP($C51,REV!$C:$AA,16,0)-'TRADE IN'!$F51))</f>
        <v>6799</v>
      </c>
      <c r="S51" s="46">
        <f>IF(VLOOKUP($C51,REV!$C:$AA,17,0)-'TRADE IN'!$F51=0,"",(VLOOKUP($C51,REV!$C:$AA,17,0)-'TRADE IN'!$F51))</f>
        <v>6699</v>
      </c>
      <c r="T51" s="46">
        <f>IF(VLOOKUP($C51,REV!$C:$AA,18,0)-'TRADE IN'!$F51=0,"",(VLOOKUP($C51,REV!$C:$AA,18,0)-'TRADE IN'!$F51))</f>
        <v>6499</v>
      </c>
      <c r="U51" s="46">
        <f>IF(VLOOKUP($C51,REV!$C:$AA,19,0)-'TRADE IN'!$F51=0,"",(VLOOKUP($C51,REV!$C:$AA,19,0)-'TRADE IN'!$F51))</f>
        <v>6499</v>
      </c>
      <c r="V51" s="46">
        <f>IF(VLOOKUP($C51,REV!$C:$AA,20,0)-'TRADE IN'!$F51=0,"",(VLOOKUP($C51,REV!$C:$AA,20,0)-'TRADE IN'!$F51))</f>
        <v>6499</v>
      </c>
      <c r="W51" s="46">
        <f>IF(VLOOKUP($C51,REV!$C:$AA,21,0)-'TRADE IN'!$F51=0,"",(VLOOKUP($C51,REV!$C:$AA,21,0)-'TRADE IN'!$F51))</f>
        <v>6499</v>
      </c>
      <c r="X51" s="46">
        <f>IF(VLOOKUP($C51,REV!$C:$AA,22,0)-'TRADE IN'!$F51=0,"",(VLOOKUP($C51,REV!$C:$AA,22,0)-'TRADE IN'!$F51))</f>
        <v>6399</v>
      </c>
      <c r="Y51" s="46">
        <f>IF(VLOOKUP($C51,REV!$C:$AA,23,0)-'TRADE IN'!$F51=0,"",(VLOOKUP($C51,REV!$C:$AA,23,0)-'TRADE IN'!$F51))</f>
        <v>5999</v>
      </c>
      <c r="Z51" s="46">
        <f>IF(VLOOKUP($C51,REV!$C:$AA,24,0)-'TRADE IN'!$F51=0,"",(VLOOKUP($C51,REV!$C:$AA,24,0)-'TRADE IN'!$F51))</f>
        <v>5999</v>
      </c>
      <c r="AA51" s="46">
        <f>IF(VLOOKUP($C51,REV!$C:$AA,25,0)-'TRADE IN'!$F51=0,"",(VLOOKUP($C51,REV!$C:$AA,25,0)-'TRADE IN'!$F51))</f>
        <v>5999</v>
      </c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7"/>
      <c r="AW51" s="48" t="str">
        <f>REV!AW51</f>
        <v>01.12.2026</v>
      </c>
      <c r="AX51" s="153" t="str">
        <f>VLOOKUP(C51,REV!C:AX,48,0)</f>
        <v>5G</v>
      </c>
    </row>
    <row r="52" spans="1:50" ht="22.5" customHeight="1">
      <c r="A52" s="41" t="s">
        <v>63</v>
      </c>
      <c r="B52" s="42" t="s">
        <v>64</v>
      </c>
      <c r="C52" s="43">
        <v>4015784</v>
      </c>
      <c r="D52" s="44" t="s">
        <v>117</v>
      </c>
      <c r="E52" s="44" t="s">
        <v>121</v>
      </c>
      <c r="F52" s="45"/>
      <c r="G52" s="45"/>
      <c r="H52" s="46"/>
      <c r="I52" s="46"/>
      <c r="J52" s="46">
        <f>IF(VLOOKUP($C52,REV!$C:$AA,8,0)-'TRADE IN'!$F52=0,"",(VLOOKUP($C52,REV!$C:$AA,8,0)-'TRADE IN'!$F52))</f>
        <v>6899</v>
      </c>
      <c r="K52" s="46">
        <f>IF(VLOOKUP($C52,REV!$C:$AA,9,0)-'TRADE IN'!$F52=0,"",(VLOOKUP($C52,REV!$C:$AA,9,0)-'TRADE IN'!$F52))</f>
        <v>6899</v>
      </c>
      <c r="L52" s="46">
        <f>IF(VLOOKUP($C52,REV!$C:$AA,10,0)-'TRADE IN'!$F52=0,"",(VLOOKUP($C52,REV!$C:$AA,10,0)-'TRADE IN'!$F52))</f>
        <v>6899</v>
      </c>
      <c r="M52" s="46">
        <f>IF(VLOOKUP($C52,REV!$C:$AA,11,0)-'TRADE IN'!$F52=0,"",(VLOOKUP($C52,REV!$C:$AA,11,0)-'TRADE IN'!$F52))</f>
        <v>6899</v>
      </c>
      <c r="N52" s="46">
        <f>IF(VLOOKUP($C52,REV!$C:$AA,12,0)-'TRADE IN'!$F52=0,"",(VLOOKUP($C52,REV!$C:$AA,12,0)-'TRADE IN'!$F52))</f>
        <v>6899</v>
      </c>
      <c r="O52" s="46">
        <f>IF(VLOOKUP($C52,REV!$C:$AA,13,0)-'TRADE IN'!$F52=0,"",(VLOOKUP($C52,REV!$C:$AA,13,0)-'TRADE IN'!$F52))</f>
        <v>6799</v>
      </c>
      <c r="P52" s="46">
        <f>IF(VLOOKUP($C52,REV!$C:$AA,14,0)-'TRADE IN'!$F52=0,"",(VLOOKUP($C52,REV!$C:$AA,14,0)-'TRADE IN'!$F52))</f>
        <v>6699</v>
      </c>
      <c r="Q52" s="46">
        <f>IF(VLOOKUP($C52,REV!$C:$AA,15,0)-'TRADE IN'!$F52=0,"",(VLOOKUP($C52,REV!$C:$AA,15,0)-'TRADE IN'!$F52))</f>
        <v>6499</v>
      </c>
      <c r="R52" s="46">
        <f>IF(VLOOKUP($C52,REV!$C:$AA,16,0)-'TRADE IN'!$F52=0,"",(VLOOKUP($C52,REV!$C:$AA,16,0)-'TRADE IN'!$F52))</f>
        <v>6799</v>
      </c>
      <c r="S52" s="46">
        <f>IF(VLOOKUP($C52,REV!$C:$AA,17,0)-'TRADE IN'!$F52=0,"",(VLOOKUP($C52,REV!$C:$AA,17,0)-'TRADE IN'!$F52))</f>
        <v>6699</v>
      </c>
      <c r="T52" s="46">
        <f>IF(VLOOKUP($C52,REV!$C:$AA,18,0)-'TRADE IN'!$F52=0,"",(VLOOKUP($C52,REV!$C:$AA,18,0)-'TRADE IN'!$F52))</f>
        <v>6499</v>
      </c>
      <c r="U52" s="46">
        <f>IF(VLOOKUP($C52,REV!$C:$AA,19,0)-'TRADE IN'!$F52=0,"",(VLOOKUP($C52,REV!$C:$AA,19,0)-'TRADE IN'!$F52))</f>
        <v>6499</v>
      </c>
      <c r="V52" s="46">
        <f>IF(VLOOKUP($C52,REV!$C:$AA,20,0)-'TRADE IN'!$F52=0,"",(VLOOKUP($C52,REV!$C:$AA,20,0)-'TRADE IN'!$F52))</f>
        <v>6499</v>
      </c>
      <c r="W52" s="46">
        <f>IF(VLOOKUP($C52,REV!$C:$AA,21,0)-'TRADE IN'!$F52=0,"",(VLOOKUP($C52,REV!$C:$AA,21,0)-'TRADE IN'!$F52))</f>
        <v>6499</v>
      </c>
      <c r="X52" s="46">
        <f>IF(VLOOKUP($C52,REV!$C:$AA,22,0)-'TRADE IN'!$F52=0,"",(VLOOKUP($C52,REV!$C:$AA,22,0)-'TRADE IN'!$F52))</f>
        <v>6399</v>
      </c>
      <c r="Y52" s="46">
        <f>IF(VLOOKUP($C52,REV!$C:$AA,23,0)-'TRADE IN'!$F52=0,"",(VLOOKUP($C52,REV!$C:$AA,23,0)-'TRADE IN'!$F52))</f>
        <v>5999</v>
      </c>
      <c r="Z52" s="46">
        <f>IF(VLOOKUP($C52,REV!$C:$AA,24,0)-'TRADE IN'!$F52=0,"",(VLOOKUP($C52,REV!$C:$AA,24,0)-'TRADE IN'!$F52))</f>
        <v>5999</v>
      </c>
      <c r="AA52" s="46">
        <f>IF(VLOOKUP($C52,REV!$C:$AA,25,0)-'TRADE IN'!$F52=0,"",(VLOOKUP($C52,REV!$C:$AA,25,0)-'TRADE IN'!$F52))</f>
        <v>5999</v>
      </c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7"/>
      <c r="AW52" s="48" t="str">
        <f>REV!AW52</f>
        <v>01.12.2026</v>
      </c>
      <c r="AX52" s="153" t="str">
        <f>VLOOKUP(C52,REV!C:AX,48,0)</f>
        <v>5G</v>
      </c>
    </row>
    <row r="53" spans="1:50" ht="22.5" customHeight="1">
      <c r="A53" s="41" t="s">
        <v>63</v>
      </c>
      <c r="B53" s="42" t="s">
        <v>64</v>
      </c>
      <c r="C53" s="43">
        <v>4015762</v>
      </c>
      <c r="D53" s="44" t="s">
        <v>122</v>
      </c>
      <c r="E53" s="44" t="s">
        <v>123</v>
      </c>
      <c r="F53" s="45"/>
      <c r="G53" s="45"/>
      <c r="H53" s="46"/>
      <c r="I53" s="46"/>
      <c r="J53" s="46">
        <f>IF(VLOOKUP($C53,REV!$C:$AA,8,0)-'TRADE IN'!$F53=0,"",(VLOOKUP($C53,REV!$C:$AA,8,0)-'TRADE IN'!$F53))</f>
        <v>7399</v>
      </c>
      <c r="K53" s="46">
        <f>IF(VLOOKUP($C53,REV!$C:$AA,9,0)-'TRADE IN'!$F53=0,"",(VLOOKUP($C53,REV!$C:$AA,9,0)-'TRADE IN'!$F53))</f>
        <v>7399</v>
      </c>
      <c r="L53" s="46">
        <f>IF(VLOOKUP($C53,REV!$C:$AA,10,0)-'TRADE IN'!$F53=0,"",(VLOOKUP($C53,REV!$C:$AA,10,0)-'TRADE IN'!$F53))</f>
        <v>7399</v>
      </c>
      <c r="M53" s="46">
        <f>IF(VLOOKUP($C53,REV!$C:$AA,11,0)-'TRADE IN'!$F53=0,"",(VLOOKUP($C53,REV!$C:$AA,11,0)-'TRADE IN'!$F53))</f>
        <v>7399</v>
      </c>
      <c r="N53" s="46">
        <f>IF(VLOOKUP($C53,REV!$C:$AA,12,0)-'TRADE IN'!$F53=0,"",(VLOOKUP($C53,REV!$C:$AA,12,0)-'TRADE IN'!$F53))</f>
        <v>7399</v>
      </c>
      <c r="O53" s="46">
        <f>IF(VLOOKUP($C53,REV!$C:$AA,13,0)-'TRADE IN'!$F53=0,"",(VLOOKUP($C53,REV!$C:$AA,13,0)-'TRADE IN'!$F53))</f>
        <v>7299</v>
      </c>
      <c r="P53" s="46">
        <f>IF(VLOOKUP($C53,REV!$C:$AA,14,0)-'TRADE IN'!$F53=0,"",(VLOOKUP($C53,REV!$C:$AA,14,0)-'TRADE IN'!$F53))</f>
        <v>7199</v>
      </c>
      <c r="Q53" s="46">
        <f>IF(VLOOKUP($C53,REV!$C:$AA,15,0)-'TRADE IN'!$F53=0,"",(VLOOKUP($C53,REV!$C:$AA,15,0)-'TRADE IN'!$F53))</f>
        <v>6999</v>
      </c>
      <c r="R53" s="46">
        <f>IF(VLOOKUP($C53,REV!$C:$AA,16,0)-'TRADE IN'!$F53=0,"",(VLOOKUP($C53,REV!$C:$AA,16,0)-'TRADE IN'!$F53))</f>
        <v>7299</v>
      </c>
      <c r="S53" s="46">
        <f>IF(VLOOKUP($C53,REV!$C:$AA,17,0)-'TRADE IN'!$F53=0,"",(VLOOKUP($C53,REV!$C:$AA,17,0)-'TRADE IN'!$F53))</f>
        <v>7199</v>
      </c>
      <c r="T53" s="46">
        <f>IF(VLOOKUP($C53,REV!$C:$AA,18,0)-'TRADE IN'!$F53=0,"",(VLOOKUP($C53,REV!$C:$AA,18,0)-'TRADE IN'!$F53))</f>
        <v>6999</v>
      </c>
      <c r="U53" s="46">
        <f>IF(VLOOKUP($C53,REV!$C:$AA,19,0)-'TRADE IN'!$F53=0,"",(VLOOKUP($C53,REV!$C:$AA,19,0)-'TRADE IN'!$F53))</f>
        <v>6999</v>
      </c>
      <c r="V53" s="46">
        <f>IF(VLOOKUP($C53,REV!$C:$AA,20,0)-'TRADE IN'!$F53=0,"",(VLOOKUP($C53,REV!$C:$AA,20,0)-'TRADE IN'!$F53))</f>
        <v>6999</v>
      </c>
      <c r="W53" s="46">
        <f>IF(VLOOKUP($C53,REV!$C:$AA,21,0)-'TRADE IN'!$F53=0,"",(VLOOKUP($C53,REV!$C:$AA,21,0)-'TRADE IN'!$F53))</f>
        <v>6999</v>
      </c>
      <c r="X53" s="46">
        <f>IF(VLOOKUP($C53,REV!$C:$AA,22,0)-'TRADE IN'!$F53=0,"",(VLOOKUP($C53,REV!$C:$AA,22,0)-'TRADE IN'!$F53))</f>
        <v>6899</v>
      </c>
      <c r="Y53" s="46">
        <f>IF(VLOOKUP($C53,REV!$C:$AA,23,0)-'TRADE IN'!$F53=0,"",(VLOOKUP($C53,REV!$C:$AA,23,0)-'TRADE IN'!$F53))</f>
        <v>6499</v>
      </c>
      <c r="Z53" s="46">
        <f>IF(VLOOKUP($C53,REV!$C:$AA,24,0)-'TRADE IN'!$F53=0,"",(VLOOKUP($C53,REV!$C:$AA,24,0)-'TRADE IN'!$F53))</f>
        <v>6499</v>
      </c>
      <c r="AA53" s="46">
        <f>IF(VLOOKUP($C53,REV!$C:$AA,25,0)-'TRADE IN'!$F53=0,"",(VLOOKUP($C53,REV!$C:$AA,25,0)-'TRADE IN'!$F53))</f>
        <v>6499</v>
      </c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7"/>
      <c r="AW53" s="48" t="str">
        <f>REV!AW53</f>
        <v>01.12.2026</v>
      </c>
      <c r="AX53" s="153" t="str">
        <f>VLOOKUP(C53,REV!C:AX,48,0)</f>
        <v>5G</v>
      </c>
    </row>
    <row r="54" spans="1:50" ht="22.5" customHeight="1">
      <c r="A54" s="41" t="s">
        <v>63</v>
      </c>
      <c r="B54" s="42" t="s">
        <v>64</v>
      </c>
      <c r="C54" s="43">
        <v>4015774</v>
      </c>
      <c r="D54" s="44" t="s">
        <v>122</v>
      </c>
      <c r="E54" s="44" t="s">
        <v>124</v>
      </c>
      <c r="F54" s="45"/>
      <c r="G54" s="45"/>
      <c r="H54" s="46"/>
      <c r="I54" s="46"/>
      <c r="J54" s="46">
        <f>IF(VLOOKUP($C54,REV!$C:$AA,8,0)-'TRADE IN'!$F54=0,"",(VLOOKUP($C54,REV!$C:$AA,8,0)-'TRADE IN'!$F54))</f>
        <v>7399</v>
      </c>
      <c r="K54" s="46">
        <f>IF(VLOOKUP($C54,REV!$C:$AA,9,0)-'TRADE IN'!$F54=0,"",(VLOOKUP($C54,REV!$C:$AA,9,0)-'TRADE IN'!$F54))</f>
        <v>7399</v>
      </c>
      <c r="L54" s="46">
        <f>IF(VLOOKUP($C54,REV!$C:$AA,10,0)-'TRADE IN'!$F54=0,"",(VLOOKUP($C54,REV!$C:$AA,10,0)-'TRADE IN'!$F54))</f>
        <v>7399</v>
      </c>
      <c r="M54" s="46">
        <f>IF(VLOOKUP($C54,REV!$C:$AA,11,0)-'TRADE IN'!$F54=0,"",(VLOOKUP($C54,REV!$C:$AA,11,0)-'TRADE IN'!$F54))</f>
        <v>7399</v>
      </c>
      <c r="N54" s="46">
        <f>IF(VLOOKUP($C54,REV!$C:$AA,12,0)-'TRADE IN'!$F54=0,"",(VLOOKUP($C54,REV!$C:$AA,12,0)-'TRADE IN'!$F54))</f>
        <v>7399</v>
      </c>
      <c r="O54" s="46">
        <f>IF(VLOOKUP($C54,REV!$C:$AA,13,0)-'TRADE IN'!$F54=0,"",(VLOOKUP($C54,REV!$C:$AA,13,0)-'TRADE IN'!$F54))</f>
        <v>7299</v>
      </c>
      <c r="P54" s="46">
        <f>IF(VLOOKUP($C54,REV!$C:$AA,14,0)-'TRADE IN'!$F54=0,"",(VLOOKUP($C54,REV!$C:$AA,14,0)-'TRADE IN'!$F54))</f>
        <v>7199</v>
      </c>
      <c r="Q54" s="46">
        <f>IF(VLOOKUP($C54,REV!$C:$AA,15,0)-'TRADE IN'!$F54=0,"",(VLOOKUP($C54,REV!$C:$AA,15,0)-'TRADE IN'!$F54))</f>
        <v>6999</v>
      </c>
      <c r="R54" s="46">
        <f>IF(VLOOKUP($C54,REV!$C:$AA,16,0)-'TRADE IN'!$F54=0,"",(VLOOKUP($C54,REV!$C:$AA,16,0)-'TRADE IN'!$F54))</f>
        <v>7299</v>
      </c>
      <c r="S54" s="46">
        <f>IF(VLOOKUP($C54,REV!$C:$AA,17,0)-'TRADE IN'!$F54=0,"",(VLOOKUP($C54,REV!$C:$AA,17,0)-'TRADE IN'!$F54))</f>
        <v>7199</v>
      </c>
      <c r="T54" s="46">
        <f>IF(VLOOKUP($C54,REV!$C:$AA,18,0)-'TRADE IN'!$F54=0,"",(VLOOKUP($C54,REV!$C:$AA,18,0)-'TRADE IN'!$F54))</f>
        <v>6999</v>
      </c>
      <c r="U54" s="46">
        <f>IF(VLOOKUP($C54,REV!$C:$AA,19,0)-'TRADE IN'!$F54=0,"",(VLOOKUP($C54,REV!$C:$AA,19,0)-'TRADE IN'!$F54))</f>
        <v>6999</v>
      </c>
      <c r="V54" s="46">
        <f>IF(VLOOKUP($C54,REV!$C:$AA,20,0)-'TRADE IN'!$F54=0,"",(VLOOKUP($C54,REV!$C:$AA,20,0)-'TRADE IN'!$F54))</f>
        <v>6999</v>
      </c>
      <c r="W54" s="46">
        <f>IF(VLOOKUP($C54,REV!$C:$AA,21,0)-'TRADE IN'!$F54=0,"",(VLOOKUP($C54,REV!$C:$AA,21,0)-'TRADE IN'!$F54))</f>
        <v>6999</v>
      </c>
      <c r="X54" s="46">
        <f>IF(VLOOKUP($C54,REV!$C:$AA,22,0)-'TRADE IN'!$F54=0,"",(VLOOKUP($C54,REV!$C:$AA,22,0)-'TRADE IN'!$F54))</f>
        <v>6899</v>
      </c>
      <c r="Y54" s="46">
        <f>IF(VLOOKUP($C54,REV!$C:$AA,23,0)-'TRADE IN'!$F54=0,"",(VLOOKUP($C54,REV!$C:$AA,23,0)-'TRADE IN'!$F54))</f>
        <v>6499</v>
      </c>
      <c r="Z54" s="46">
        <f>IF(VLOOKUP($C54,REV!$C:$AA,24,0)-'TRADE IN'!$F54=0,"",(VLOOKUP($C54,REV!$C:$AA,24,0)-'TRADE IN'!$F54))</f>
        <v>6499</v>
      </c>
      <c r="AA54" s="46">
        <f>IF(VLOOKUP($C54,REV!$C:$AA,25,0)-'TRADE IN'!$F54=0,"",(VLOOKUP($C54,REV!$C:$AA,25,0)-'TRADE IN'!$F54))</f>
        <v>6499</v>
      </c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7"/>
      <c r="AW54" s="48" t="str">
        <f>REV!AW54</f>
        <v>01.12.2026</v>
      </c>
      <c r="AX54" s="153" t="str">
        <f>VLOOKUP(C54,REV!C:AX,48,0)</f>
        <v>5G</v>
      </c>
    </row>
    <row r="55" spans="1:50" ht="22.5" customHeight="1">
      <c r="A55" s="41" t="s">
        <v>63</v>
      </c>
      <c r="B55" s="42" t="s">
        <v>64</v>
      </c>
      <c r="C55" s="43">
        <v>4015788</v>
      </c>
      <c r="D55" s="44" t="s">
        <v>122</v>
      </c>
      <c r="E55" s="44" t="s">
        <v>125</v>
      </c>
      <c r="F55" s="45"/>
      <c r="G55" s="45"/>
      <c r="H55" s="46"/>
      <c r="I55" s="46"/>
      <c r="J55" s="46">
        <f>IF(VLOOKUP($C55,REV!$C:$AA,8,0)-'TRADE IN'!$F55=0,"",(VLOOKUP($C55,REV!$C:$AA,8,0)-'TRADE IN'!$F55))</f>
        <v>7399</v>
      </c>
      <c r="K55" s="46">
        <f>IF(VLOOKUP($C55,REV!$C:$AA,9,0)-'TRADE IN'!$F55=0,"",(VLOOKUP($C55,REV!$C:$AA,9,0)-'TRADE IN'!$F55))</f>
        <v>7399</v>
      </c>
      <c r="L55" s="46">
        <f>IF(VLOOKUP($C55,REV!$C:$AA,10,0)-'TRADE IN'!$F55=0,"",(VLOOKUP($C55,REV!$C:$AA,10,0)-'TRADE IN'!$F55))</f>
        <v>7399</v>
      </c>
      <c r="M55" s="46">
        <f>IF(VLOOKUP($C55,REV!$C:$AA,11,0)-'TRADE IN'!$F55=0,"",(VLOOKUP($C55,REV!$C:$AA,11,0)-'TRADE IN'!$F55))</f>
        <v>7399</v>
      </c>
      <c r="N55" s="46">
        <f>IF(VLOOKUP($C55,REV!$C:$AA,12,0)-'TRADE IN'!$F55=0,"",(VLOOKUP($C55,REV!$C:$AA,12,0)-'TRADE IN'!$F55))</f>
        <v>7399</v>
      </c>
      <c r="O55" s="46">
        <f>IF(VLOOKUP($C55,REV!$C:$AA,13,0)-'TRADE IN'!$F55=0,"",(VLOOKUP($C55,REV!$C:$AA,13,0)-'TRADE IN'!$F55))</f>
        <v>7299</v>
      </c>
      <c r="P55" s="46">
        <f>IF(VLOOKUP($C55,REV!$C:$AA,14,0)-'TRADE IN'!$F55=0,"",(VLOOKUP($C55,REV!$C:$AA,14,0)-'TRADE IN'!$F55))</f>
        <v>7199</v>
      </c>
      <c r="Q55" s="46">
        <f>IF(VLOOKUP($C55,REV!$C:$AA,15,0)-'TRADE IN'!$F55=0,"",(VLOOKUP($C55,REV!$C:$AA,15,0)-'TRADE IN'!$F55))</f>
        <v>6999</v>
      </c>
      <c r="R55" s="46">
        <f>IF(VLOOKUP($C55,REV!$C:$AA,16,0)-'TRADE IN'!$F55=0,"",(VLOOKUP($C55,REV!$C:$AA,16,0)-'TRADE IN'!$F55))</f>
        <v>7299</v>
      </c>
      <c r="S55" s="46">
        <f>IF(VLOOKUP($C55,REV!$C:$AA,17,0)-'TRADE IN'!$F55=0,"",(VLOOKUP($C55,REV!$C:$AA,17,0)-'TRADE IN'!$F55))</f>
        <v>7199</v>
      </c>
      <c r="T55" s="46">
        <f>IF(VLOOKUP($C55,REV!$C:$AA,18,0)-'TRADE IN'!$F55=0,"",(VLOOKUP($C55,REV!$C:$AA,18,0)-'TRADE IN'!$F55))</f>
        <v>6999</v>
      </c>
      <c r="U55" s="46">
        <f>IF(VLOOKUP($C55,REV!$C:$AA,19,0)-'TRADE IN'!$F55=0,"",(VLOOKUP($C55,REV!$C:$AA,19,0)-'TRADE IN'!$F55))</f>
        <v>6999</v>
      </c>
      <c r="V55" s="46">
        <f>IF(VLOOKUP($C55,REV!$C:$AA,20,0)-'TRADE IN'!$F55=0,"",(VLOOKUP($C55,REV!$C:$AA,20,0)-'TRADE IN'!$F55))</f>
        <v>6999</v>
      </c>
      <c r="W55" s="46">
        <f>IF(VLOOKUP($C55,REV!$C:$AA,21,0)-'TRADE IN'!$F55=0,"",(VLOOKUP($C55,REV!$C:$AA,21,0)-'TRADE IN'!$F55))</f>
        <v>6999</v>
      </c>
      <c r="X55" s="46">
        <f>IF(VLOOKUP($C55,REV!$C:$AA,22,0)-'TRADE IN'!$F55=0,"",(VLOOKUP($C55,REV!$C:$AA,22,0)-'TRADE IN'!$F55))</f>
        <v>6899</v>
      </c>
      <c r="Y55" s="46">
        <f>IF(VLOOKUP($C55,REV!$C:$AA,23,0)-'TRADE IN'!$F55=0,"",(VLOOKUP($C55,REV!$C:$AA,23,0)-'TRADE IN'!$F55))</f>
        <v>6499</v>
      </c>
      <c r="Z55" s="46">
        <f>IF(VLOOKUP($C55,REV!$C:$AA,24,0)-'TRADE IN'!$F55=0,"",(VLOOKUP($C55,REV!$C:$AA,24,0)-'TRADE IN'!$F55))</f>
        <v>6499</v>
      </c>
      <c r="AA55" s="46">
        <f>IF(VLOOKUP($C55,REV!$C:$AA,25,0)-'TRADE IN'!$F55=0,"",(VLOOKUP($C55,REV!$C:$AA,25,0)-'TRADE IN'!$F55))</f>
        <v>6499</v>
      </c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7"/>
      <c r="AW55" s="48" t="str">
        <f>REV!AW55</f>
        <v>01.12.2026</v>
      </c>
      <c r="AX55" s="153" t="str">
        <f>VLOOKUP(C55,REV!C:AX,48,0)</f>
        <v>5G</v>
      </c>
    </row>
    <row r="56" spans="1:50" ht="22.5" customHeight="1">
      <c r="A56" s="41" t="s">
        <v>63</v>
      </c>
      <c r="B56" s="42" t="s">
        <v>64</v>
      </c>
      <c r="C56" s="43">
        <v>4015763</v>
      </c>
      <c r="D56" s="44" t="s">
        <v>126</v>
      </c>
      <c r="E56" s="44" t="s">
        <v>127</v>
      </c>
      <c r="F56" s="45"/>
      <c r="G56" s="45"/>
      <c r="H56" s="46"/>
      <c r="I56" s="46"/>
      <c r="J56" s="46">
        <f>IF(VLOOKUP($C56,REV!$C:$AA,8,0)-'TRADE IN'!$F56=0,"",(VLOOKUP($C56,REV!$C:$AA,8,0)-'TRADE IN'!$F56))</f>
        <v>7899</v>
      </c>
      <c r="K56" s="46">
        <f>IF(VLOOKUP($C56,REV!$C:$AA,9,0)-'TRADE IN'!$F56=0,"",(VLOOKUP($C56,REV!$C:$AA,9,0)-'TRADE IN'!$F56))</f>
        <v>7899</v>
      </c>
      <c r="L56" s="46">
        <f>IF(VLOOKUP($C56,REV!$C:$AA,10,0)-'TRADE IN'!$F56=0,"",(VLOOKUP($C56,REV!$C:$AA,10,0)-'TRADE IN'!$F56))</f>
        <v>7899</v>
      </c>
      <c r="M56" s="46">
        <f>IF(VLOOKUP($C56,REV!$C:$AA,11,0)-'TRADE IN'!$F56=0,"",(VLOOKUP($C56,REV!$C:$AA,11,0)-'TRADE IN'!$F56))</f>
        <v>7899</v>
      </c>
      <c r="N56" s="46">
        <f>IF(VLOOKUP($C56,REV!$C:$AA,12,0)-'TRADE IN'!$F56=0,"",(VLOOKUP($C56,REV!$C:$AA,12,0)-'TRADE IN'!$F56))</f>
        <v>7899</v>
      </c>
      <c r="O56" s="46">
        <f>IF(VLOOKUP($C56,REV!$C:$AA,13,0)-'TRADE IN'!$F56=0,"",(VLOOKUP($C56,REV!$C:$AA,13,0)-'TRADE IN'!$F56))</f>
        <v>7799</v>
      </c>
      <c r="P56" s="46">
        <f>IF(VLOOKUP($C56,REV!$C:$AA,14,0)-'TRADE IN'!$F56=0,"",(VLOOKUP($C56,REV!$C:$AA,14,0)-'TRADE IN'!$F56))</f>
        <v>7699</v>
      </c>
      <c r="Q56" s="46">
        <f>IF(VLOOKUP($C56,REV!$C:$AA,15,0)-'TRADE IN'!$F56=0,"",(VLOOKUP($C56,REV!$C:$AA,15,0)-'TRADE IN'!$F56))</f>
        <v>7499</v>
      </c>
      <c r="R56" s="46">
        <f>IF(VLOOKUP($C56,REV!$C:$AA,16,0)-'TRADE IN'!$F56=0,"",(VLOOKUP($C56,REV!$C:$AA,16,0)-'TRADE IN'!$F56))</f>
        <v>7799</v>
      </c>
      <c r="S56" s="46">
        <f>IF(VLOOKUP($C56,REV!$C:$AA,17,0)-'TRADE IN'!$F56=0,"",(VLOOKUP($C56,REV!$C:$AA,17,0)-'TRADE IN'!$F56))</f>
        <v>7699</v>
      </c>
      <c r="T56" s="46">
        <f>IF(VLOOKUP($C56,REV!$C:$AA,18,0)-'TRADE IN'!$F56=0,"",(VLOOKUP($C56,REV!$C:$AA,18,0)-'TRADE IN'!$F56))</f>
        <v>7499</v>
      </c>
      <c r="U56" s="46">
        <f>IF(VLOOKUP($C56,REV!$C:$AA,19,0)-'TRADE IN'!$F56=0,"",(VLOOKUP($C56,REV!$C:$AA,19,0)-'TRADE IN'!$F56))</f>
        <v>7499</v>
      </c>
      <c r="V56" s="46">
        <f>IF(VLOOKUP($C56,REV!$C:$AA,20,0)-'TRADE IN'!$F56=0,"",(VLOOKUP($C56,REV!$C:$AA,20,0)-'TRADE IN'!$F56))</f>
        <v>7499</v>
      </c>
      <c r="W56" s="46">
        <f>IF(VLOOKUP($C56,REV!$C:$AA,21,0)-'TRADE IN'!$F56=0,"",(VLOOKUP($C56,REV!$C:$AA,21,0)-'TRADE IN'!$F56))</f>
        <v>7499</v>
      </c>
      <c r="X56" s="46">
        <f>IF(VLOOKUP($C56,REV!$C:$AA,22,0)-'TRADE IN'!$F56=0,"",(VLOOKUP($C56,REV!$C:$AA,22,0)-'TRADE IN'!$F56))</f>
        <v>7399</v>
      </c>
      <c r="Y56" s="46">
        <f>IF(VLOOKUP($C56,REV!$C:$AA,23,0)-'TRADE IN'!$F56=0,"",(VLOOKUP($C56,REV!$C:$AA,23,0)-'TRADE IN'!$F56))</f>
        <v>6999</v>
      </c>
      <c r="Z56" s="46">
        <f>IF(VLOOKUP($C56,REV!$C:$AA,24,0)-'TRADE IN'!$F56=0,"",(VLOOKUP($C56,REV!$C:$AA,24,0)-'TRADE IN'!$F56))</f>
        <v>6999</v>
      </c>
      <c r="AA56" s="46">
        <f>IF(VLOOKUP($C56,REV!$C:$AA,25,0)-'TRADE IN'!$F56=0,"",(VLOOKUP($C56,REV!$C:$AA,25,0)-'TRADE IN'!$F56))</f>
        <v>6999</v>
      </c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7"/>
      <c r="AW56" s="48" t="str">
        <f>REV!AW56</f>
        <v>01.12.2026</v>
      </c>
      <c r="AX56" s="153" t="str">
        <f>VLOOKUP(C56,REV!C:AX,48,0)</f>
        <v>5G</v>
      </c>
    </row>
    <row r="57" spans="1:50" ht="22.5" customHeight="1">
      <c r="A57" s="41" t="s">
        <v>63</v>
      </c>
      <c r="B57" s="42" t="s">
        <v>64</v>
      </c>
      <c r="C57" s="43">
        <v>4015779</v>
      </c>
      <c r="D57" s="44" t="s">
        <v>126</v>
      </c>
      <c r="E57" s="44" t="s">
        <v>128</v>
      </c>
      <c r="F57" s="45"/>
      <c r="G57" s="45"/>
      <c r="H57" s="46"/>
      <c r="I57" s="46"/>
      <c r="J57" s="46">
        <f>IF(VLOOKUP($C57,REV!$C:$AA,8,0)-'TRADE IN'!$F57=0,"",(VLOOKUP($C57,REV!$C:$AA,8,0)-'TRADE IN'!$F57))</f>
        <v>7899</v>
      </c>
      <c r="K57" s="46">
        <f>IF(VLOOKUP($C57,REV!$C:$AA,9,0)-'TRADE IN'!$F57=0,"",(VLOOKUP($C57,REV!$C:$AA,9,0)-'TRADE IN'!$F57))</f>
        <v>7899</v>
      </c>
      <c r="L57" s="46">
        <f>IF(VLOOKUP($C57,REV!$C:$AA,10,0)-'TRADE IN'!$F57=0,"",(VLOOKUP($C57,REV!$C:$AA,10,0)-'TRADE IN'!$F57))</f>
        <v>7899</v>
      </c>
      <c r="M57" s="46">
        <f>IF(VLOOKUP($C57,REV!$C:$AA,11,0)-'TRADE IN'!$F57=0,"",(VLOOKUP($C57,REV!$C:$AA,11,0)-'TRADE IN'!$F57))</f>
        <v>7899</v>
      </c>
      <c r="N57" s="46">
        <f>IF(VLOOKUP($C57,REV!$C:$AA,12,0)-'TRADE IN'!$F57=0,"",(VLOOKUP($C57,REV!$C:$AA,12,0)-'TRADE IN'!$F57))</f>
        <v>7899</v>
      </c>
      <c r="O57" s="46">
        <f>IF(VLOOKUP($C57,REV!$C:$AA,13,0)-'TRADE IN'!$F57=0,"",(VLOOKUP($C57,REV!$C:$AA,13,0)-'TRADE IN'!$F57))</f>
        <v>7799</v>
      </c>
      <c r="P57" s="46">
        <f>IF(VLOOKUP($C57,REV!$C:$AA,14,0)-'TRADE IN'!$F57=0,"",(VLOOKUP($C57,REV!$C:$AA,14,0)-'TRADE IN'!$F57))</f>
        <v>7699</v>
      </c>
      <c r="Q57" s="46">
        <f>IF(VLOOKUP($C57,REV!$C:$AA,15,0)-'TRADE IN'!$F57=0,"",(VLOOKUP($C57,REV!$C:$AA,15,0)-'TRADE IN'!$F57))</f>
        <v>7499</v>
      </c>
      <c r="R57" s="46">
        <f>IF(VLOOKUP($C57,REV!$C:$AA,16,0)-'TRADE IN'!$F57=0,"",(VLOOKUP($C57,REV!$C:$AA,16,0)-'TRADE IN'!$F57))</f>
        <v>7799</v>
      </c>
      <c r="S57" s="46">
        <f>IF(VLOOKUP($C57,REV!$C:$AA,17,0)-'TRADE IN'!$F57=0,"",(VLOOKUP($C57,REV!$C:$AA,17,0)-'TRADE IN'!$F57))</f>
        <v>7699</v>
      </c>
      <c r="T57" s="46">
        <f>IF(VLOOKUP($C57,REV!$C:$AA,18,0)-'TRADE IN'!$F57=0,"",(VLOOKUP($C57,REV!$C:$AA,18,0)-'TRADE IN'!$F57))</f>
        <v>7499</v>
      </c>
      <c r="U57" s="46">
        <f>IF(VLOOKUP($C57,REV!$C:$AA,19,0)-'TRADE IN'!$F57=0,"",(VLOOKUP($C57,REV!$C:$AA,19,0)-'TRADE IN'!$F57))</f>
        <v>7499</v>
      </c>
      <c r="V57" s="46">
        <f>IF(VLOOKUP($C57,REV!$C:$AA,20,0)-'TRADE IN'!$F57=0,"",(VLOOKUP($C57,REV!$C:$AA,20,0)-'TRADE IN'!$F57))</f>
        <v>7499</v>
      </c>
      <c r="W57" s="46">
        <f>IF(VLOOKUP($C57,REV!$C:$AA,21,0)-'TRADE IN'!$F57=0,"",(VLOOKUP($C57,REV!$C:$AA,21,0)-'TRADE IN'!$F57))</f>
        <v>7499</v>
      </c>
      <c r="X57" s="46">
        <f>IF(VLOOKUP($C57,REV!$C:$AA,22,0)-'TRADE IN'!$F57=0,"",(VLOOKUP($C57,REV!$C:$AA,22,0)-'TRADE IN'!$F57))</f>
        <v>7399</v>
      </c>
      <c r="Y57" s="46">
        <f>IF(VLOOKUP($C57,REV!$C:$AA,23,0)-'TRADE IN'!$F57=0,"",(VLOOKUP($C57,REV!$C:$AA,23,0)-'TRADE IN'!$F57))</f>
        <v>6999</v>
      </c>
      <c r="Z57" s="46">
        <f>IF(VLOOKUP($C57,REV!$C:$AA,24,0)-'TRADE IN'!$F57=0,"",(VLOOKUP($C57,REV!$C:$AA,24,0)-'TRADE IN'!$F57))</f>
        <v>6999</v>
      </c>
      <c r="AA57" s="46">
        <f>IF(VLOOKUP($C57,REV!$C:$AA,25,0)-'TRADE IN'!$F57=0,"",(VLOOKUP($C57,REV!$C:$AA,25,0)-'TRADE IN'!$F57))</f>
        <v>6999</v>
      </c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7"/>
      <c r="AW57" s="48" t="str">
        <f>REV!AW57</f>
        <v>01.12.2026</v>
      </c>
      <c r="AX57" s="153" t="str">
        <f>VLOOKUP(C57,REV!C:AX,48,0)</f>
        <v>5G</v>
      </c>
    </row>
    <row r="58" spans="1:50" ht="22.5" customHeight="1">
      <c r="A58" s="41" t="s">
        <v>63</v>
      </c>
      <c r="B58" s="42" t="s">
        <v>64</v>
      </c>
      <c r="C58" s="43">
        <v>4015793</v>
      </c>
      <c r="D58" s="44" t="s">
        <v>126</v>
      </c>
      <c r="E58" s="44" t="s">
        <v>129</v>
      </c>
      <c r="F58" s="45"/>
      <c r="G58" s="45"/>
      <c r="H58" s="46"/>
      <c r="I58" s="46"/>
      <c r="J58" s="46">
        <f>IF(VLOOKUP($C58,REV!$C:$AA,8,0)-'TRADE IN'!$F58=0,"",(VLOOKUP($C58,REV!$C:$AA,8,0)-'TRADE IN'!$F58))</f>
        <v>7899</v>
      </c>
      <c r="K58" s="46">
        <f>IF(VLOOKUP($C58,REV!$C:$AA,9,0)-'TRADE IN'!$F58=0,"",(VLOOKUP($C58,REV!$C:$AA,9,0)-'TRADE IN'!$F58))</f>
        <v>7899</v>
      </c>
      <c r="L58" s="46">
        <f>IF(VLOOKUP($C58,REV!$C:$AA,10,0)-'TRADE IN'!$F58=0,"",(VLOOKUP($C58,REV!$C:$AA,10,0)-'TRADE IN'!$F58))</f>
        <v>7899</v>
      </c>
      <c r="M58" s="46">
        <f>IF(VLOOKUP($C58,REV!$C:$AA,11,0)-'TRADE IN'!$F58=0,"",(VLOOKUP($C58,REV!$C:$AA,11,0)-'TRADE IN'!$F58))</f>
        <v>7899</v>
      </c>
      <c r="N58" s="46">
        <f>IF(VLOOKUP($C58,REV!$C:$AA,12,0)-'TRADE IN'!$F58=0,"",(VLOOKUP($C58,REV!$C:$AA,12,0)-'TRADE IN'!$F58))</f>
        <v>7899</v>
      </c>
      <c r="O58" s="46">
        <f>IF(VLOOKUP($C58,REV!$C:$AA,13,0)-'TRADE IN'!$F58=0,"",(VLOOKUP($C58,REV!$C:$AA,13,0)-'TRADE IN'!$F58))</f>
        <v>7799</v>
      </c>
      <c r="P58" s="46">
        <f>IF(VLOOKUP($C58,REV!$C:$AA,14,0)-'TRADE IN'!$F58=0,"",(VLOOKUP($C58,REV!$C:$AA,14,0)-'TRADE IN'!$F58))</f>
        <v>7699</v>
      </c>
      <c r="Q58" s="46">
        <f>IF(VLOOKUP($C58,REV!$C:$AA,15,0)-'TRADE IN'!$F58=0,"",(VLOOKUP($C58,REV!$C:$AA,15,0)-'TRADE IN'!$F58))</f>
        <v>7499</v>
      </c>
      <c r="R58" s="46">
        <f>IF(VLOOKUP($C58,REV!$C:$AA,16,0)-'TRADE IN'!$F58=0,"",(VLOOKUP($C58,REV!$C:$AA,16,0)-'TRADE IN'!$F58))</f>
        <v>7799</v>
      </c>
      <c r="S58" s="46">
        <f>IF(VLOOKUP($C58,REV!$C:$AA,17,0)-'TRADE IN'!$F58=0,"",(VLOOKUP($C58,REV!$C:$AA,17,0)-'TRADE IN'!$F58))</f>
        <v>7699</v>
      </c>
      <c r="T58" s="46">
        <f>IF(VLOOKUP($C58,REV!$C:$AA,18,0)-'TRADE IN'!$F58=0,"",(VLOOKUP($C58,REV!$C:$AA,18,0)-'TRADE IN'!$F58))</f>
        <v>7499</v>
      </c>
      <c r="U58" s="46">
        <f>IF(VLOOKUP($C58,REV!$C:$AA,19,0)-'TRADE IN'!$F58=0,"",(VLOOKUP($C58,REV!$C:$AA,19,0)-'TRADE IN'!$F58))</f>
        <v>7499</v>
      </c>
      <c r="V58" s="46">
        <f>IF(VLOOKUP($C58,REV!$C:$AA,20,0)-'TRADE IN'!$F58=0,"",(VLOOKUP($C58,REV!$C:$AA,20,0)-'TRADE IN'!$F58))</f>
        <v>7499</v>
      </c>
      <c r="W58" s="46">
        <f>IF(VLOOKUP($C58,REV!$C:$AA,21,0)-'TRADE IN'!$F58=0,"",(VLOOKUP($C58,REV!$C:$AA,21,0)-'TRADE IN'!$F58))</f>
        <v>7499</v>
      </c>
      <c r="X58" s="46">
        <f>IF(VLOOKUP($C58,REV!$C:$AA,22,0)-'TRADE IN'!$F58=0,"",(VLOOKUP($C58,REV!$C:$AA,22,0)-'TRADE IN'!$F58))</f>
        <v>7399</v>
      </c>
      <c r="Y58" s="46">
        <f>IF(VLOOKUP($C58,REV!$C:$AA,23,0)-'TRADE IN'!$F58=0,"",(VLOOKUP($C58,REV!$C:$AA,23,0)-'TRADE IN'!$F58))</f>
        <v>6999</v>
      </c>
      <c r="Z58" s="46">
        <f>IF(VLOOKUP($C58,REV!$C:$AA,24,0)-'TRADE IN'!$F58=0,"",(VLOOKUP($C58,REV!$C:$AA,24,0)-'TRADE IN'!$F58))</f>
        <v>6999</v>
      </c>
      <c r="AA58" s="46">
        <f>IF(VLOOKUP($C58,REV!$C:$AA,25,0)-'TRADE IN'!$F58=0,"",(VLOOKUP($C58,REV!$C:$AA,25,0)-'TRADE IN'!$F58))</f>
        <v>6999</v>
      </c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7"/>
      <c r="AW58" s="48" t="str">
        <f>REV!AW58</f>
        <v>01.12.2026</v>
      </c>
      <c r="AX58" s="153" t="str">
        <f>VLOOKUP(C58,REV!C:AX,48,0)</f>
        <v>5G</v>
      </c>
    </row>
    <row r="59" spans="1:50" ht="22.5" customHeight="1">
      <c r="A59" s="41" t="s">
        <v>63</v>
      </c>
      <c r="B59" s="42" t="s">
        <v>64</v>
      </c>
      <c r="C59" s="43">
        <v>4016678</v>
      </c>
      <c r="D59" s="44" t="s">
        <v>130</v>
      </c>
      <c r="E59" s="44" t="s">
        <v>131</v>
      </c>
      <c r="F59" s="45"/>
      <c r="G59" s="45"/>
      <c r="H59" s="46"/>
      <c r="I59" s="46"/>
      <c r="J59" s="46">
        <f>IF(VLOOKUP($C59,REV!$C:$AA,8,0)-'TRADE IN'!$F59=0,"",(VLOOKUP($C59,REV!$C:$AA,8,0)-'TRADE IN'!$F59))</f>
        <v>5799</v>
      </c>
      <c r="K59" s="46">
        <f>IF(VLOOKUP($C59,REV!$C:$AA,9,0)-'TRADE IN'!$F59=0,"",(VLOOKUP($C59,REV!$C:$AA,9,0)-'TRADE IN'!$F59))</f>
        <v>5799</v>
      </c>
      <c r="L59" s="46">
        <f>IF(VLOOKUP($C59,REV!$C:$AA,10,0)-'TRADE IN'!$F59=0,"",(VLOOKUP($C59,REV!$C:$AA,10,0)-'TRADE IN'!$F59))</f>
        <v>5799</v>
      </c>
      <c r="M59" s="46">
        <f>IF(VLOOKUP($C59,REV!$C:$AA,11,0)-'TRADE IN'!$F59=0,"",(VLOOKUP($C59,REV!$C:$AA,11,0)-'TRADE IN'!$F59))</f>
        <v>5799</v>
      </c>
      <c r="N59" s="46">
        <f>IF(VLOOKUP($C59,REV!$C:$AA,12,0)-'TRADE IN'!$F59=0,"",(VLOOKUP($C59,REV!$C:$AA,12,0)-'TRADE IN'!$F59))</f>
        <v>5799</v>
      </c>
      <c r="O59" s="46">
        <f>IF(VLOOKUP($C59,REV!$C:$AA,13,0)-'TRADE IN'!$F59=0,"",(VLOOKUP($C59,REV!$C:$AA,13,0)-'TRADE IN'!$F59))</f>
        <v>5299</v>
      </c>
      <c r="P59" s="46">
        <f>IF(VLOOKUP($C59,REV!$C:$AA,14,0)-'TRADE IN'!$F59=0,"",(VLOOKUP($C59,REV!$C:$AA,14,0)-'TRADE IN'!$F59))</f>
        <v>5199</v>
      </c>
      <c r="Q59" s="46">
        <f>IF(VLOOKUP($C59,REV!$C:$AA,15,0)-'TRADE IN'!$F59=0,"",(VLOOKUP($C59,REV!$C:$AA,15,0)-'TRADE IN'!$F59))</f>
        <v>4999</v>
      </c>
      <c r="R59" s="46">
        <f>IF(VLOOKUP($C59,REV!$C:$AA,16,0)-'TRADE IN'!$F59=0,"",(VLOOKUP($C59,REV!$C:$AA,16,0)-'TRADE IN'!$F59))</f>
        <v>5299</v>
      </c>
      <c r="S59" s="46">
        <f>IF(VLOOKUP($C59,REV!$C:$AA,17,0)-'TRADE IN'!$F59=0,"",(VLOOKUP($C59,REV!$C:$AA,17,0)-'TRADE IN'!$F59))</f>
        <v>5199</v>
      </c>
      <c r="T59" s="46">
        <f>IF(VLOOKUP($C59,REV!$C:$AA,18,0)-'TRADE IN'!$F59=0,"",(VLOOKUP($C59,REV!$C:$AA,18,0)-'TRADE IN'!$F59))</f>
        <v>4999</v>
      </c>
      <c r="U59" s="46">
        <f>IF(VLOOKUP($C59,REV!$C:$AA,19,0)-'TRADE IN'!$F59=0,"",(VLOOKUP($C59,REV!$C:$AA,19,0)-'TRADE IN'!$F59))</f>
        <v>4999</v>
      </c>
      <c r="V59" s="46">
        <f>IF(VLOOKUP($C59,REV!$C:$AA,20,0)-'TRADE IN'!$F59=0,"",(VLOOKUP($C59,REV!$C:$AA,20,0)-'TRADE IN'!$F59))</f>
        <v>4999</v>
      </c>
      <c r="W59" s="46">
        <f>IF(VLOOKUP($C59,REV!$C:$AA,21,0)-'TRADE IN'!$F59=0,"",(VLOOKUP($C59,REV!$C:$AA,21,0)-'TRADE IN'!$F59))</f>
        <v>4999</v>
      </c>
      <c r="X59" s="46">
        <f>IF(VLOOKUP($C59,REV!$C:$AA,22,0)-'TRADE IN'!$F59=0,"",(VLOOKUP($C59,REV!$C:$AA,22,0)-'TRADE IN'!$F59))</f>
        <v>4899</v>
      </c>
      <c r="Y59" s="46">
        <f>IF(VLOOKUP($C59,REV!$C:$AA,23,0)-'TRADE IN'!$F59=0,"",(VLOOKUP($C59,REV!$C:$AA,23,0)-'TRADE IN'!$F59))</f>
        <v>3999</v>
      </c>
      <c r="Z59" s="46">
        <f>IF(VLOOKUP($C59,REV!$C:$AA,24,0)-'TRADE IN'!$F59=0,"",(VLOOKUP($C59,REV!$C:$AA,24,0)-'TRADE IN'!$F59))</f>
        <v>3999</v>
      </c>
      <c r="AA59" s="46">
        <f>IF(VLOOKUP($C59,REV!$C:$AA,25,0)-'TRADE IN'!$F59=0,"",(VLOOKUP($C59,REV!$C:$AA,25,0)-'TRADE IN'!$F59))</f>
        <v>3999</v>
      </c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7"/>
      <c r="AW59" s="48" t="str">
        <f>REV!AW59</f>
        <v>01.12.2026</v>
      </c>
      <c r="AX59" s="153" t="str">
        <f>VLOOKUP(C59,REV!C:AX,48,0)</f>
        <v>5G</v>
      </c>
    </row>
    <row r="60" spans="1:50" ht="22.5" customHeight="1">
      <c r="A60" s="41" t="s">
        <v>63</v>
      </c>
      <c r="B60" s="42" t="s">
        <v>64</v>
      </c>
      <c r="C60" s="43">
        <v>4016486</v>
      </c>
      <c r="D60" s="44" t="s">
        <v>130</v>
      </c>
      <c r="E60" s="44" t="s">
        <v>132</v>
      </c>
      <c r="F60" s="45"/>
      <c r="G60" s="45"/>
      <c r="H60" s="46"/>
      <c r="I60" s="46"/>
      <c r="J60" s="46">
        <f>IF(VLOOKUP($C60,REV!$C:$AA,8,0)-'TRADE IN'!$F60=0,"",(VLOOKUP($C60,REV!$C:$AA,8,0)-'TRADE IN'!$F60))</f>
        <v>5799</v>
      </c>
      <c r="K60" s="46">
        <f>IF(VLOOKUP($C60,REV!$C:$AA,9,0)-'TRADE IN'!$F60=0,"",(VLOOKUP($C60,REV!$C:$AA,9,0)-'TRADE IN'!$F60))</f>
        <v>5799</v>
      </c>
      <c r="L60" s="46">
        <f>IF(VLOOKUP($C60,REV!$C:$AA,10,0)-'TRADE IN'!$F60=0,"",(VLOOKUP($C60,REV!$C:$AA,10,0)-'TRADE IN'!$F60))</f>
        <v>5799</v>
      </c>
      <c r="M60" s="46">
        <f>IF(VLOOKUP($C60,REV!$C:$AA,11,0)-'TRADE IN'!$F60=0,"",(VLOOKUP($C60,REV!$C:$AA,11,0)-'TRADE IN'!$F60))</f>
        <v>5799</v>
      </c>
      <c r="N60" s="46">
        <f>IF(VLOOKUP($C60,REV!$C:$AA,12,0)-'TRADE IN'!$F60=0,"",(VLOOKUP($C60,REV!$C:$AA,12,0)-'TRADE IN'!$F60))</f>
        <v>5799</v>
      </c>
      <c r="O60" s="46">
        <f>IF(VLOOKUP($C60,REV!$C:$AA,13,0)-'TRADE IN'!$F60=0,"",(VLOOKUP($C60,REV!$C:$AA,13,0)-'TRADE IN'!$F60))</f>
        <v>5299</v>
      </c>
      <c r="P60" s="46">
        <f>IF(VLOOKUP($C60,REV!$C:$AA,14,0)-'TRADE IN'!$F60=0,"",(VLOOKUP($C60,REV!$C:$AA,14,0)-'TRADE IN'!$F60))</f>
        <v>5199</v>
      </c>
      <c r="Q60" s="46">
        <f>IF(VLOOKUP($C60,REV!$C:$AA,15,0)-'TRADE IN'!$F60=0,"",(VLOOKUP($C60,REV!$C:$AA,15,0)-'TRADE IN'!$F60))</f>
        <v>4999</v>
      </c>
      <c r="R60" s="46">
        <f>IF(VLOOKUP($C60,REV!$C:$AA,16,0)-'TRADE IN'!$F60=0,"",(VLOOKUP($C60,REV!$C:$AA,16,0)-'TRADE IN'!$F60))</f>
        <v>5299</v>
      </c>
      <c r="S60" s="46">
        <f>IF(VLOOKUP($C60,REV!$C:$AA,17,0)-'TRADE IN'!$F60=0,"",(VLOOKUP($C60,REV!$C:$AA,17,0)-'TRADE IN'!$F60))</f>
        <v>5199</v>
      </c>
      <c r="T60" s="46">
        <f>IF(VLOOKUP($C60,REV!$C:$AA,18,0)-'TRADE IN'!$F60=0,"",(VLOOKUP($C60,REV!$C:$AA,18,0)-'TRADE IN'!$F60))</f>
        <v>4999</v>
      </c>
      <c r="U60" s="46">
        <f>IF(VLOOKUP($C60,REV!$C:$AA,19,0)-'TRADE IN'!$F60=0,"",(VLOOKUP($C60,REV!$C:$AA,19,0)-'TRADE IN'!$F60))</f>
        <v>4999</v>
      </c>
      <c r="V60" s="46">
        <f>IF(VLOOKUP($C60,REV!$C:$AA,20,0)-'TRADE IN'!$F60=0,"",(VLOOKUP($C60,REV!$C:$AA,20,0)-'TRADE IN'!$F60))</f>
        <v>4999</v>
      </c>
      <c r="W60" s="46">
        <f>IF(VLOOKUP($C60,REV!$C:$AA,21,0)-'TRADE IN'!$F60=0,"",(VLOOKUP($C60,REV!$C:$AA,21,0)-'TRADE IN'!$F60))</f>
        <v>4999</v>
      </c>
      <c r="X60" s="46">
        <f>IF(VLOOKUP($C60,REV!$C:$AA,22,0)-'TRADE IN'!$F60=0,"",(VLOOKUP($C60,REV!$C:$AA,22,0)-'TRADE IN'!$F60))</f>
        <v>4899</v>
      </c>
      <c r="Y60" s="46">
        <f>IF(VLOOKUP($C60,REV!$C:$AA,23,0)-'TRADE IN'!$F60=0,"",(VLOOKUP($C60,REV!$C:$AA,23,0)-'TRADE IN'!$F60))</f>
        <v>3999</v>
      </c>
      <c r="Z60" s="46">
        <f>IF(VLOOKUP($C60,REV!$C:$AA,24,0)-'TRADE IN'!$F60=0,"",(VLOOKUP($C60,REV!$C:$AA,24,0)-'TRADE IN'!$F60))</f>
        <v>3999</v>
      </c>
      <c r="AA60" s="46">
        <f>IF(VLOOKUP($C60,REV!$C:$AA,25,0)-'TRADE IN'!$F60=0,"",(VLOOKUP($C60,REV!$C:$AA,25,0)-'TRADE IN'!$F60))</f>
        <v>3999</v>
      </c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7"/>
      <c r="AW60" s="48" t="str">
        <f>REV!AW60</f>
        <v>01.12.2026</v>
      </c>
      <c r="AX60" s="153" t="str">
        <f>VLOOKUP(C60,REV!C:AX,48,0)</f>
        <v>5G</v>
      </c>
    </row>
    <row r="61" spans="1:50" ht="22.5" customHeight="1">
      <c r="A61" s="41" t="s">
        <v>63</v>
      </c>
      <c r="B61" s="42" t="s">
        <v>64</v>
      </c>
      <c r="C61" s="43">
        <v>4016599</v>
      </c>
      <c r="D61" s="44" t="s">
        <v>130</v>
      </c>
      <c r="E61" s="44" t="s">
        <v>133</v>
      </c>
      <c r="F61" s="45"/>
      <c r="G61" s="45"/>
      <c r="H61" s="46"/>
      <c r="I61" s="46"/>
      <c r="J61" s="46">
        <f>IF(VLOOKUP($C61,REV!$C:$AA,8,0)-'TRADE IN'!$F61=0,"",(VLOOKUP($C61,REV!$C:$AA,8,0)-'TRADE IN'!$F61))</f>
        <v>5799</v>
      </c>
      <c r="K61" s="46">
        <f>IF(VLOOKUP($C61,REV!$C:$AA,9,0)-'TRADE IN'!$F61=0,"",(VLOOKUP($C61,REV!$C:$AA,9,0)-'TRADE IN'!$F61))</f>
        <v>5799</v>
      </c>
      <c r="L61" s="46">
        <f>IF(VLOOKUP($C61,REV!$C:$AA,10,0)-'TRADE IN'!$F61=0,"",(VLOOKUP($C61,REV!$C:$AA,10,0)-'TRADE IN'!$F61))</f>
        <v>5799</v>
      </c>
      <c r="M61" s="46">
        <f>IF(VLOOKUP($C61,REV!$C:$AA,11,0)-'TRADE IN'!$F61=0,"",(VLOOKUP($C61,REV!$C:$AA,11,0)-'TRADE IN'!$F61))</f>
        <v>5799</v>
      </c>
      <c r="N61" s="46">
        <f>IF(VLOOKUP($C61,REV!$C:$AA,12,0)-'TRADE IN'!$F61=0,"",(VLOOKUP($C61,REV!$C:$AA,12,0)-'TRADE IN'!$F61))</f>
        <v>5799</v>
      </c>
      <c r="O61" s="46">
        <f>IF(VLOOKUP($C61,REV!$C:$AA,13,0)-'TRADE IN'!$F61=0,"",(VLOOKUP($C61,REV!$C:$AA,13,0)-'TRADE IN'!$F61))</f>
        <v>5299</v>
      </c>
      <c r="P61" s="46">
        <f>IF(VLOOKUP($C61,REV!$C:$AA,14,0)-'TRADE IN'!$F61=0,"",(VLOOKUP($C61,REV!$C:$AA,14,0)-'TRADE IN'!$F61))</f>
        <v>5199</v>
      </c>
      <c r="Q61" s="46">
        <f>IF(VLOOKUP($C61,REV!$C:$AA,15,0)-'TRADE IN'!$F61=0,"",(VLOOKUP($C61,REV!$C:$AA,15,0)-'TRADE IN'!$F61))</f>
        <v>4999</v>
      </c>
      <c r="R61" s="46">
        <f>IF(VLOOKUP($C61,REV!$C:$AA,16,0)-'TRADE IN'!$F61=0,"",(VLOOKUP($C61,REV!$C:$AA,16,0)-'TRADE IN'!$F61))</f>
        <v>5299</v>
      </c>
      <c r="S61" s="46">
        <f>IF(VLOOKUP($C61,REV!$C:$AA,17,0)-'TRADE IN'!$F61=0,"",(VLOOKUP($C61,REV!$C:$AA,17,0)-'TRADE IN'!$F61))</f>
        <v>5199</v>
      </c>
      <c r="T61" s="46">
        <f>IF(VLOOKUP($C61,REV!$C:$AA,18,0)-'TRADE IN'!$F61=0,"",(VLOOKUP($C61,REV!$C:$AA,18,0)-'TRADE IN'!$F61))</f>
        <v>4999</v>
      </c>
      <c r="U61" s="46">
        <f>IF(VLOOKUP($C61,REV!$C:$AA,19,0)-'TRADE IN'!$F61=0,"",(VLOOKUP($C61,REV!$C:$AA,19,0)-'TRADE IN'!$F61))</f>
        <v>4999</v>
      </c>
      <c r="V61" s="46">
        <f>IF(VLOOKUP($C61,REV!$C:$AA,20,0)-'TRADE IN'!$F61=0,"",(VLOOKUP($C61,REV!$C:$AA,20,0)-'TRADE IN'!$F61))</f>
        <v>4999</v>
      </c>
      <c r="W61" s="46">
        <f>IF(VLOOKUP($C61,REV!$C:$AA,21,0)-'TRADE IN'!$F61=0,"",(VLOOKUP($C61,REV!$C:$AA,21,0)-'TRADE IN'!$F61))</f>
        <v>4999</v>
      </c>
      <c r="X61" s="46">
        <f>IF(VLOOKUP($C61,REV!$C:$AA,22,0)-'TRADE IN'!$F61=0,"",(VLOOKUP($C61,REV!$C:$AA,22,0)-'TRADE IN'!$F61))</f>
        <v>4899</v>
      </c>
      <c r="Y61" s="46">
        <f>IF(VLOOKUP($C61,REV!$C:$AA,23,0)-'TRADE IN'!$F61=0,"",(VLOOKUP($C61,REV!$C:$AA,23,0)-'TRADE IN'!$F61))</f>
        <v>3999</v>
      </c>
      <c r="Z61" s="46">
        <f>IF(VLOOKUP($C61,REV!$C:$AA,24,0)-'TRADE IN'!$F61=0,"",(VLOOKUP($C61,REV!$C:$AA,24,0)-'TRADE IN'!$F61))</f>
        <v>3999</v>
      </c>
      <c r="AA61" s="46">
        <f>IF(VLOOKUP($C61,REV!$C:$AA,25,0)-'TRADE IN'!$F61=0,"",(VLOOKUP($C61,REV!$C:$AA,25,0)-'TRADE IN'!$F61))</f>
        <v>3999</v>
      </c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7"/>
      <c r="AW61" s="48" t="str">
        <f>REV!AW61</f>
        <v>01.12.2026</v>
      </c>
      <c r="AX61" s="153" t="str">
        <f>VLOOKUP(C61,REV!C:AX,48,0)</f>
        <v>5G</v>
      </c>
    </row>
    <row r="62" spans="1:50" ht="22.5" customHeight="1">
      <c r="A62" s="41" t="s">
        <v>63</v>
      </c>
      <c r="B62" s="42" t="s">
        <v>64</v>
      </c>
      <c r="C62" s="43">
        <v>4016672</v>
      </c>
      <c r="D62" s="44" t="s">
        <v>130</v>
      </c>
      <c r="E62" s="44" t="s">
        <v>134</v>
      </c>
      <c r="F62" s="45"/>
      <c r="G62" s="45"/>
      <c r="H62" s="46"/>
      <c r="I62" s="46"/>
      <c r="J62" s="46">
        <f>IF(VLOOKUP($C62,REV!$C:$AA,8,0)-'TRADE IN'!$F62=0,"",(VLOOKUP($C62,REV!$C:$AA,8,0)-'TRADE IN'!$F62))</f>
        <v>5799</v>
      </c>
      <c r="K62" s="46">
        <f>IF(VLOOKUP($C62,REV!$C:$AA,9,0)-'TRADE IN'!$F62=0,"",(VLOOKUP($C62,REV!$C:$AA,9,0)-'TRADE IN'!$F62))</f>
        <v>5799</v>
      </c>
      <c r="L62" s="46">
        <f>IF(VLOOKUP($C62,REV!$C:$AA,10,0)-'TRADE IN'!$F62=0,"",(VLOOKUP($C62,REV!$C:$AA,10,0)-'TRADE IN'!$F62))</f>
        <v>5799</v>
      </c>
      <c r="M62" s="46">
        <f>IF(VLOOKUP($C62,REV!$C:$AA,11,0)-'TRADE IN'!$F62=0,"",(VLOOKUP($C62,REV!$C:$AA,11,0)-'TRADE IN'!$F62))</f>
        <v>5799</v>
      </c>
      <c r="N62" s="46">
        <f>IF(VLOOKUP($C62,REV!$C:$AA,12,0)-'TRADE IN'!$F62=0,"",(VLOOKUP($C62,REV!$C:$AA,12,0)-'TRADE IN'!$F62))</f>
        <v>5799</v>
      </c>
      <c r="O62" s="46">
        <f>IF(VLOOKUP($C62,REV!$C:$AA,13,0)-'TRADE IN'!$F62=0,"",(VLOOKUP($C62,REV!$C:$AA,13,0)-'TRADE IN'!$F62))</f>
        <v>5299</v>
      </c>
      <c r="P62" s="46">
        <f>IF(VLOOKUP($C62,REV!$C:$AA,14,0)-'TRADE IN'!$F62=0,"",(VLOOKUP($C62,REV!$C:$AA,14,0)-'TRADE IN'!$F62))</f>
        <v>5199</v>
      </c>
      <c r="Q62" s="46">
        <f>IF(VLOOKUP($C62,REV!$C:$AA,15,0)-'TRADE IN'!$F62=0,"",(VLOOKUP($C62,REV!$C:$AA,15,0)-'TRADE IN'!$F62))</f>
        <v>4999</v>
      </c>
      <c r="R62" s="46">
        <f>IF(VLOOKUP($C62,REV!$C:$AA,16,0)-'TRADE IN'!$F62=0,"",(VLOOKUP($C62,REV!$C:$AA,16,0)-'TRADE IN'!$F62))</f>
        <v>5299</v>
      </c>
      <c r="S62" s="46">
        <f>IF(VLOOKUP($C62,REV!$C:$AA,17,0)-'TRADE IN'!$F62=0,"",(VLOOKUP($C62,REV!$C:$AA,17,0)-'TRADE IN'!$F62))</f>
        <v>5199</v>
      </c>
      <c r="T62" s="46">
        <f>IF(VLOOKUP($C62,REV!$C:$AA,18,0)-'TRADE IN'!$F62=0,"",(VLOOKUP($C62,REV!$C:$AA,18,0)-'TRADE IN'!$F62))</f>
        <v>4999</v>
      </c>
      <c r="U62" s="46">
        <f>IF(VLOOKUP($C62,REV!$C:$AA,19,0)-'TRADE IN'!$F62=0,"",(VLOOKUP($C62,REV!$C:$AA,19,0)-'TRADE IN'!$F62))</f>
        <v>4999</v>
      </c>
      <c r="V62" s="46">
        <f>IF(VLOOKUP($C62,REV!$C:$AA,20,0)-'TRADE IN'!$F62=0,"",(VLOOKUP($C62,REV!$C:$AA,20,0)-'TRADE IN'!$F62))</f>
        <v>4999</v>
      </c>
      <c r="W62" s="46">
        <f>IF(VLOOKUP($C62,REV!$C:$AA,21,0)-'TRADE IN'!$F62=0,"",(VLOOKUP($C62,REV!$C:$AA,21,0)-'TRADE IN'!$F62))</f>
        <v>4999</v>
      </c>
      <c r="X62" s="46">
        <f>IF(VLOOKUP($C62,REV!$C:$AA,22,0)-'TRADE IN'!$F62=0,"",(VLOOKUP($C62,REV!$C:$AA,22,0)-'TRADE IN'!$F62))</f>
        <v>4899</v>
      </c>
      <c r="Y62" s="46">
        <f>IF(VLOOKUP($C62,REV!$C:$AA,23,0)-'TRADE IN'!$F62=0,"",(VLOOKUP($C62,REV!$C:$AA,23,0)-'TRADE IN'!$F62))</f>
        <v>3999</v>
      </c>
      <c r="Z62" s="46">
        <f>IF(VLOOKUP($C62,REV!$C:$AA,24,0)-'TRADE IN'!$F62=0,"",(VLOOKUP($C62,REV!$C:$AA,24,0)-'TRADE IN'!$F62))</f>
        <v>3999</v>
      </c>
      <c r="AA62" s="46">
        <f>IF(VLOOKUP($C62,REV!$C:$AA,25,0)-'TRADE IN'!$F62=0,"",(VLOOKUP($C62,REV!$C:$AA,25,0)-'TRADE IN'!$F62))</f>
        <v>3999</v>
      </c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7"/>
      <c r="AW62" s="48" t="str">
        <f>REV!AW62</f>
        <v>01.12.2026</v>
      </c>
      <c r="AX62" s="153" t="str">
        <f>VLOOKUP(C62,REV!C:AX,48,0)</f>
        <v>5G</v>
      </c>
    </row>
    <row r="63" spans="1:50" ht="22.5" customHeight="1">
      <c r="A63" s="41" t="s">
        <v>63</v>
      </c>
      <c r="B63" s="42" t="s">
        <v>64</v>
      </c>
      <c r="C63" s="43">
        <v>4016682</v>
      </c>
      <c r="D63" s="44" t="s">
        <v>130</v>
      </c>
      <c r="E63" s="44" t="s">
        <v>135</v>
      </c>
      <c r="F63" s="45"/>
      <c r="G63" s="45"/>
      <c r="H63" s="46"/>
      <c r="I63" s="46"/>
      <c r="J63" s="46">
        <f>IF(VLOOKUP($C63,REV!$C:$AA,8,0)-'TRADE IN'!$F63=0,"",(VLOOKUP($C63,REV!$C:$AA,8,0)-'TRADE IN'!$F63))</f>
        <v>5799</v>
      </c>
      <c r="K63" s="46">
        <f>IF(VLOOKUP($C63,REV!$C:$AA,9,0)-'TRADE IN'!$F63=0,"",(VLOOKUP($C63,REV!$C:$AA,9,0)-'TRADE IN'!$F63))</f>
        <v>5799</v>
      </c>
      <c r="L63" s="46">
        <f>IF(VLOOKUP($C63,REV!$C:$AA,10,0)-'TRADE IN'!$F63=0,"",(VLOOKUP($C63,REV!$C:$AA,10,0)-'TRADE IN'!$F63))</f>
        <v>5799</v>
      </c>
      <c r="M63" s="46">
        <f>IF(VLOOKUP($C63,REV!$C:$AA,11,0)-'TRADE IN'!$F63=0,"",(VLOOKUP($C63,REV!$C:$AA,11,0)-'TRADE IN'!$F63))</f>
        <v>5799</v>
      </c>
      <c r="N63" s="46">
        <f>IF(VLOOKUP($C63,REV!$C:$AA,12,0)-'TRADE IN'!$F63=0,"",(VLOOKUP($C63,REV!$C:$AA,12,0)-'TRADE IN'!$F63))</f>
        <v>5799</v>
      </c>
      <c r="O63" s="46">
        <f>IF(VLOOKUP($C63,REV!$C:$AA,13,0)-'TRADE IN'!$F63=0,"",(VLOOKUP($C63,REV!$C:$AA,13,0)-'TRADE IN'!$F63))</f>
        <v>5299</v>
      </c>
      <c r="P63" s="46">
        <f>IF(VLOOKUP($C63,REV!$C:$AA,14,0)-'TRADE IN'!$F63=0,"",(VLOOKUP($C63,REV!$C:$AA,14,0)-'TRADE IN'!$F63))</f>
        <v>5199</v>
      </c>
      <c r="Q63" s="46">
        <f>IF(VLOOKUP($C63,REV!$C:$AA,15,0)-'TRADE IN'!$F63=0,"",(VLOOKUP($C63,REV!$C:$AA,15,0)-'TRADE IN'!$F63))</f>
        <v>4999</v>
      </c>
      <c r="R63" s="46">
        <f>IF(VLOOKUP($C63,REV!$C:$AA,16,0)-'TRADE IN'!$F63=0,"",(VLOOKUP($C63,REV!$C:$AA,16,0)-'TRADE IN'!$F63))</f>
        <v>5299</v>
      </c>
      <c r="S63" s="46">
        <f>IF(VLOOKUP($C63,REV!$C:$AA,17,0)-'TRADE IN'!$F63=0,"",(VLOOKUP($C63,REV!$C:$AA,17,0)-'TRADE IN'!$F63))</f>
        <v>5199</v>
      </c>
      <c r="T63" s="46">
        <f>IF(VLOOKUP($C63,REV!$C:$AA,18,0)-'TRADE IN'!$F63=0,"",(VLOOKUP($C63,REV!$C:$AA,18,0)-'TRADE IN'!$F63))</f>
        <v>4999</v>
      </c>
      <c r="U63" s="46">
        <f>IF(VLOOKUP($C63,REV!$C:$AA,19,0)-'TRADE IN'!$F63=0,"",(VLOOKUP($C63,REV!$C:$AA,19,0)-'TRADE IN'!$F63))</f>
        <v>4999</v>
      </c>
      <c r="V63" s="46">
        <f>IF(VLOOKUP($C63,REV!$C:$AA,20,0)-'TRADE IN'!$F63=0,"",(VLOOKUP($C63,REV!$C:$AA,20,0)-'TRADE IN'!$F63))</f>
        <v>4999</v>
      </c>
      <c r="W63" s="46">
        <f>IF(VLOOKUP($C63,REV!$C:$AA,21,0)-'TRADE IN'!$F63=0,"",(VLOOKUP($C63,REV!$C:$AA,21,0)-'TRADE IN'!$F63))</f>
        <v>4999</v>
      </c>
      <c r="X63" s="46">
        <f>IF(VLOOKUP($C63,REV!$C:$AA,22,0)-'TRADE IN'!$F63=0,"",(VLOOKUP($C63,REV!$C:$AA,22,0)-'TRADE IN'!$F63))</f>
        <v>4899</v>
      </c>
      <c r="Y63" s="46">
        <f>IF(VLOOKUP($C63,REV!$C:$AA,23,0)-'TRADE IN'!$F63=0,"",(VLOOKUP($C63,REV!$C:$AA,23,0)-'TRADE IN'!$F63))</f>
        <v>3999</v>
      </c>
      <c r="Z63" s="46">
        <f>IF(VLOOKUP($C63,REV!$C:$AA,24,0)-'TRADE IN'!$F63=0,"",(VLOOKUP($C63,REV!$C:$AA,24,0)-'TRADE IN'!$F63))</f>
        <v>3999</v>
      </c>
      <c r="AA63" s="46">
        <f>IF(VLOOKUP($C63,REV!$C:$AA,25,0)-'TRADE IN'!$F63=0,"",(VLOOKUP($C63,REV!$C:$AA,25,0)-'TRADE IN'!$F63))</f>
        <v>3999</v>
      </c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7"/>
      <c r="AW63" s="48" t="str">
        <f>REV!AW63</f>
        <v>01.12.2026</v>
      </c>
      <c r="AX63" s="153" t="str">
        <f>VLOOKUP(C63,REV!C:AX,48,0)</f>
        <v>5G</v>
      </c>
    </row>
    <row r="64" spans="1:50" ht="22.5" customHeight="1">
      <c r="A64" s="41" t="s">
        <v>63</v>
      </c>
      <c r="B64" s="42" t="s">
        <v>64</v>
      </c>
      <c r="C64" s="43">
        <v>4016560</v>
      </c>
      <c r="D64" s="44" t="s">
        <v>136</v>
      </c>
      <c r="E64" s="44" t="s">
        <v>137</v>
      </c>
      <c r="F64" s="45"/>
      <c r="G64" s="45"/>
      <c r="H64" s="46"/>
      <c r="I64" s="46"/>
      <c r="J64" s="46">
        <f>IF(VLOOKUP($C64,REV!$C:$AA,8,0)-'TRADE IN'!$F64=0,"",(VLOOKUP($C64,REV!$C:$AA,8,0)-'TRADE IN'!$F64))</f>
        <v>5699</v>
      </c>
      <c r="K64" s="46">
        <f>IF(VLOOKUP($C64,REV!$C:$AA,9,0)-'TRADE IN'!$F64=0,"",(VLOOKUP($C64,REV!$C:$AA,9,0)-'TRADE IN'!$F64))</f>
        <v>5699</v>
      </c>
      <c r="L64" s="46">
        <f>IF(VLOOKUP($C64,REV!$C:$AA,10,0)-'TRADE IN'!$F64=0,"",(VLOOKUP($C64,REV!$C:$AA,10,0)-'TRADE IN'!$F64))</f>
        <v>5699</v>
      </c>
      <c r="M64" s="46">
        <f>IF(VLOOKUP($C64,REV!$C:$AA,11,0)-'TRADE IN'!$F64=0,"",(VLOOKUP($C64,REV!$C:$AA,11,0)-'TRADE IN'!$F64))</f>
        <v>5699</v>
      </c>
      <c r="N64" s="46">
        <f>IF(VLOOKUP($C64,REV!$C:$AA,12,0)-'TRADE IN'!$F64=0,"",(VLOOKUP($C64,REV!$C:$AA,12,0)-'TRADE IN'!$F64))</f>
        <v>5699</v>
      </c>
      <c r="O64" s="46">
        <f>IF(VLOOKUP($C64,REV!$C:$AA,13,0)-'TRADE IN'!$F64=0,"",(VLOOKUP($C64,REV!$C:$AA,13,0)-'TRADE IN'!$F64))</f>
        <v>5599</v>
      </c>
      <c r="P64" s="46">
        <f>IF(VLOOKUP($C64,REV!$C:$AA,14,0)-'TRADE IN'!$F64=0,"",(VLOOKUP($C64,REV!$C:$AA,14,0)-'TRADE IN'!$F64))</f>
        <v>5499</v>
      </c>
      <c r="Q64" s="46">
        <f>IF(VLOOKUP($C64,REV!$C:$AA,15,0)-'TRADE IN'!$F64=0,"",(VLOOKUP($C64,REV!$C:$AA,15,0)-'TRADE IN'!$F64))</f>
        <v>4799</v>
      </c>
      <c r="R64" s="46">
        <f>IF(VLOOKUP($C64,REV!$C:$AA,16,0)-'TRADE IN'!$F64=0,"",(VLOOKUP($C64,REV!$C:$AA,16,0)-'TRADE IN'!$F64))</f>
        <v>5599</v>
      </c>
      <c r="S64" s="46">
        <f>IF(VLOOKUP($C64,REV!$C:$AA,17,0)-'TRADE IN'!$F64=0,"",(VLOOKUP($C64,REV!$C:$AA,17,0)-'TRADE IN'!$F64))</f>
        <v>5499</v>
      </c>
      <c r="T64" s="46">
        <f>IF(VLOOKUP($C64,REV!$C:$AA,18,0)-'TRADE IN'!$F64=0,"",(VLOOKUP($C64,REV!$C:$AA,18,0)-'TRADE IN'!$F64))</f>
        <v>4799</v>
      </c>
      <c r="U64" s="46">
        <f>IF(VLOOKUP($C64,REV!$C:$AA,19,0)-'TRADE IN'!$F64=0,"",(VLOOKUP($C64,REV!$C:$AA,19,0)-'TRADE IN'!$F64))</f>
        <v>4799</v>
      </c>
      <c r="V64" s="46">
        <f>IF(VLOOKUP($C64,REV!$C:$AA,20,0)-'TRADE IN'!$F64=0,"",(VLOOKUP($C64,REV!$C:$AA,20,0)-'TRADE IN'!$F64))</f>
        <v>4799</v>
      </c>
      <c r="W64" s="46">
        <f>IF(VLOOKUP($C64,REV!$C:$AA,21,0)-'TRADE IN'!$F64=0,"",(VLOOKUP($C64,REV!$C:$AA,21,0)-'TRADE IN'!$F64))</f>
        <v>4799</v>
      </c>
      <c r="X64" s="46">
        <f>IF(VLOOKUP($C64,REV!$C:$AA,22,0)-'TRADE IN'!$F64=0,"",(VLOOKUP($C64,REV!$C:$AA,22,0)-'TRADE IN'!$F64))</f>
        <v>4699</v>
      </c>
      <c r="Y64" s="46">
        <f>IF(VLOOKUP($C64,REV!$C:$AA,23,0)-'TRADE IN'!$F64=0,"",(VLOOKUP($C64,REV!$C:$AA,23,0)-'TRADE IN'!$F64))</f>
        <v>4299</v>
      </c>
      <c r="Z64" s="46">
        <f>IF(VLOOKUP($C64,REV!$C:$AA,24,0)-'TRADE IN'!$F64=0,"",(VLOOKUP($C64,REV!$C:$AA,24,0)-'TRADE IN'!$F64))</f>
        <v>4299</v>
      </c>
      <c r="AA64" s="46">
        <f>IF(VLOOKUP($C64,REV!$C:$AA,25,0)-'TRADE IN'!$F64=0,"",(VLOOKUP($C64,REV!$C:$AA,25,0)-'TRADE IN'!$F64))</f>
        <v>4249</v>
      </c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7"/>
      <c r="AW64" s="48" t="str">
        <f>REV!AW64</f>
        <v>01.12.2026</v>
      </c>
      <c r="AX64" s="153" t="str">
        <f>VLOOKUP(C64,REV!C:AX,48,0)</f>
        <v>5G</v>
      </c>
    </row>
    <row r="65" spans="1:50" ht="22.5" customHeight="1">
      <c r="A65" s="41" t="s">
        <v>63</v>
      </c>
      <c r="B65" s="42" t="s">
        <v>64</v>
      </c>
      <c r="C65" s="43">
        <v>4016565</v>
      </c>
      <c r="D65" s="44" t="s">
        <v>136</v>
      </c>
      <c r="E65" s="44" t="s">
        <v>138</v>
      </c>
      <c r="F65" s="45"/>
      <c r="G65" s="45"/>
      <c r="H65" s="46"/>
      <c r="I65" s="46"/>
      <c r="J65" s="46">
        <f>IF(VLOOKUP($C65,REV!$C:$AA,8,0)-'TRADE IN'!$F65=0,"",(VLOOKUP($C65,REV!$C:$AA,8,0)-'TRADE IN'!$F65))</f>
        <v>5699</v>
      </c>
      <c r="K65" s="46">
        <f>IF(VLOOKUP($C65,REV!$C:$AA,9,0)-'TRADE IN'!$F65=0,"",(VLOOKUP($C65,REV!$C:$AA,9,0)-'TRADE IN'!$F65))</f>
        <v>5699</v>
      </c>
      <c r="L65" s="46">
        <f>IF(VLOOKUP($C65,REV!$C:$AA,10,0)-'TRADE IN'!$F65=0,"",(VLOOKUP($C65,REV!$C:$AA,10,0)-'TRADE IN'!$F65))</f>
        <v>5699</v>
      </c>
      <c r="M65" s="46">
        <f>IF(VLOOKUP($C65,REV!$C:$AA,11,0)-'TRADE IN'!$F65=0,"",(VLOOKUP($C65,REV!$C:$AA,11,0)-'TRADE IN'!$F65))</f>
        <v>5699</v>
      </c>
      <c r="N65" s="46">
        <f>IF(VLOOKUP($C65,REV!$C:$AA,12,0)-'TRADE IN'!$F65=0,"",(VLOOKUP($C65,REV!$C:$AA,12,0)-'TRADE IN'!$F65))</f>
        <v>5699</v>
      </c>
      <c r="O65" s="46">
        <f>IF(VLOOKUP($C65,REV!$C:$AA,13,0)-'TRADE IN'!$F65=0,"",(VLOOKUP($C65,REV!$C:$AA,13,0)-'TRADE IN'!$F65))</f>
        <v>5599</v>
      </c>
      <c r="P65" s="46">
        <f>IF(VLOOKUP($C65,REV!$C:$AA,14,0)-'TRADE IN'!$F65=0,"",(VLOOKUP($C65,REV!$C:$AA,14,0)-'TRADE IN'!$F65))</f>
        <v>5499</v>
      </c>
      <c r="Q65" s="46">
        <f>IF(VLOOKUP($C65,REV!$C:$AA,15,0)-'TRADE IN'!$F65=0,"",(VLOOKUP($C65,REV!$C:$AA,15,0)-'TRADE IN'!$F65))</f>
        <v>4799</v>
      </c>
      <c r="R65" s="46">
        <f>IF(VLOOKUP($C65,REV!$C:$AA,16,0)-'TRADE IN'!$F65=0,"",(VLOOKUP($C65,REV!$C:$AA,16,0)-'TRADE IN'!$F65))</f>
        <v>5599</v>
      </c>
      <c r="S65" s="46">
        <f>IF(VLOOKUP($C65,REV!$C:$AA,17,0)-'TRADE IN'!$F65=0,"",(VLOOKUP($C65,REV!$C:$AA,17,0)-'TRADE IN'!$F65))</f>
        <v>5499</v>
      </c>
      <c r="T65" s="46">
        <f>IF(VLOOKUP($C65,REV!$C:$AA,18,0)-'TRADE IN'!$F65=0,"",(VLOOKUP($C65,REV!$C:$AA,18,0)-'TRADE IN'!$F65))</f>
        <v>4799</v>
      </c>
      <c r="U65" s="46">
        <f>IF(VLOOKUP($C65,REV!$C:$AA,19,0)-'TRADE IN'!$F65=0,"",(VLOOKUP($C65,REV!$C:$AA,19,0)-'TRADE IN'!$F65))</f>
        <v>4799</v>
      </c>
      <c r="V65" s="46">
        <f>IF(VLOOKUP($C65,REV!$C:$AA,20,0)-'TRADE IN'!$F65=0,"",(VLOOKUP($C65,REV!$C:$AA,20,0)-'TRADE IN'!$F65))</f>
        <v>4799</v>
      </c>
      <c r="W65" s="46">
        <f>IF(VLOOKUP($C65,REV!$C:$AA,21,0)-'TRADE IN'!$F65=0,"",(VLOOKUP($C65,REV!$C:$AA,21,0)-'TRADE IN'!$F65))</f>
        <v>4799</v>
      </c>
      <c r="X65" s="46">
        <f>IF(VLOOKUP($C65,REV!$C:$AA,22,0)-'TRADE IN'!$F65=0,"",(VLOOKUP($C65,REV!$C:$AA,22,0)-'TRADE IN'!$F65))</f>
        <v>4699</v>
      </c>
      <c r="Y65" s="46">
        <f>IF(VLOOKUP($C65,REV!$C:$AA,23,0)-'TRADE IN'!$F65=0,"",(VLOOKUP($C65,REV!$C:$AA,23,0)-'TRADE IN'!$F65))</f>
        <v>4299</v>
      </c>
      <c r="Z65" s="46">
        <f>IF(VLOOKUP($C65,REV!$C:$AA,24,0)-'TRADE IN'!$F65=0,"",(VLOOKUP($C65,REV!$C:$AA,24,0)-'TRADE IN'!$F65))</f>
        <v>4299</v>
      </c>
      <c r="AA65" s="46">
        <f>IF(VLOOKUP($C65,REV!$C:$AA,25,0)-'TRADE IN'!$F65=0,"",(VLOOKUP($C65,REV!$C:$AA,25,0)-'TRADE IN'!$F65))</f>
        <v>4249</v>
      </c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7"/>
      <c r="AW65" s="48" t="str">
        <f>REV!AW65</f>
        <v>01.12.2026</v>
      </c>
      <c r="AX65" s="153" t="str">
        <f>VLOOKUP(C65,REV!C:AX,48,0)</f>
        <v>5G</v>
      </c>
    </row>
    <row r="66" spans="1:50" ht="22.5" customHeight="1">
      <c r="A66" s="41" t="s">
        <v>63</v>
      </c>
      <c r="B66" s="42" t="s">
        <v>64</v>
      </c>
      <c r="C66" s="43">
        <v>4016675</v>
      </c>
      <c r="D66" s="44" t="s">
        <v>136</v>
      </c>
      <c r="E66" s="44" t="s">
        <v>139</v>
      </c>
      <c r="F66" s="45"/>
      <c r="G66" s="45"/>
      <c r="H66" s="46"/>
      <c r="I66" s="46"/>
      <c r="J66" s="46">
        <f>IF(VLOOKUP($C66,REV!$C:$AA,8,0)-'TRADE IN'!$F66=0,"",(VLOOKUP($C66,REV!$C:$AA,8,0)-'TRADE IN'!$F66))</f>
        <v>5699</v>
      </c>
      <c r="K66" s="46">
        <f>IF(VLOOKUP($C66,REV!$C:$AA,9,0)-'TRADE IN'!$F66=0,"",(VLOOKUP($C66,REV!$C:$AA,9,0)-'TRADE IN'!$F66))</f>
        <v>5699</v>
      </c>
      <c r="L66" s="46">
        <f>IF(VLOOKUP($C66,REV!$C:$AA,10,0)-'TRADE IN'!$F66=0,"",(VLOOKUP($C66,REV!$C:$AA,10,0)-'TRADE IN'!$F66))</f>
        <v>5699</v>
      </c>
      <c r="M66" s="46">
        <f>IF(VLOOKUP($C66,REV!$C:$AA,11,0)-'TRADE IN'!$F66=0,"",(VLOOKUP($C66,REV!$C:$AA,11,0)-'TRADE IN'!$F66))</f>
        <v>5699</v>
      </c>
      <c r="N66" s="46">
        <f>IF(VLOOKUP($C66,REV!$C:$AA,12,0)-'TRADE IN'!$F66=0,"",(VLOOKUP($C66,REV!$C:$AA,12,0)-'TRADE IN'!$F66))</f>
        <v>5699</v>
      </c>
      <c r="O66" s="46">
        <f>IF(VLOOKUP($C66,REV!$C:$AA,13,0)-'TRADE IN'!$F66=0,"",(VLOOKUP($C66,REV!$C:$AA,13,0)-'TRADE IN'!$F66))</f>
        <v>5599</v>
      </c>
      <c r="P66" s="46">
        <f>IF(VLOOKUP($C66,REV!$C:$AA,14,0)-'TRADE IN'!$F66=0,"",(VLOOKUP($C66,REV!$C:$AA,14,0)-'TRADE IN'!$F66))</f>
        <v>5499</v>
      </c>
      <c r="Q66" s="46">
        <f>IF(VLOOKUP($C66,REV!$C:$AA,15,0)-'TRADE IN'!$F66=0,"",(VLOOKUP($C66,REV!$C:$AA,15,0)-'TRADE IN'!$F66))</f>
        <v>4799</v>
      </c>
      <c r="R66" s="46">
        <f>IF(VLOOKUP($C66,REV!$C:$AA,16,0)-'TRADE IN'!$F66=0,"",(VLOOKUP($C66,REV!$C:$AA,16,0)-'TRADE IN'!$F66))</f>
        <v>5599</v>
      </c>
      <c r="S66" s="46">
        <f>IF(VLOOKUP($C66,REV!$C:$AA,17,0)-'TRADE IN'!$F66=0,"",(VLOOKUP($C66,REV!$C:$AA,17,0)-'TRADE IN'!$F66))</f>
        <v>5499</v>
      </c>
      <c r="T66" s="46">
        <f>IF(VLOOKUP($C66,REV!$C:$AA,18,0)-'TRADE IN'!$F66=0,"",(VLOOKUP($C66,REV!$C:$AA,18,0)-'TRADE IN'!$F66))</f>
        <v>4799</v>
      </c>
      <c r="U66" s="46">
        <f>IF(VLOOKUP($C66,REV!$C:$AA,19,0)-'TRADE IN'!$F66=0,"",(VLOOKUP($C66,REV!$C:$AA,19,0)-'TRADE IN'!$F66))</f>
        <v>4799</v>
      </c>
      <c r="V66" s="46">
        <f>IF(VLOOKUP($C66,REV!$C:$AA,20,0)-'TRADE IN'!$F66=0,"",(VLOOKUP($C66,REV!$C:$AA,20,0)-'TRADE IN'!$F66))</f>
        <v>4799</v>
      </c>
      <c r="W66" s="46">
        <f>IF(VLOOKUP($C66,REV!$C:$AA,21,0)-'TRADE IN'!$F66=0,"",(VLOOKUP($C66,REV!$C:$AA,21,0)-'TRADE IN'!$F66))</f>
        <v>4799</v>
      </c>
      <c r="X66" s="46">
        <f>IF(VLOOKUP($C66,REV!$C:$AA,22,0)-'TRADE IN'!$F66=0,"",(VLOOKUP($C66,REV!$C:$AA,22,0)-'TRADE IN'!$F66))</f>
        <v>4699</v>
      </c>
      <c r="Y66" s="46">
        <f>IF(VLOOKUP($C66,REV!$C:$AA,23,0)-'TRADE IN'!$F66=0,"",(VLOOKUP($C66,REV!$C:$AA,23,0)-'TRADE IN'!$F66))</f>
        <v>4299</v>
      </c>
      <c r="Z66" s="46">
        <f>IF(VLOOKUP($C66,REV!$C:$AA,24,0)-'TRADE IN'!$F66=0,"",(VLOOKUP($C66,REV!$C:$AA,24,0)-'TRADE IN'!$F66))</f>
        <v>4299</v>
      </c>
      <c r="AA66" s="46">
        <f>IF(VLOOKUP($C66,REV!$C:$AA,25,0)-'TRADE IN'!$F66=0,"",(VLOOKUP($C66,REV!$C:$AA,25,0)-'TRADE IN'!$F66))</f>
        <v>4249</v>
      </c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7"/>
      <c r="AW66" s="48" t="str">
        <f>REV!AW66</f>
        <v>01.12.2026</v>
      </c>
      <c r="AX66" s="153" t="str">
        <f>VLOOKUP(C66,REV!C:AX,48,0)</f>
        <v>5G</v>
      </c>
    </row>
    <row r="67" spans="1:50" ht="22.5" customHeight="1">
      <c r="A67" s="41" t="s">
        <v>63</v>
      </c>
      <c r="B67" s="42" t="s">
        <v>64</v>
      </c>
      <c r="C67" s="43">
        <v>4016670</v>
      </c>
      <c r="D67" s="44" t="s">
        <v>136</v>
      </c>
      <c r="E67" s="44" t="s">
        <v>140</v>
      </c>
      <c r="F67" s="45"/>
      <c r="G67" s="45"/>
      <c r="H67" s="46"/>
      <c r="I67" s="46"/>
      <c r="J67" s="46">
        <f>IF(VLOOKUP($C67,REV!$C:$AA,8,0)-'TRADE IN'!$F67=0,"",(VLOOKUP($C67,REV!$C:$AA,8,0)-'TRADE IN'!$F67))</f>
        <v>5699</v>
      </c>
      <c r="K67" s="46">
        <f>IF(VLOOKUP($C67,REV!$C:$AA,9,0)-'TRADE IN'!$F67=0,"",(VLOOKUP($C67,REV!$C:$AA,9,0)-'TRADE IN'!$F67))</f>
        <v>5699</v>
      </c>
      <c r="L67" s="46">
        <f>IF(VLOOKUP($C67,REV!$C:$AA,10,0)-'TRADE IN'!$F67=0,"",(VLOOKUP($C67,REV!$C:$AA,10,0)-'TRADE IN'!$F67))</f>
        <v>5699</v>
      </c>
      <c r="M67" s="46">
        <f>IF(VLOOKUP($C67,REV!$C:$AA,11,0)-'TRADE IN'!$F67=0,"",(VLOOKUP($C67,REV!$C:$AA,11,0)-'TRADE IN'!$F67))</f>
        <v>5699</v>
      </c>
      <c r="N67" s="46">
        <f>IF(VLOOKUP($C67,REV!$C:$AA,12,0)-'TRADE IN'!$F67=0,"",(VLOOKUP($C67,REV!$C:$AA,12,0)-'TRADE IN'!$F67))</f>
        <v>5699</v>
      </c>
      <c r="O67" s="46">
        <f>IF(VLOOKUP($C67,REV!$C:$AA,13,0)-'TRADE IN'!$F67=0,"",(VLOOKUP($C67,REV!$C:$AA,13,0)-'TRADE IN'!$F67))</f>
        <v>5599</v>
      </c>
      <c r="P67" s="46">
        <f>IF(VLOOKUP($C67,REV!$C:$AA,14,0)-'TRADE IN'!$F67=0,"",(VLOOKUP($C67,REV!$C:$AA,14,0)-'TRADE IN'!$F67))</f>
        <v>5499</v>
      </c>
      <c r="Q67" s="46">
        <f>IF(VLOOKUP($C67,REV!$C:$AA,15,0)-'TRADE IN'!$F67=0,"",(VLOOKUP($C67,REV!$C:$AA,15,0)-'TRADE IN'!$F67))</f>
        <v>4799</v>
      </c>
      <c r="R67" s="46">
        <f>IF(VLOOKUP($C67,REV!$C:$AA,16,0)-'TRADE IN'!$F67=0,"",(VLOOKUP($C67,REV!$C:$AA,16,0)-'TRADE IN'!$F67))</f>
        <v>5599</v>
      </c>
      <c r="S67" s="46">
        <f>IF(VLOOKUP($C67,REV!$C:$AA,17,0)-'TRADE IN'!$F67=0,"",(VLOOKUP($C67,REV!$C:$AA,17,0)-'TRADE IN'!$F67))</f>
        <v>5499</v>
      </c>
      <c r="T67" s="46">
        <f>IF(VLOOKUP($C67,REV!$C:$AA,18,0)-'TRADE IN'!$F67=0,"",(VLOOKUP($C67,REV!$C:$AA,18,0)-'TRADE IN'!$F67))</f>
        <v>4799</v>
      </c>
      <c r="U67" s="46">
        <f>IF(VLOOKUP($C67,REV!$C:$AA,19,0)-'TRADE IN'!$F67=0,"",(VLOOKUP($C67,REV!$C:$AA,19,0)-'TRADE IN'!$F67))</f>
        <v>4799</v>
      </c>
      <c r="V67" s="46">
        <f>IF(VLOOKUP($C67,REV!$C:$AA,20,0)-'TRADE IN'!$F67=0,"",(VLOOKUP($C67,REV!$C:$AA,20,0)-'TRADE IN'!$F67))</f>
        <v>4799</v>
      </c>
      <c r="W67" s="46">
        <f>IF(VLOOKUP($C67,REV!$C:$AA,21,0)-'TRADE IN'!$F67=0,"",(VLOOKUP($C67,REV!$C:$AA,21,0)-'TRADE IN'!$F67))</f>
        <v>4799</v>
      </c>
      <c r="X67" s="46">
        <f>IF(VLOOKUP($C67,REV!$C:$AA,22,0)-'TRADE IN'!$F67=0,"",(VLOOKUP($C67,REV!$C:$AA,22,0)-'TRADE IN'!$F67))</f>
        <v>4699</v>
      </c>
      <c r="Y67" s="46">
        <f>IF(VLOOKUP($C67,REV!$C:$AA,23,0)-'TRADE IN'!$F67=0,"",(VLOOKUP($C67,REV!$C:$AA,23,0)-'TRADE IN'!$F67))</f>
        <v>4299</v>
      </c>
      <c r="Z67" s="46">
        <f>IF(VLOOKUP($C67,REV!$C:$AA,24,0)-'TRADE IN'!$F67=0,"",(VLOOKUP($C67,REV!$C:$AA,24,0)-'TRADE IN'!$F67))</f>
        <v>4299</v>
      </c>
      <c r="AA67" s="46">
        <f>IF(VLOOKUP($C67,REV!$C:$AA,25,0)-'TRADE IN'!$F67=0,"",(VLOOKUP($C67,REV!$C:$AA,25,0)-'TRADE IN'!$F67))</f>
        <v>4249</v>
      </c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7"/>
      <c r="AW67" s="48" t="str">
        <f>REV!AW67</f>
        <v>01.12.2026</v>
      </c>
      <c r="AX67" s="153" t="str">
        <f>VLOOKUP(C67,REV!C:AX,48,0)</f>
        <v>5G</v>
      </c>
    </row>
    <row r="68" spans="1:50" ht="22.5" customHeight="1">
      <c r="A68" s="41" t="s">
        <v>63</v>
      </c>
      <c r="B68" s="42" t="s">
        <v>64</v>
      </c>
      <c r="C68" s="43">
        <v>4016673</v>
      </c>
      <c r="D68" s="44" t="s">
        <v>136</v>
      </c>
      <c r="E68" s="44" t="s">
        <v>141</v>
      </c>
      <c r="F68" s="45"/>
      <c r="G68" s="45"/>
      <c r="H68" s="46"/>
      <c r="I68" s="46"/>
      <c r="J68" s="46">
        <f>IF(VLOOKUP($C68,REV!$C:$AA,8,0)-'TRADE IN'!$F68=0,"",(VLOOKUP($C68,REV!$C:$AA,8,0)-'TRADE IN'!$F68))</f>
        <v>5699</v>
      </c>
      <c r="K68" s="46">
        <f>IF(VLOOKUP($C68,REV!$C:$AA,9,0)-'TRADE IN'!$F68=0,"",(VLOOKUP($C68,REV!$C:$AA,9,0)-'TRADE IN'!$F68))</f>
        <v>5699</v>
      </c>
      <c r="L68" s="46">
        <f>IF(VLOOKUP($C68,REV!$C:$AA,10,0)-'TRADE IN'!$F68=0,"",(VLOOKUP($C68,REV!$C:$AA,10,0)-'TRADE IN'!$F68))</f>
        <v>5699</v>
      </c>
      <c r="M68" s="46">
        <f>IF(VLOOKUP($C68,REV!$C:$AA,11,0)-'TRADE IN'!$F68=0,"",(VLOOKUP($C68,REV!$C:$AA,11,0)-'TRADE IN'!$F68))</f>
        <v>5699</v>
      </c>
      <c r="N68" s="46">
        <f>IF(VLOOKUP($C68,REV!$C:$AA,12,0)-'TRADE IN'!$F68=0,"",(VLOOKUP($C68,REV!$C:$AA,12,0)-'TRADE IN'!$F68))</f>
        <v>5699</v>
      </c>
      <c r="O68" s="46">
        <f>IF(VLOOKUP($C68,REV!$C:$AA,13,0)-'TRADE IN'!$F68=0,"",(VLOOKUP($C68,REV!$C:$AA,13,0)-'TRADE IN'!$F68))</f>
        <v>5599</v>
      </c>
      <c r="P68" s="46">
        <f>IF(VLOOKUP($C68,REV!$C:$AA,14,0)-'TRADE IN'!$F68=0,"",(VLOOKUP($C68,REV!$C:$AA,14,0)-'TRADE IN'!$F68))</f>
        <v>5499</v>
      </c>
      <c r="Q68" s="46">
        <f>IF(VLOOKUP($C68,REV!$C:$AA,15,0)-'TRADE IN'!$F68=0,"",(VLOOKUP($C68,REV!$C:$AA,15,0)-'TRADE IN'!$F68))</f>
        <v>4799</v>
      </c>
      <c r="R68" s="46">
        <f>IF(VLOOKUP($C68,REV!$C:$AA,16,0)-'TRADE IN'!$F68=0,"",(VLOOKUP($C68,REV!$C:$AA,16,0)-'TRADE IN'!$F68))</f>
        <v>5599</v>
      </c>
      <c r="S68" s="46">
        <f>IF(VLOOKUP($C68,REV!$C:$AA,17,0)-'TRADE IN'!$F68=0,"",(VLOOKUP($C68,REV!$C:$AA,17,0)-'TRADE IN'!$F68))</f>
        <v>5499</v>
      </c>
      <c r="T68" s="46">
        <f>IF(VLOOKUP($C68,REV!$C:$AA,18,0)-'TRADE IN'!$F68=0,"",(VLOOKUP($C68,REV!$C:$AA,18,0)-'TRADE IN'!$F68))</f>
        <v>4799</v>
      </c>
      <c r="U68" s="46">
        <f>IF(VLOOKUP($C68,REV!$C:$AA,19,0)-'TRADE IN'!$F68=0,"",(VLOOKUP($C68,REV!$C:$AA,19,0)-'TRADE IN'!$F68))</f>
        <v>4799</v>
      </c>
      <c r="V68" s="46">
        <f>IF(VLOOKUP($C68,REV!$C:$AA,20,0)-'TRADE IN'!$F68=0,"",(VLOOKUP($C68,REV!$C:$AA,20,0)-'TRADE IN'!$F68))</f>
        <v>4799</v>
      </c>
      <c r="W68" s="46">
        <f>IF(VLOOKUP($C68,REV!$C:$AA,21,0)-'TRADE IN'!$F68=0,"",(VLOOKUP($C68,REV!$C:$AA,21,0)-'TRADE IN'!$F68))</f>
        <v>4799</v>
      </c>
      <c r="X68" s="46">
        <f>IF(VLOOKUP($C68,REV!$C:$AA,22,0)-'TRADE IN'!$F68=0,"",(VLOOKUP($C68,REV!$C:$AA,22,0)-'TRADE IN'!$F68))</f>
        <v>4699</v>
      </c>
      <c r="Y68" s="46">
        <f>IF(VLOOKUP($C68,REV!$C:$AA,23,0)-'TRADE IN'!$F68=0,"",(VLOOKUP($C68,REV!$C:$AA,23,0)-'TRADE IN'!$F68))</f>
        <v>4299</v>
      </c>
      <c r="Z68" s="46">
        <f>IF(VLOOKUP($C68,REV!$C:$AA,24,0)-'TRADE IN'!$F68=0,"",(VLOOKUP($C68,REV!$C:$AA,24,0)-'TRADE IN'!$F68))</f>
        <v>4299</v>
      </c>
      <c r="AA68" s="46">
        <f>IF(VLOOKUP($C68,REV!$C:$AA,25,0)-'TRADE IN'!$F68=0,"",(VLOOKUP($C68,REV!$C:$AA,25,0)-'TRADE IN'!$F68))</f>
        <v>4249</v>
      </c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7"/>
      <c r="AW68" s="48" t="str">
        <f>REV!AW68</f>
        <v>01.12.2026</v>
      </c>
      <c r="AX68" s="153" t="str">
        <f>VLOOKUP(C68,REV!C:AX,48,0)</f>
        <v>5G</v>
      </c>
    </row>
    <row r="69" spans="1:50" ht="22.5" customHeight="1">
      <c r="A69" s="41" t="s">
        <v>63</v>
      </c>
      <c r="B69" s="42" t="s">
        <v>64</v>
      </c>
      <c r="C69" s="43">
        <v>4016679</v>
      </c>
      <c r="D69" s="44" t="s">
        <v>136</v>
      </c>
      <c r="E69" s="44" t="s">
        <v>142</v>
      </c>
      <c r="F69" s="45"/>
      <c r="G69" s="45"/>
      <c r="H69" s="46"/>
      <c r="I69" s="46"/>
      <c r="J69" s="46">
        <f>IF(VLOOKUP($C69,REV!$C:$AA,8,0)-'TRADE IN'!$F69=0,"",(VLOOKUP($C69,REV!$C:$AA,8,0)-'TRADE IN'!$F69))</f>
        <v>5699</v>
      </c>
      <c r="K69" s="46">
        <f>IF(VLOOKUP($C69,REV!$C:$AA,9,0)-'TRADE IN'!$F69=0,"",(VLOOKUP($C69,REV!$C:$AA,9,0)-'TRADE IN'!$F69))</f>
        <v>5699</v>
      </c>
      <c r="L69" s="46">
        <f>IF(VLOOKUP($C69,REV!$C:$AA,10,0)-'TRADE IN'!$F69=0,"",(VLOOKUP($C69,REV!$C:$AA,10,0)-'TRADE IN'!$F69))</f>
        <v>5699</v>
      </c>
      <c r="M69" s="46">
        <f>IF(VLOOKUP($C69,REV!$C:$AA,11,0)-'TRADE IN'!$F69=0,"",(VLOOKUP($C69,REV!$C:$AA,11,0)-'TRADE IN'!$F69))</f>
        <v>5699</v>
      </c>
      <c r="N69" s="46">
        <f>IF(VLOOKUP($C69,REV!$C:$AA,12,0)-'TRADE IN'!$F69=0,"",(VLOOKUP($C69,REV!$C:$AA,12,0)-'TRADE IN'!$F69))</f>
        <v>5699</v>
      </c>
      <c r="O69" s="46">
        <f>IF(VLOOKUP($C69,REV!$C:$AA,13,0)-'TRADE IN'!$F69=0,"",(VLOOKUP($C69,REV!$C:$AA,13,0)-'TRADE IN'!$F69))</f>
        <v>5599</v>
      </c>
      <c r="P69" s="46">
        <f>IF(VLOOKUP($C69,REV!$C:$AA,14,0)-'TRADE IN'!$F69=0,"",(VLOOKUP($C69,REV!$C:$AA,14,0)-'TRADE IN'!$F69))</f>
        <v>5499</v>
      </c>
      <c r="Q69" s="46">
        <f>IF(VLOOKUP($C69,REV!$C:$AA,15,0)-'TRADE IN'!$F69=0,"",(VLOOKUP($C69,REV!$C:$AA,15,0)-'TRADE IN'!$F69))</f>
        <v>4799</v>
      </c>
      <c r="R69" s="46">
        <f>IF(VLOOKUP($C69,REV!$C:$AA,16,0)-'TRADE IN'!$F69=0,"",(VLOOKUP($C69,REV!$C:$AA,16,0)-'TRADE IN'!$F69))</f>
        <v>5599</v>
      </c>
      <c r="S69" s="46">
        <f>IF(VLOOKUP($C69,REV!$C:$AA,17,0)-'TRADE IN'!$F69=0,"",(VLOOKUP($C69,REV!$C:$AA,17,0)-'TRADE IN'!$F69))</f>
        <v>5499</v>
      </c>
      <c r="T69" s="46">
        <f>IF(VLOOKUP($C69,REV!$C:$AA,18,0)-'TRADE IN'!$F69=0,"",(VLOOKUP($C69,REV!$C:$AA,18,0)-'TRADE IN'!$F69))</f>
        <v>4799</v>
      </c>
      <c r="U69" s="46">
        <f>IF(VLOOKUP($C69,REV!$C:$AA,19,0)-'TRADE IN'!$F69=0,"",(VLOOKUP($C69,REV!$C:$AA,19,0)-'TRADE IN'!$F69))</f>
        <v>4799</v>
      </c>
      <c r="V69" s="46">
        <f>IF(VLOOKUP($C69,REV!$C:$AA,20,0)-'TRADE IN'!$F69=0,"",(VLOOKUP($C69,REV!$C:$AA,20,0)-'TRADE IN'!$F69))</f>
        <v>4799</v>
      </c>
      <c r="W69" s="46">
        <f>IF(VLOOKUP($C69,REV!$C:$AA,21,0)-'TRADE IN'!$F69=0,"",(VLOOKUP($C69,REV!$C:$AA,21,0)-'TRADE IN'!$F69))</f>
        <v>4799</v>
      </c>
      <c r="X69" s="46">
        <f>IF(VLOOKUP($C69,REV!$C:$AA,22,0)-'TRADE IN'!$F69=0,"",(VLOOKUP($C69,REV!$C:$AA,22,0)-'TRADE IN'!$F69))</f>
        <v>4699</v>
      </c>
      <c r="Y69" s="46">
        <f>IF(VLOOKUP($C69,REV!$C:$AA,23,0)-'TRADE IN'!$F69=0,"",(VLOOKUP($C69,REV!$C:$AA,23,0)-'TRADE IN'!$F69))</f>
        <v>4299</v>
      </c>
      <c r="Z69" s="46">
        <f>IF(VLOOKUP($C69,REV!$C:$AA,24,0)-'TRADE IN'!$F69=0,"",(VLOOKUP($C69,REV!$C:$AA,24,0)-'TRADE IN'!$F69))</f>
        <v>4299</v>
      </c>
      <c r="AA69" s="46">
        <f>IF(VLOOKUP($C69,REV!$C:$AA,25,0)-'TRADE IN'!$F69=0,"",(VLOOKUP($C69,REV!$C:$AA,25,0)-'TRADE IN'!$F69))</f>
        <v>4249</v>
      </c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7"/>
      <c r="AW69" s="48" t="str">
        <f>REV!AW69</f>
        <v>01.12.2026</v>
      </c>
      <c r="AX69" s="153" t="str">
        <f>VLOOKUP(C69,REV!C:AX,48,0)</f>
        <v>5G</v>
      </c>
    </row>
    <row r="70" spans="1:50" ht="22.5" customHeight="1">
      <c r="A70" s="41" t="s">
        <v>63</v>
      </c>
      <c r="B70" s="42" t="s">
        <v>64</v>
      </c>
      <c r="C70" s="43">
        <v>4016594</v>
      </c>
      <c r="D70" s="44" t="s">
        <v>143</v>
      </c>
      <c r="E70" s="44" t="s">
        <v>144</v>
      </c>
      <c r="F70" s="45"/>
      <c r="G70" s="45"/>
      <c r="H70" s="46"/>
      <c r="I70" s="46"/>
      <c r="J70" s="46">
        <f>IF(VLOOKUP($C70,REV!$C:$AA,8,0)-'TRADE IN'!$F70=0,"",(VLOOKUP($C70,REV!$C:$AA,8,0)-'TRADE IN'!$F70))</f>
        <v>8999</v>
      </c>
      <c r="K70" s="46">
        <f>IF(VLOOKUP($C70,REV!$C:$AA,9,0)-'TRADE IN'!$F70=0,"",(VLOOKUP($C70,REV!$C:$AA,9,0)-'TRADE IN'!$F70))</f>
        <v>8999</v>
      </c>
      <c r="L70" s="46">
        <f>IF(VLOOKUP($C70,REV!$C:$AA,10,0)-'TRADE IN'!$F70=0,"",(VLOOKUP($C70,REV!$C:$AA,10,0)-'TRADE IN'!$F70))</f>
        <v>8999</v>
      </c>
      <c r="M70" s="46">
        <f>IF(VLOOKUP($C70,REV!$C:$AA,11,0)-'TRADE IN'!$F70=0,"",(VLOOKUP($C70,REV!$C:$AA,11,0)-'TRADE IN'!$F70))</f>
        <v>8999</v>
      </c>
      <c r="N70" s="46">
        <f>IF(VLOOKUP($C70,REV!$C:$AA,12,0)-'TRADE IN'!$F70=0,"",(VLOOKUP($C70,REV!$C:$AA,12,0)-'TRADE IN'!$F70))</f>
        <v>8999</v>
      </c>
      <c r="O70" s="46">
        <f>IF(VLOOKUP($C70,REV!$C:$AA,13,0)-'TRADE IN'!$F70=0,"",(VLOOKUP($C70,REV!$C:$AA,13,0)-'TRADE IN'!$F70))</f>
        <v>8899</v>
      </c>
      <c r="P70" s="46">
        <f>IF(VLOOKUP($C70,REV!$C:$AA,14,0)-'TRADE IN'!$F70=0,"",(VLOOKUP($C70,REV!$C:$AA,14,0)-'TRADE IN'!$F70))</f>
        <v>8799</v>
      </c>
      <c r="Q70" s="46">
        <f>IF(VLOOKUP($C70,REV!$C:$AA,15,0)-'TRADE IN'!$F70=0,"",(VLOOKUP($C70,REV!$C:$AA,15,0)-'TRADE IN'!$F70))</f>
        <v>7999</v>
      </c>
      <c r="R70" s="46">
        <f>IF(VLOOKUP($C70,REV!$C:$AA,16,0)-'TRADE IN'!$F70=0,"",(VLOOKUP($C70,REV!$C:$AA,16,0)-'TRADE IN'!$F70))</f>
        <v>8899</v>
      </c>
      <c r="S70" s="46">
        <f>IF(VLOOKUP($C70,REV!$C:$AA,17,0)-'TRADE IN'!$F70=0,"",(VLOOKUP($C70,REV!$C:$AA,17,0)-'TRADE IN'!$F70))</f>
        <v>8799</v>
      </c>
      <c r="T70" s="46">
        <f>IF(VLOOKUP($C70,REV!$C:$AA,18,0)-'TRADE IN'!$F70=0,"",(VLOOKUP($C70,REV!$C:$AA,18,0)-'TRADE IN'!$F70))</f>
        <v>7999</v>
      </c>
      <c r="U70" s="46">
        <f>IF(VLOOKUP($C70,REV!$C:$AA,19,0)-'TRADE IN'!$F70=0,"",(VLOOKUP($C70,REV!$C:$AA,19,0)-'TRADE IN'!$F70))</f>
        <v>7999</v>
      </c>
      <c r="V70" s="46">
        <f>IF(VLOOKUP($C70,REV!$C:$AA,20,0)-'TRADE IN'!$F70=0,"",(VLOOKUP($C70,REV!$C:$AA,20,0)-'TRADE IN'!$F70))</f>
        <v>7699</v>
      </c>
      <c r="W70" s="46">
        <f>IF(VLOOKUP($C70,REV!$C:$AA,21,0)-'TRADE IN'!$F70=0,"",(VLOOKUP($C70,REV!$C:$AA,21,0)-'TRADE IN'!$F70))</f>
        <v>7699</v>
      </c>
      <c r="X70" s="46">
        <f>IF(VLOOKUP($C70,REV!$C:$AA,22,0)-'TRADE IN'!$F70=0,"",(VLOOKUP($C70,REV!$C:$AA,22,0)-'TRADE IN'!$F70))</f>
        <v>7699</v>
      </c>
      <c r="Y70" s="46">
        <f>IF(VLOOKUP($C70,REV!$C:$AA,23,0)-'TRADE IN'!$F70=0,"",(VLOOKUP($C70,REV!$C:$AA,23,0)-'TRADE IN'!$F70))</f>
        <v>7499</v>
      </c>
      <c r="Z70" s="46">
        <f>IF(VLOOKUP($C70,REV!$C:$AA,24,0)-'TRADE IN'!$F70=0,"",(VLOOKUP($C70,REV!$C:$AA,24,0)-'TRADE IN'!$F70))</f>
        <v>7499</v>
      </c>
      <c r="AA70" s="46">
        <f>IF(VLOOKUP($C70,REV!$C:$AA,25,0)-'TRADE IN'!$F70=0,"",(VLOOKUP($C70,REV!$C:$AA,25,0)-'TRADE IN'!$F70))</f>
        <v>7499</v>
      </c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7"/>
      <c r="AW70" s="48" t="str">
        <f>REV!AW70</f>
        <v>01.12.2026</v>
      </c>
      <c r="AX70" s="153" t="str">
        <f>VLOOKUP(C70,REV!C:AX,48,0)</f>
        <v>5G</v>
      </c>
    </row>
    <row r="71" spans="1:50" ht="22.5" customHeight="1">
      <c r="A71" s="41" t="s">
        <v>63</v>
      </c>
      <c r="B71" s="42" t="s">
        <v>64</v>
      </c>
      <c r="C71" s="43">
        <v>4016593</v>
      </c>
      <c r="D71" s="44" t="s">
        <v>143</v>
      </c>
      <c r="E71" s="44" t="s">
        <v>145</v>
      </c>
      <c r="F71" s="45"/>
      <c r="G71" s="45"/>
      <c r="H71" s="46"/>
      <c r="I71" s="46"/>
      <c r="J71" s="46">
        <f>IF(VLOOKUP($C71,REV!$C:$AA,8,0)-'TRADE IN'!$F71=0,"",(VLOOKUP($C71,REV!$C:$AA,8,0)-'TRADE IN'!$F71))</f>
        <v>8999</v>
      </c>
      <c r="K71" s="46">
        <f>IF(VLOOKUP($C71,REV!$C:$AA,9,0)-'TRADE IN'!$F71=0,"",(VLOOKUP($C71,REV!$C:$AA,9,0)-'TRADE IN'!$F71))</f>
        <v>8999</v>
      </c>
      <c r="L71" s="46">
        <f>IF(VLOOKUP($C71,REV!$C:$AA,10,0)-'TRADE IN'!$F71=0,"",(VLOOKUP($C71,REV!$C:$AA,10,0)-'TRADE IN'!$F71))</f>
        <v>8999</v>
      </c>
      <c r="M71" s="46">
        <f>IF(VLOOKUP($C71,REV!$C:$AA,11,0)-'TRADE IN'!$F71=0,"",(VLOOKUP($C71,REV!$C:$AA,11,0)-'TRADE IN'!$F71))</f>
        <v>8999</v>
      </c>
      <c r="N71" s="46">
        <f>IF(VLOOKUP($C71,REV!$C:$AA,12,0)-'TRADE IN'!$F71=0,"",(VLOOKUP($C71,REV!$C:$AA,12,0)-'TRADE IN'!$F71))</f>
        <v>8999</v>
      </c>
      <c r="O71" s="46">
        <f>IF(VLOOKUP($C71,REV!$C:$AA,13,0)-'TRADE IN'!$F71=0,"",(VLOOKUP($C71,REV!$C:$AA,13,0)-'TRADE IN'!$F71))</f>
        <v>8899</v>
      </c>
      <c r="P71" s="46">
        <f>IF(VLOOKUP($C71,REV!$C:$AA,14,0)-'TRADE IN'!$F71=0,"",(VLOOKUP($C71,REV!$C:$AA,14,0)-'TRADE IN'!$F71))</f>
        <v>8799</v>
      </c>
      <c r="Q71" s="46">
        <f>IF(VLOOKUP($C71,REV!$C:$AA,15,0)-'TRADE IN'!$F71=0,"",(VLOOKUP($C71,REV!$C:$AA,15,0)-'TRADE IN'!$F71))</f>
        <v>7999</v>
      </c>
      <c r="R71" s="46">
        <f>IF(VLOOKUP($C71,REV!$C:$AA,16,0)-'TRADE IN'!$F71=0,"",(VLOOKUP($C71,REV!$C:$AA,16,0)-'TRADE IN'!$F71))</f>
        <v>8899</v>
      </c>
      <c r="S71" s="46">
        <f>IF(VLOOKUP($C71,REV!$C:$AA,17,0)-'TRADE IN'!$F71=0,"",(VLOOKUP($C71,REV!$C:$AA,17,0)-'TRADE IN'!$F71))</f>
        <v>8799</v>
      </c>
      <c r="T71" s="46">
        <f>IF(VLOOKUP($C71,REV!$C:$AA,18,0)-'TRADE IN'!$F71=0,"",(VLOOKUP($C71,REV!$C:$AA,18,0)-'TRADE IN'!$F71))</f>
        <v>7999</v>
      </c>
      <c r="U71" s="46">
        <f>IF(VLOOKUP($C71,REV!$C:$AA,19,0)-'TRADE IN'!$F71=0,"",(VLOOKUP($C71,REV!$C:$AA,19,0)-'TRADE IN'!$F71))</f>
        <v>7999</v>
      </c>
      <c r="V71" s="46">
        <f>IF(VLOOKUP($C71,REV!$C:$AA,20,0)-'TRADE IN'!$F71=0,"",(VLOOKUP($C71,REV!$C:$AA,20,0)-'TRADE IN'!$F71))</f>
        <v>7699</v>
      </c>
      <c r="W71" s="46">
        <f>IF(VLOOKUP($C71,REV!$C:$AA,21,0)-'TRADE IN'!$F71=0,"",(VLOOKUP($C71,REV!$C:$AA,21,0)-'TRADE IN'!$F71))</f>
        <v>7699</v>
      </c>
      <c r="X71" s="46">
        <f>IF(VLOOKUP($C71,REV!$C:$AA,22,0)-'TRADE IN'!$F71=0,"",(VLOOKUP($C71,REV!$C:$AA,22,0)-'TRADE IN'!$F71))</f>
        <v>7699</v>
      </c>
      <c r="Y71" s="46">
        <f>IF(VLOOKUP($C71,REV!$C:$AA,23,0)-'TRADE IN'!$F71=0,"",(VLOOKUP($C71,REV!$C:$AA,23,0)-'TRADE IN'!$F71))</f>
        <v>7499</v>
      </c>
      <c r="Z71" s="46">
        <f>IF(VLOOKUP($C71,REV!$C:$AA,24,0)-'TRADE IN'!$F71=0,"",(VLOOKUP($C71,REV!$C:$AA,24,0)-'TRADE IN'!$F71))</f>
        <v>7499</v>
      </c>
      <c r="AA71" s="46">
        <f>IF(VLOOKUP($C71,REV!$C:$AA,25,0)-'TRADE IN'!$F71=0,"",(VLOOKUP($C71,REV!$C:$AA,25,0)-'TRADE IN'!$F71))</f>
        <v>7499</v>
      </c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7"/>
      <c r="AW71" s="48" t="str">
        <f>REV!AW71</f>
        <v>01.12.2026</v>
      </c>
      <c r="AX71" s="153" t="str">
        <f>VLOOKUP(C71,REV!C:AX,48,0)</f>
        <v>5G</v>
      </c>
    </row>
    <row r="72" spans="1:50" ht="22.5" customHeight="1">
      <c r="A72" s="41" t="s">
        <v>63</v>
      </c>
      <c r="B72" s="42" t="s">
        <v>64</v>
      </c>
      <c r="C72" s="43">
        <v>4016592</v>
      </c>
      <c r="D72" s="44" t="s">
        <v>143</v>
      </c>
      <c r="E72" s="44" t="s">
        <v>146</v>
      </c>
      <c r="F72" s="45"/>
      <c r="G72" s="45"/>
      <c r="H72" s="46"/>
      <c r="I72" s="46"/>
      <c r="J72" s="46">
        <f>IF(VLOOKUP($C72,REV!$C:$AA,8,0)-'TRADE IN'!$F72=0,"",(VLOOKUP($C72,REV!$C:$AA,8,0)-'TRADE IN'!$F72))</f>
        <v>8999</v>
      </c>
      <c r="K72" s="46">
        <f>IF(VLOOKUP($C72,REV!$C:$AA,9,0)-'TRADE IN'!$F72=0,"",(VLOOKUP($C72,REV!$C:$AA,9,0)-'TRADE IN'!$F72))</f>
        <v>8999</v>
      </c>
      <c r="L72" s="46">
        <f>IF(VLOOKUP($C72,REV!$C:$AA,10,0)-'TRADE IN'!$F72=0,"",(VLOOKUP($C72,REV!$C:$AA,10,0)-'TRADE IN'!$F72))</f>
        <v>8999</v>
      </c>
      <c r="M72" s="46">
        <f>IF(VLOOKUP($C72,REV!$C:$AA,11,0)-'TRADE IN'!$F72=0,"",(VLOOKUP($C72,REV!$C:$AA,11,0)-'TRADE IN'!$F72))</f>
        <v>8999</v>
      </c>
      <c r="N72" s="46">
        <f>IF(VLOOKUP($C72,REV!$C:$AA,12,0)-'TRADE IN'!$F72=0,"",(VLOOKUP($C72,REV!$C:$AA,12,0)-'TRADE IN'!$F72))</f>
        <v>8999</v>
      </c>
      <c r="O72" s="46">
        <f>IF(VLOOKUP($C72,REV!$C:$AA,13,0)-'TRADE IN'!$F72=0,"",(VLOOKUP($C72,REV!$C:$AA,13,0)-'TRADE IN'!$F72))</f>
        <v>8899</v>
      </c>
      <c r="P72" s="46">
        <f>IF(VLOOKUP($C72,REV!$C:$AA,14,0)-'TRADE IN'!$F72=0,"",(VLOOKUP($C72,REV!$C:$AA,14,0)-'TRADE IN'!$F72))</f>
        <v>8799</v>
      </c>
      <c r="Q72" s="46">
        <f>IF(VLOOKUP($C72,REV!$C:$AA,15,0)-'TRADE IN'!$F72=0,"",(VLOOKUP($C72,REV!$C:$AA,15,0)-'TRADE IN'!$F72))</f>
        <v>7999</v>
      </c>
      <c r="R72" s="46">
        <f>IF(VLOOKUP($C72,REV!$C:$AA,16,0)-'TRADE IN'!$F72=0,"",(VLOOKUP($C72,REV!$C:$AA,16,0)-'TRADE IN'!$F72))</f>
        <v>8899</v>
      </c>
      <c r="S72" s="46">
        <f>IF(VLOOKUP($C72,REV!$C:$AA,17,0)-'TRADE IN'!$F72=0,"",(VLOOKUP($C72,REV!$C:$AA,17,0)-'TRADE IN'!$F72))</f>
        <v>8799</v>
      </c>
      <c r="T72" s="46">
        <f>IF(VLOOKUP($C72,REV!$C:$AA,18,0)-'TRADE IN'!$F72=0,"",(VLOOKUP($C72,REV!$C:$AA,18,0)-'TRADE IN'!$F72))</f>
        <v>7999</v>
      </c>
      <c r="U72" s="46">
        <f>IF(VLOOKUP($C72,REV!$C:$AA,19,0)-'TRADE IN'!$F72=0,"",(VLOOKUP($C72,REV!$C:$AA,19,0)-'TRADE IN'!$F72))</f>
        <v>7999</v>
      </c>
      <c r="V72" s="46">
        <f>IF(VLOOKUP($C72,REV!$C:$AA,20,0)-'TRADE IN'!$F72=0,"",(VLOOKUP($C72,REV!$C:$AA,20,0)-'TRADE IN'!$F72))</f>
        <v>7699</v>
      </c>
      <c r="W72" s="46">
        <f>IF(VLOOKUP($C72,REV!$C:$AA,21,0)-'TRADE IN'!$F72=0,"",(VLOOKUP($C72,REV!$C:$AA,21,0)-'TRADE IN'!$F72))</f>
        <v>7699</v>
      </c>
      <c r="X72" s="46">
        <f>IF(VLOOKUP($C72,REV!$C:$AA,22,0)-'TRADE IN'!$F72=0,"",(VLOOKUP($C72,REV!$C:$AA,22,0)-'TRADE IN'!$F72))</f>
        <v>7699</v>
      </c>
      <c r="Y72" s="46">
        <f>IF(VLOOKUP($C72,REV!$C:$AA,23,0)-'TRADE IN'!$F72=0,"",(VLOOKUP($C72,REV!$C:$AA,23,0)-'TRADE IN'!$F72))</f>
        <v>7499</v>
      </c>
      <c r="Z72" s="46">
        <f>IF(VLOOKUP($C72,REV!$C:$AA,24,0)-'TRADE IN'!$F72=0,"",(VLOOKUP($C72,REV!$C:$AA,24,0)-'TRADE IN'!$F72))</f>
        <v>7499</v>
      </c>
      <c r="AA72" s="46">
        <f>IF(VLOOKUP($C72,REV!$C:$AA,25,0)-'TRADE IN'!$F72=0,"",(VLOOKUP($C72,REV!$C:$AA,25,0)-'TRADE IN'!$F72))</f>
        <v>7499</v>
      </c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7"/>
      <c r="AW72" s="48" t="str">
        <f>REV!AW72</f>
        <v>01.12.2026</v>
      </c>
      <c r="AX72" s="153" t="str">
        <f>VLOOKUP(C72,REV!C:AX,48,0)</f>
        <v>5G</v>
      </c>
    </row>
    <row r="73" spans="1:50" ht="22.5" customHeight="1">
      <c r="A73" s="41" t="s">
        <v>63</v>
      </c>
      <c r="B73" s="42" t="s">
        <v>64</v>
      </c>
      <c r="C73" s="43">
        <v>4016591</v>
      </c>
      <c r="D73" s="44" t="s">
        <v>143</v>
      </c>
      <c r="E73" s="44" t="s">
        <v>147</v>
      </c>
      <c r="F73" s="45"/>
      <c r="G73" s="45"/>
      <c r="H73" s="46"/>
      <c r="I73" s="46"/>
      <c r="J73" s="46">
        <f>IF(VLOOKUP($C73,REV!$C:$AA,8,0)-'TRADE IN'!$F73=0,"",(VLOOKUP($C73,REV!$C:$AA,8,0)-'TRADE IN'!$F73))</f>
        <v>8999</v>
      </c>
      <c r="K73" s="46">
        <f>IF(VLOOKUP($C73,REV!$C:$AA,9,0)-'TRADE IN'!$F73=0,"",(VLOOKUP($C73,REV!$C:$AA,9,0)-'TRADE IN'!$F73))</f>
        <v>8999</v>
      </c>
      <c r="L73" s="46">
        <f>IF(VLOOKUP($C73,REV!$C:$AA,10,0)-'TRADE IN'!$F73=0,"",(VLOOKUP($C73,REV!$C:$AA,10,0)-'TRADE IN'!$F73))</f>
        <v>8999</v>
      </c>
      <c r="M73" s="46">
        <f>IF(VLOOKUP($C73,REV!$C:$AA,11,0)-'TRADE IN'!$F73=0,"",(VLOOKUP($C73,REV!$C:$AA,11,0)-'TRADE IN'!$F73))</f>
        <v>8999</v>
      </c>
      <c r="N73" s="46">
        <f>IF(VLOOKUP($C73,REV!$C:$AA,12,0)-'TRADE IN'!$F73=0,"",(VLOOKUP($C73,REV!$C:$AA,12,0)-'TRADE IN'!$F73))</f>
        <v>8999</v>
      </c>
      <c r="O73" s="46">
        <f>IF(VLOOKUP($C73,REV!$C:$AA,13,0)-'TRADE IN'!$F73=0,"",(VLOOKUP($C73,REV!$C:$AA,13,0)-'TRADE IN'!$F73))</f>
        <v>8899</v>
      </c>
      <c r="P73" s="46">
        <f>IF(VLOOKUP($C73,REV!$C:$AA,14,0)-'TRADE IN'!$F73=0,"",(VLOOKUP($C73,REV!$C:$AA,14,0)-'TRADE IN'!$F73))</f>
        <v>8799</v>
      </c>
      <c r="Q73" s="46">
        <f>IF(VLOOKUP($C73,REV!$C:$AA,15,0)-'TRADE IN'!$F73=0,"",(VLOOKUP($C73,REV!$C:$AA,15,0)-'TRADE IN'!$F73))</f>
        <v>7999</v>
      </c>
      <c r="R73" s="46">
        <f>IF(VLOOKUP($C73,REV!$C:$AA,16,0)-'TRADE IN'!$F73=0,"",(VLOOKUP($C73,REV!$C:$AA,16,0)-'TRADE IN'!$F73))</f>
        <v>8899</v>
      </c>
      <c r="S73" s="46">
        <f>IF(VLOOKUP($C73,REV!$C:$AA,17,0)-'TRADE IN'!$F73=0,"",(VLOOKUP($C73,REV!$C:$AA,17,0)-'TRADE IN'!$F73))</f>
        <v>8799</v>
      </c>
      <c r="T73" s="46">
        <f>IF(VLOOKUP($C73,REV!$C:$AA,18,0)-'TRADE IN'!$F73=0,"",(VLOOKUP($C73,REV!$C:$AA,18,0)-'TRADE IN'!$F73))</f>
        <v>7999</v>
      </c>
      <c r="U73" s="46">
        <f>IF(VLOOKUP($C73,REV!$C:$AA,19,0)-'TRADE IN'!$F73=0,"",(VLOOKUP($C73,REV!$C:$AA,19,0)-'TRADE IN'!$F73))</f>
        <v>7999</v>
      </c>
      <c r="V73" s="46">
        <f>IF(VLOOKUP($C73,REV!$C:$AA,20,0)-'TRADE IN'!$F73=0,"",(VLOOKUP($C73,REV!$C:$AA,20,0)-'TRADE IN'!$F73))</f>
        <v>7699</v>
      </c>
      <c r="W73" s="46">
        <f>IF(VLOOKUP($C73,REV!$C:$AA,21,0)-'TRADE IN'!$F73=0,"",(VLOOKUP($C73,REV!$C:$AA,21,0)-'TRADE IN'!$F73))</f>
        <v>7699</v>
      </c>
      <c r="X73" s="46">
        <f>IF(VLOOKUP($C73,REV!$C:$AA,22,0)-'TRADE IN'!$F73=0,"",(VLOOKUP($C73,REV!$C:$AA,22,0)-'TRADE IN'!$F73))</f>
        <v>7699</v>
      </c>
      <c r="Y73" s="46">
        <f>IF(VLOOKUP($C73,REV!$C:$AA,23,0)-'TRADE IN'!$F73=0,"",(VLOOKUP($C73,REV!$C:$AA,23,0)-'TRADE IN'!$F73))</f>
        <v>7499</v>
      </c>
      <c r="Z73" s="46">
        <f>IF(VLOOKUP($C73,REV!$C:$AA,24,0)-'TRADE IN'!$F73=0,"",(VLOOKUP($C73,REV!$C:$AA,24,0)-'TRADE IN'!$F73))</f>
        <v>7499</v>
      </c>
      <c r="AA73" s="46">
        <f>IF(VLOOKUP($C73,REV!$C:$AA,25,0)-'TRADE IN'!$F73=0,"",(VLOOKUP($C73,REV!$C:$AA,25,0)-'TRADE IN'!$F73))</f>
        <v>7499</v>
      </c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7"/>
      <c r="AW73" s="48" t="str">
        <f>REV!AW73</f>
        <v>01.12.2026</v>
      </c>
      <c r="AX73" s="153" t="str">
        <f>VLOOKUP(C73,REV!C:AX,48,0)</f>
        <v>5G</v>
      </c>
    </row>
    <row r="74" spans="1:50" ht="22.5" customHeight="1">
      <c r="A74" s="41" t="s">
        <v>63</v>
      </c>
      <c r="B74" s="42" t="s">
        <v>64</v>
      </c>
      <c r="C74" s="43">
        <v>4016595</v>
      </c>
      <c r="D74" s="44" t="s">
        <v>148</v>
      </c>
      <c r="E74" s="44" t="s">
        <v>149</v>
      </c>
      <c r="F74" s="45"/>
      <c r="G74" s="45"/>
      <c r="H74" s="46"/>
      <c r="I74" s="46"/>
      <c r="J74" s="46">
        <f>IF(VLOOKUP($C74,REV!$C:$AA,8,0)-'TRADE IN'!$F74=0,"",(VLOOKUP($C74,REV!$C:$AA,8,0)-'TRADE IN'!$F74))</f>
        <v>9699</v>
      </c>
      <c r="K74" s="46">
        <f>IF(VLOOKUP($C74,REV!$C:$AA,9,0)-'TRADE IN'!$F74=0,"",(VLOOKUP($C74,REV!$C:$AA,9,0)-'TRADE IN'!$F74))</f>
        <v>9699</v>
      </c>
      <c r="L74" s="46">
        <f>IF(VLOOKUP($C74,REV!$C:$AA,10,0)-'TRADE IN'!$F74=0,"",(VLOOKUP($C74,REV!$C:$AA,10,0)-'TRADE IN'!$F74))</f>
        <v>9699</v>
      </c>
      <c r="M74" s="46">
        <f>IF(VLOOKUP($C74,REV!$C:$AA,11,0)-'TRADE IN'!$F74=0,"",(VLOOKUP($C74,REV!$C:$AA,11,0)-'TRADE IN'!$F74))</f>
        <v>9699</v>
      </c>
      <c r="N74" s="46">
        <f>IF(VLOOKUP($C74,REV!$C:$AA,12,0)-'TRADE IN'!$F74=0,"",(VLOOKUP($C74,REV!$C:$AA,12,0)-'TRADE IN'!$F74))</f>
        <v>9699</v>
      </c>
      <c r="O74" s="46">
        <f>IF(VLOOKUP($C74,REV!$C:$AA,13,0)-'TRADE IN'!$F74=0,"",(VLOOKUP($C74,REV!$C:$AA,13,0)-'TRADE IN'!$F74))</f>
        <v>9599</v>
      </c>
      <c r="P74" s="46">
        <f>IF(VLOOKUP($C74,REV!$C:$AA,14,0)-'TRADE IN'!$F74=0,"",(VLOOKUP($C74,REV!$C:$AA,14,0)-'TRADE IN'!$F74))</f>
        <v>9499</v>
      </c>
      <c r="Q74" s="46">
        <f>IF(VLOOKUP($C74,REV!$C:$AA,15,0)-'TRADE IN'!$F74=0,"",(VLOOKUP($C74,REV!$C:$AA,15,0)-'TRADE IN'!$F74))</f>
        <v>8699</v>
      </c>
      <c r="R74" s="46">
        <f>IF(VLOOKUP($C74,REV!$C:$AA,16,0)-'TRADE IN'!$F74=0,"",(VLOOKUP($C74,REV!$C:$AA,16,0)-'TRADE IN'!$F74))</f>
        <v>9599</v>
      </c>
      <c r="S74" s="46">
        <f>IF(VLOOKUP($C74,REV!$C:$AA,17,0)-'TRADE IN'!$F74=0,"",(VLOOKUP($C74,REV!$C:$AA,17,0)-'TRADE IN'!$F74))</f>
        <v>9499</v>
      </c>
      <c r="T74" s="46">
        <f>IF(VLOOKUP($C74,REV!$C:$AA,18,0)-'TRADE IN'!$F74=0,"",(VLOOKUP($C74,REV!$C:$AA,18,0)-'TRADE IN'!$F74))</f>
        <v>8699</v>
      </c>
      <c r="U74" s="46">
        <f>IF(VLOOKUP($C74,REV!$C:$AA,19,0)-'TRADE IN'!$F74=0,"",(VLOOKUP($C74,REV!$C:$AA,19,0)-'TRADE IN'!$F74))</f>
        <v>8699</v>
      </c>
      <c r="V74" s="46">
        <f>IF(VLOOKUP($C74,REV!$C:$AA,20,0)-'TRADE IN'!$F74=0,"",(VLOOKUP($C74,REV!$C:$AA,20,0)-'TRADE IN'!$F74))</f>
        <v>8399</v>
      </c>
      <c r="W74" s="46">
        <f>IF(VLOOKUP($C74,REV!$C:$AA,21,0)-'TRADE IN'!$F74=0,"",(VLOOKUP($C74,REV!$C:$AA,21,0)-'TRADE IN'!$F74))</f>
        <v>8399</v>
      </c>
      <c r="X74" s="46">
        <f>IF(VLOOKUP($C74,REV!$C:$AA,22,0)-'TRADE IN'!$F74=0,"",(VLOOKUP($C74,REV!$C:$AA,22,0)-'TRADE IN'!$F74))</f>
        <v>8399</v>
      </c>
      <c r="Y74" s="46">
        <f>IF(VLOOKUP($C74,REV!$C:$AA,23,0)-'TRADE IN'!$F74=0,"",(VLOOKUP($C74,REV!$C:$AA,23,0)-'TRADE IN'!$F74))</f>
        <v>8199</v>
      </c>
      <c r="Z74" s="46">
        <f>IF(VLOOKUP($C74,REV!$C:$AA,24,0)-'TRADE IN'!$F74=0,"",(VLOOKUP($C74,REV!$C:$AA,24,0)-'TRADE IN'!$F74))</f>
        <v>8199</v>
      </c>
      <c r="AA74" s="46">
        <f>IF(VLOOKUP($C74,REV!$C:$AA,25,0)-'TRADE IN'!$F74=0,"",(VLOOKUP($C74,REV!$C:$AA,25,0)-'TRADE IN'!$F74))</f>
        <v>8199</v>
      </c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7"/>
      <c r="AW74" s="48" t="str">
        <f>REV!AW74</f>
        <v>01.12.2026</v>
      </c>
      <c r="AX74" s="153" t="str">
        <f>VLOOKUP(C74,REV!C:AX,48,0)</f>
        <v>5G</v>
      </c>
    </row>
    <row r="75" spans="1:50" ht="22.5" customHeight="1">
      <c r="A75" s="41" t="s">
        <v>63</v>
      </c>
      <c r="B75" s="42" t="s">
        <v>64</v>
      </c>
      <c r="C75" s="43">
        <v>4016596</v>
      </c>
      <c r="D75" s="44" t="s">
        <v>148</v>
      </c>
      <c r="E75" s="44" t="s">
        <v>150</v>
      </c>
      <c r="F75" s="45"/>
      <c r="G75" s="45"/>
      <c r="H75" s="46"/>
      <c r="I75" s="46"/>
      <c r="J75" s="46">
        <f>IF(VLOOKUP($C75,REV!$C:$AA,8,0)-'TRADE IN'!$F75=0,"",(VLOOKUP($C75,REV!$C:$AA,8,0)-'TRADE IN'!$F75))</f>
        <v>9699</v>
      </c>
      <c r="K75" s="46">
        <f>IF(VLOOKUP($C75,REV!$C:$AA,9,0)-'TRADE IN'!$F75=0,"",(VLOOKUP($C75,REV!$C:$AA,9,0)-'TRADE IN'!$F75))</f>
        <v>9699</v>
      </c>
      <c r="L75" s="46">
        <f>IF(VLOOKUP($C75,REV!$C:$AA,10,0)-'TRADE IN'!$F75=0,"",(VLOOKUP($C75,REV!$C:$AA,10,0)-'TRADE IN'!$F75))</f>
        <v>9699</v>
      </c>
      <c r="M75" s="46">
        <f>IF(VLOOKUP($C75,REV!$C:$AA,11,0)-'TRADE IN'!$F75=0,"",(VLOOKUP($C75,REV!$C:$AA,11,0)-'TRADE IN'!$F75))</f>
        <v>9699</v>
      </c>
      <c r="N75" s="46">
        <f>IF(VLOOKUP($C75,REV!$C:$AA,12,0)-'TRADE IN'!$F75=0,"",(VLOOKUP($C75,REV!$C:$AA,12,0)-'TRADE IN'!$F75))</f>
        <v>9699</v>
      </c>
      <c r="O75" s="46">
        <f>IF(VLOOKUP($C75,REV!$C:$AA,13,0)-'TRADE IN'!$F75=0,"",(VLOOKUP($C75,REV!$C:$AA,13,0)-'TRADE IN'!$F75))</f>
        <v>9599</v>
      </c>
      <c r="P75" s="46">
        <f>IF(VLOOKUP($C75,REV!$C:$AA,14,0)-'TRADE IN'!$F75=0,"",(VLOOKUP($C75,REV!$C:$AA,14,0)-'TRADE IN'!$F75))</f>
        <v>9499</v>
      </c>
      <c r="Q75" s="46">
        <f>IF(VLOOKUP($C75,REV!$C:$AA,15,0)-'TRADE IN'!$F75=0,"",(VLOOKUP($C75,REV!$C:$AA,15,0)-'TRADE IN'!$F75))</f>
        <v>8699</v>
      </c>
      <c r="R75" s="46">
        <f>IF(VLOOKUP($C75,REV!$C:$AA,16,0)-'TRADE IN'!$F75=0,"",(VLOOKUP($C75,REV!$C:$AA,16,0)-'TRADE IN'!$F75))</f>
        <v>9599</v>
      </c>
      <c r="S75" s="46">
        <f>IF(VLOOKUP($C75,REV!$C:$AA,17,0)-'TRADE IN'!$F75=0,"",(VLOOKUP($C75,REV!$C:$AA,17,0)-'TRADE IN'!$F75))</f>
        <v>9499</v>
      </c>
      <c r="T75" s="46">
        <f>IF(VLOOKUP($C75,REV!$C:$AA,18,0)-'TRADE IN'!$F75=0,"",(VLOOKUP($C75,REV!$C:$AA,18,0)-'TRADE IN'!$F75))</f>
        <v>8699</v>
      </c>
      <c r="U75" s="46">
        <f>IF(VLOOKUP($C75,REV!$C:$AA,19,0)-'TRADE IN'!$F75=0,"",(VLOOKUP($C75,REV!$C:$AA,19,0)-'TRADE IN'!$F75))</f>
        <v>8699</v>
      </c>
      <c r="V75" s="46">
        <f>IF(VLOOKUP($C75,REV!$C:$AA,20,0)-'TRADE IN'!$F75=0,"",(VLOOKUP($C75,REV!$C:$AA,20,0)-'TRADE IN'!$F75))</f>
        <v>8399</v>
      </c>
      <c r="W75" s="46">
        <f>IF(VLOOKUP($C75,REV!$C:$AA,21,0)-'TRADE IN'!$F75=0,"",(VLOOKUP($C75,REV!$C:$AA,21,0)-'TRADE IN'!$F75))</f>
        <v>8399</v>
      </c>
      <c r="X75" s="46">
        <f>IF(VLOOKUP($C75,REV!$C:$AA,22,0)-'TRADE IN'!$F75=0,"",(VLOOKUP($C75,REV!$C:$AA,22,0)-'TRADE IN'!$F75))</f>
        <v>8399</v>
      </c>
      <c r="Y75" s="46">
        <f>IF(VLOOKUP($C75,REV!$C:$AA,23,0)-'TRADE IN'!$F75=0,"",(VLOOKUP($C75,REV!$C:$AA,23,0)-'TRADE IN'!$F75))</f>
        <v>8199</v>
      </c>
      <c r="Z75" s="46">
        <f>IF(VLOOKUP($C75,REV!$C:$AA,24,0)-'TRADE IN'!$F75=0,"",(VLOOKUP($C75,REV!$C:$AA,24,0)-'TRADE IN'!$F75))</f>
        <v>8199</v>
      </c>
      <c r="AA75" s="46">
        <f>IF(VLOOKUP($C75,REV!$C:$AA,25,0)-'TRADE IN'!$F75=0,"",(VLOOKUP($C75,REV!$C:$AA,25,0)-'TRADE IN'!$F75))</f>
        <v>8199</v>
      </c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7"/>
      <c r="AW75" s="48" t="str">
        <f>REV!AW75</f>
        <v>01.12.2026</v>
      </c>
      <c r="AX75" s="153" t="str">
        <f>VLOOKUP(C75,REV!C:AX,48,0)</f>
        <v>5G</v>
      </c>
    </row>
    <row r="76" spans="1:50" ht="22.5" customHeight="1">
      <c r="A76" s="41" t="s">
        <v>63</v>
      </c>
      <c r="B76" s="42" t="s">
        <v>64</v>
      </c>
      <c r="C76" s="43">
        <v>4016508</v>
      </c>
      <c r="D76" s="44" t="s">
        <v>148</v>
      </c>
      <c r="E76" s="44" t="s">
        <v>151</v>
      </c>
      <c r="F76" s="45"/>
      <c r="G76" s="45"/>
      <c r="H76" s="46"/>
      <c r="I76" s="46"/>
      <c r="J76" s="46">
        <f>IF(VLOOKUP($C76,REV!$C:$AA,8,0)-'TRADE IN'!$F76=0,"",(VLOOKUP($C76,REV!$C:$AA,8,0)-'TRADE IN'!$F76))</f>
        <v>9699</v>
      </c>
      <c r="K76" s="46">
        <f>IF(VLOOKUP($C76,REV!$C:$AA,9,0)-'TRADE IN'!$F76=0,"",(VLOOKUP($C76,REV!$C:$AA,9,0)-'TRADE IN'!$F76))</f>
        <v>9699</v>
      </c>
      <c r="L76" s="46">
        <f>IF(VLOOKUP($C76,REV!$C:$AA,10,0)-'TRADE IN'!$F76=0,"",(VLOOKUP($C76,REV!$C:$AA,10,0)-'TRADE IN'!$F76))</f>
        <v>9699</v>
      </c>
      <c r="M76" s="46">
        <f>IF(VLOOKUP($C76,REV!$C:$AA,11,0)-'TRADE IN'!$F76=0,"",(VLOOKUP($C76,REV!$C:$AA,11,0)-'TRADE IN'!$F76))</f>
        <v>9699</v>
      </c>
      <c r="N76" s="46">
        <f>IF(VLOOKUP($C76,REV!$C:$AA,12,0)-'TRADE IN'!$F76=0,"",(VLOOKUP($C76,REV!$C:$AA,12,0)-'TRADE IN'!$F76))</f>
        <v>9699</v>
      </c>
      <c r="O76" s="46">
        <f>IF(VLOOKUP($C76,REV!$C:$AA,13,0)-'TRADE IN'!$F76=0,"",(VLOOKUP($C76,REV!$C:$AA,13,0)-'TRADE IN'!$F76))</f>
        <v>9599</v>
      </c>
      <c r="P76" s="46">
        <f>IF(VLOOKUP($C76,REV!$C:$AA,14,0)-'TRADE IN'!$F76=0,"",(VLOOKUP($C76,REV!$C:$AA,14,0)-'TRADE IN'!$F76))</f>
        <v>9499</v>
      </c>
      <c r="Q76" s="46">
        <f>IF(VLOOKUP($C76,REV!$C:$AA,15,0)-'TRADE IN'!$F76=0,"",(VLOOKUP($C76,REV!$C:$AA,15,0)-'TRADE IN'!$F76))</f>
        <v>8699</v>
      </c>
      <c r="R76" s="46">
        <f>IF(VLOOKUP($C76,REV!$C:$AA,16,0)-'TRADE IN'!$F76=0,"",(VLOOKUP($C76,REV!$C:$AA,16,0)-'TRADE IN'!$F76))</f>
        <v>9599</v>
      </c>
      <c r="S76" s="46">
        <f>IF(VLOOKUP($C76,REV!$C:$AA,17,0)-'TRADE IN'!$F76=0,"",(VLOOKUP($C76,REV!$C:$AA,17,0)-'TRADE IN'!$F76))</f>
        <v>9499</v>
      </c>
      <c r="T76" s="46">
        <f>IF(VLOOKUP($C76,REV!$C:$AA,18,0)-'TRADE IN'!$F76=0,"",(VLOOKUP($C76,REV!$C:$AA,18,0)-'TRADE IN'!$F76))</f>
        <v>8699</v>
      </c>
      <c r="U76" s="46">
        <f>IF(VLOOKUP($C76,REV!$C:$AA,19,0)-'TRADE IN'!$F76=0,"",(VLOOKUP($C76,REV!$C:$AA,19,0)-'TRADE IN'!$F76))</f>
        <v>8699</v>
      </c>
      <c r="V76" s="46">
        <f>IF(VLOOKUP($C76,REV!$C:$AA,20,0)-'TRADE IN'!$F76=0,"",(VLOOKUP($C76,REV!$C:$AA,20,0)-'TRADE IN'!$F76))</f>
        <v>8399</v>
      </c>
      <c r="W76" s="46">
        <f>IF(VLOOKUP($C76,REV!$C:$AA,21,0)-'TRADE IN'!$F76=0,"",(VLOOKUP($C76,REV!$C:$AA,21,0)-'TRADE IN'!$F76))</f>
        <v>8399</v>
      </c>
      <c r="X76" s="46">
        <f>IF(VLOOKUP($C76,REV!$C:$AA,22,0)-'TRADE IN'!$F76=0,"",(VLOOKUP($C76,REV!$C:$AA,22,0)-'TRADE IN'!$F76))</f>
        <v>8399</v>
      </c>
      <c r="Y76" s="46">
        <f>IF(VLOOKUP($C76,REV!$C:$AA,23,0)-'TRADE IN'!$F76=0,"",(VLOOKUP($C76,REV!$C:$AA,23,0)-'TRADE IN'!$F76))</f>
        <v>8199</v>
      </c>
      <c r="Z76" s="46">
        <f>IF(VLOOKUP($C76,REV!$C:$AA,24,0)-'TRADE IN'!$F76=0,"",(VLOOKUP($C76,REV!$C:$AA,24,0)-'TRADE IN'!$F76))</f>
        <v>8199</v>
      </c>
      <c r="AA76" s="46">
        <f>IF(VLOOKUP($C76,REV!$C:$AA,25,0)-'TRADE IN'!$F76=0,"",(VLOOKUP($C76,REV!$C:$AA,25,0)-'TRADE IN'!$F76))</f>
        <v>8199</v>
      </c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7"/>
      <c r="AW76" s="48" t="str">
        <f>REV!AW76</f>
        <v>01.12.2026</v>
      </c>
      <c r="AX76" s="153" t="str">
        <f>VLOOKUP(C76,REV!C:AX,48,0)</f>
        <v>5G</v>
      </c>
    </row>
    <row r="77" spans="1:50" ht="22.5" customHeight="1">
      <c r="A77" s="41" t="s">
        <v>63</v>
      </c>
      <c r="B77" s="42" t="s">
        <v>64</v>
      </c>
      <c r="C77" s="43">
        <v>4016507</v>
      </c>
      <c r="D77" s="44" t="s">
        <v>148</v>
      </c>
      <c r="E77" s="44" t="s">
        <v>152</v>
      </c>
      <c r="F77" s="45"/>
      <c r="G77" s="45"/>
      <c r="H77" s="46"/>
      <c r="I77" s="46"/>
      <c r="J77" s="46">
        <f>IF(VLOOKUP($C77,REV!$C:$AA,8,0)-'TRADE IN'!$F77=0,"",(VLOOKUP($C77,REV!$C:$AA,8,0)-'TRADE IN'!$F77))</f>
        <v>9699</v>
      </c>
      <c r="K77" s="46">
        <f>IF(VLOOKUP($C77,REV!$C:$AA,9,0)-'TRADE IN'!$F77=0,"",(VLOOKUP($C77,REV!$C:$AA,9,0)-'TRADE IN'!$F77))</f>
        <v>9699</v>
      </c>
      <c r="L77" s="46">
        <f>IF(VLOOKUP($C77,REV!$C:$AA,10,0)-'TRADE IN'!$F77=0,"",(VLOOKUP($C77,REV!$C:$AA,10,0)-'TRADE IN'!$F77))</f>
        <v>9699</v>
      </c>
      <c r="M77" s="46">
        <f>IF(VLOOKUP($C77,REV!$C:$AA,11,0)-'TRADE IN'!$F77=0,"",(VLOOKUP($C77,REV!$C:$AA,11,0)-'TRADE IN'!$F77))</f>
        <v>9699</v>
      </c>
      <c r="N77" s="46">
        <f>IF(VLOOKUP($C77,REV!$C:$AA,12,0)-'TRADE IN'!$F77=0,"",(VLOOKUP($C77,REV!$C:$AA,12,0)-'TRADE IN'!$F77))</f>
        <v>9699</v>
      </c>
      <c r="O77" s="46">
        <f>IF(VLOOKUP($C77,REV!$C:$AA,13,0)-'TRADE IN'!$F77=0,"",(VLOOKUP($C77,REV!$C:$AA,13,0)-'TRADE IN'!$F77))</f>
        <v>9599</v>
      </c>
      <c r="P77" s="46">
        <f>IF(VLOOKUP($C77,REV!$C:$AA,14,0)-'TRADE IN'!$F77=0,"",(VLOOKUP($C77,REV!$C:$AA,14,0)-'TRADE IN'!$F77))</f>
        <v>9499</v>
      </c>
      <c r="Q77" s="46">
        <f>IF(VLOOKUP($C77,REV!$C:$AA,15,0)-'TRADE IN'!$F77=0,"",(VLOOKUP($C77,REV!$C:$AA,15,0)-'TRADE IN'!$F77))</f>
        <v>8699</v>
      </c>
      <c r="R77" s="46">
        <f>IF(VLOOKUP($C77,REV!$C:$AA,16,0)-'TRADE IN'!$F77=0,"",(VLOOKUP($C77,REV!$C:$AA,16,0)-'TRADE IN'!$F77))</f>
        <v>9599</v>
      </c>
      <c r="S77" s="46">
        <f>IF(VLOOKUP($C77,REV!$C:$AA,17,0)-'TRADE IN'!$F77=0,"",(VLOOKUP($C77,REV!$C:$AA,17,0)-'TRADE IN'!$F77))</f>
        <v>9499</v>
      </c>
      <c r="T77" s="46">
        <f>IF(VLOOKUP($C77,REV!$C:$AA,18,0)-'TRADE IN'!$F77=0,"",(VLOOKUP($C77,REV!$C:$AA,18,0)-'TRADE IN'!$F77))</f>
        <v>8699</v>
      </c>
      <c r="U77" s="46">
        <f>IF(VLOOKUP($C77,REV!$C:$AA,19,0)-'TRADE IN'!$F77=0,"",(VLOOKUP($C77,REV!$C:$AA,19,0)-'TRADE IN'!$F77))</f>
        <v>8699</v>
      </c>
      <c r="V77" s="46">
        <f>IF(VLOOKUP($C77,REV!$C:$AA,20,0)-'TRADE IN'!$F77=0,"",(VLOOKUP($C77,REV!$C:$AA,20,0)-'TRADE IN'!$F77))</f>
        <v>8399</v>
      </c>
      <c r="W77" s="46">
        <f>IF(VLOOKUP($C77,REV!$C:$AA,21,0)-'TRADE IN'!$F77=0,"",(VLOOKUP($C77,REV!$C:$AA,21,0)-'TRADE IN'!$F77))</f>
        <v>8399</v>
      </c>
      <c r="X77" s="46">
        <f>IF(VLOOKUP($C77,REV!$C:$AA,22,0)-'TRADE IN'!$F77=0,"",(VLOOKUP($C77,REV!$C:$AA,22,0)-'TRADE IN'!$F77))</f>
        <v>8399</v>
      </c>
      <c r="Y77" s="46">
        <f>IF(VLOOKUP($C77,REV!$C:$AA,23,0)-'TRADE IN'!$F77=0,"",(VLOOKUP($C77,REV!$C:$AA,23,0)-'TRADE IN'!$F77))</f>
        <v>8199</v>
      </c>
      <c r="Z77" s="46">
        <f>IF(VLOOKUP($C77,REV!$C:$AA,24,0)-'TRADE IN'!$F77=0,"",(VLOOKUP($C77,REV!$C:$AA,24,0)-'TRADE IN'!$F77))</f>
        <v>8199</v>
      </c>
      <c r="AA77" s="46">
        <f>IF(VLOOKUP($C77,REV!$C:$AA,25,0)-'TRADE IN'!$F77=0,"",(VLOOKUP($C77,REV!$C:$AA,25,0)-'TRADE IN'!$F77))</f>
        <v>8199</v>
      </c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7"/>
      <c r="AW77" s="48" t="str">
        <f>REV!AW77</f>
        <v>01.12.2026</v>
      </c>
      <c r="AX77" s="153" t="str">
        <f>VLOOKUP(C77,REV!C:AX,48,0)</f>
        <v>5G</v>
      </c>
    </row>
    <row r="78" spans="1:50" ht="22.5" customHeight="1">
      <c r="A78" s="41" t="s">
        <v>63</v>
      </c>
      <c r="B78" s="42" t="s">
        <v>64</v>
      </c>
      <c r="C78" s="43">
        <v>4016598</v>
      </c>
      <c r="D78" s="44" t="s">
        <v>153</v>
      </c>
      <c r="E78" s="44" t="s">
        <v>154</v>
      </c>
      <c r="F78" s="45"/>
      <c r="G78" s="45"/>
      <c r="H78" s="46"/>
      <c r="I78" s="46"/>
      <c r="J78" s="46">
        <f>IF(VLOOKUP($C78,REV!$C:$AA,8,0)-'TRADE IN'!$F78=0,"",(VLOOKUP($C78,REV!$C:$AA,8,0)-'TRADE IN'!$F78))</f>
        <v>11799</v>
      </c>
      <c r="K78" s="46">
        <f>IF(VLOOKUP($C78,REV!$C:$AA,9,0)-'TRADE IN'!$F78=0,"",(VLOOKUP($C78,REV!$C:$AA,9,0)-'TRADE IN'!$F78))</f>
        <v>11799</v>
      </c>
      <c r="L78" s="46">
        <f>IF(VLOOKUP($C78,REV!$C:$AA,10,0)-'TRADE IN'!$F78=0,"",(VLOOKUP($C78,REV!$C:$AA,10,0)-'TRADE IN'!$F78))</f>
        <v>11799</v>
      </c>
      <c r="M78" s="46">
        <f>IF(VLOOKUP($C78,REV!$C:$AA,11,0)-'TRADE IN'!$F78=0,"",(VLOOKUP($C78,REV!$C:$AA,11,0)-'TRADE IN'!$F78))</f>
        <v>11799</v>
      </c>
      <c r="N78" s="46">
        <f>IF(VLOOKUP($C78,REV!$C:$AA,12,0)-'TRADE IN'!$F78=0,"",(VLOOKUP($C78,REV!$C:$AA,12,0)-'TRADE IN'!$F78))</f>
        <v>11799</v>
      </c>
      <c r="O78" s="46">
        <f>IF(VLOOKUP($C78,REV!$C:$AA,13,0)-'TRADE IN'!$F78=0,"",(VLOOKUP($C78,REV!$C:$AA,13,0)-'TRADE IN'!$F78))</f>
        <v>11699</v>
      </c>
      <c r="P78" s="46">
        <f>IF(VLOOKUP($C78,REV!$C:$AA,14,0)-'TRADE IN'!$F78=0,"",(VLOOKUP($C78,REV!$C:$AA,14,0)-'TRADE IN'!$F78))</f>
        <v>11599</v>
      </c>
      <c r="Q78" s="46">
        <f>IF(VLOOKUP($C78,REV!$C:$AA,15,0)-'TRADE IN'!$F78=0,"",(VLOOKUP($C78,REV!$C:$AA,15,0)-'TRADE IN'!$F78))</f>
        <v>10799</v>
      </c>
      <c r="R78" s="46">
        <f>IF(VLOOKUP($C78,REV!$C:$AA,16,0)-'TRADE IN'!$F78=0,"",(VLOOKUP($C78,REV!$C:$AA,16,0)-'TRADE IN'!$F78))</f>
        <v>11699</v>
      </c>
      <c r="S78" s="46">
        <f>IF(VLOOKUP($C78,REV!$C:$AA,17,0)-'TRADE IN'!$F78=0,"",(VLOOKUP($C78,REV!$C:$AA,17,0)-'TRADE IN'!$F78))</f>
        <v>11599</v>
      </c>
      <c r="T78" s="46">
        <f>IF(VLOOKUP($C78,REV!$C:$AA,18,0)-'TRADE IN'!$F78=0,"",(VLOOKUP($C78,REV!$C:$AA,18,0)-'TRADE IN'!$F78))</f>
        <v>10799</v>
      </c>
      <c r="U78" s="46">
        <f>IF(VLOOKUP($C78,REV!$C:$AA,19,0)-'TRADE IN'!$F78=0,"",(VLOOKUP($C78,REV!$C:$AA,19,0)-'TRADE IN'!$F78))</f>
        <v>10799</v>
      </c>
      <c r="V78" s="46">
        <f>IF(VLOOKUP($C78,REV!$C:$AA,20,0)-'TRADE IN'!$F78=0,"",(VLOOKUP($C78,REV!$C:$AA,20,0)-'TRADE IN'!$F78))</f>
        <v>10799</v>
      </c>
      <c r="W78" s="46">
        <f>IF(VLOOKUP($C78,REV!$C:$AA,21,0)-'TRADE IN'!$F78=0,"",(VLOOKUP($C78,REV!$C:$AA,21,0)-'TRADE IN'!$F78))</f>
        <v>10699</v>
      </c>
      <c r="X78" s="46">
        <f>IF(VLOOKUP($C78,REV!$C:$AA,22,0)-'TRADE IN'!$F78=0,"",(VLOOKUP($C78,REV!$C:$AA,22,0)-'TRADE IN'!$F78))</f>
        <v>10699</v>
      </c>
      <c r="Y78" s="46">
        <f>IF(VLOOKUP($C78,REV!$C:$AA,23,0)-'TRADE IN'!$F78=0,"",(VLOOKUP($C78,REV!$C:$AA,23,0)-'TRADE IN'!$F78))</f>
        <v>9699</v>
      </c>
      <c r="Z78" s="46">
        <f>IF(VLOOKUP($C78,REV!$C:$AA,24,0)-'TRADE IN'!$F78=0,"",(VLOOKUP($C78,REV!$C:$AA,24,0)-'TRADE IN'!$F78))</f>
        <v>9599</v>
      </c>
      <c r="AA78" s="46">
        <f>IF(VLOOKUP($C78,REV!$C:$AA,25,0)-'TRADE IN'!$F78=0,"",(VLOOKUP($C78,REV!$C:$AA,25,0)-'TRADE IN'!$F78))</f>
        <v>9599</v>
      </c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7"/>
      <c r="AW78" s="48" t="str">
        <f>REV!AW78</f>
        <v>01.12.2026</v>
      </c>
      <c r="AX78" s="153" t="str">
        <f>VLOOKUP(C78,REV!C:AX,48,0)</f>
        <v>5G</v>
      </c>
    </row>
    <row r="79" spans="1:50" ht="22.5" customHeight="1">
      <c r="A79" s="41" t="s">
        <v>63</v>
      </c>
      <c r="B79" s="42" t="s">
        <v>64</v>
      </c>
      <c r="C79" s="43">
        <v>4016606</v>
      </c>
      <c r="D79" s="44" t="s">
        <v>155</v>
      </c>
      <c r="E79" s="44" t="s">
        <v>156</v>
      </c>
      <c r="F79" s="45"/>
      <c r="G79" s="45"/>
      <c r="H79" s="46"/>
      <c r="I79" s="46"/>
      <c r="J79" s="46">
        <f>IF(VLOOKUP($C79,REV!$C:$AA,8,0)-'TRADE IN'!$F79=0,"",(VLOOKUP($C79,REV!$C:$AA,8,0)-'TRADE IN'!$F79))</f>
        <v>10899</v>
      </c>
      <c r="K79" s="46">
        <f>IF(VLOOKUP($C79,REV!$C:$AA,9,0)-'TRADE IN'!$F79=0,"",(VLOOKUP($C79,REV!$C:$AA,9,0)-'TRADE IN'!$F79))</f>
        <v>10899</v>
      </c>
      <c r="L79" s="46">
        <f>IF(VLOOKUP($C79,REV!$C:$AA,10,0)-'TRADE IN'!$F79=0,"",(VLOOKUP($C79,REV!$C:$AA,10,0)-'TRADE IN'!$F79))</f>
        <v>10899</v>
      </c>
      <c r="M79" s="46">
        <f>IF(VLOOKUP($C79,REV!$C:$AA,11,0)-'TRADE IN'!$F79=0,"",(VLOOKUP($C79,REV!$C:$AA,11,0)-'TRADE IN'!$F79))</f>
        <v>10899</v>
      </c>
      <c r="N79" s="46">
        <f>IF(VLOOKUP($C79,REV!$C:$AA,12,0)-'TRADE IN'!$F79=0,"",(VLOOKUP($C79,REV!$C:$AA,12,0)-'TRADE IN'!$F79))</f>
        <v>10899</v>
      </c>
      <c r="O79" s="46">
        <f>IF(VLOOKUP($C79,REV!$C:$AA,13,0)-'TRADE IN'!$F79=0,"",(VLOOKUP($C79,REV!$C:$AA,13,0)-'TRADE IN'!$F79))</f>
        <v>10599</v>
      </c>
      <c r="P79" s="46">
        <f>IF(VLOOKUP($C79,REV!$C:$AA,14,0)-'TRADE IN'!$F79=0,"",(VLOOKUP($C79,REV!$C:$AA,14,0)-'TRADE IN'!$F79))</f>
        <v>10499</v>
      </c>
      <c r="Q79" s="46">
        <f>IF(VLOOKUP($C79,REV!$C:$AA,15,0)-'TRADE IN'!$F79=0,"",(VLOOKUP($C79,REV!$C:$AA,15,0)-'TRADE IN'!$F79))</f>
        <v>9799</v>
      </c>
      <c r="R79" s="46">
        <f>IF(VLOOKUP($C79,REV!$C:$AA,16,0)-'TRADE IN'!$F79=0,"",(VLOOKUP($C79,REV!$C:$AA,16,0)-'TRADE IN'!$F79))</f>
        <v>10599</v>
      </c>
      <c r="S79" s="46">
        <f>IF(VLOOKUP($C79,REV!$C:$AA,17,0)-'TRADE IN'!$F79=0,"",(VLOOKUP($C79,REV!$C:$AA,17,0)-'TRADE IN'!$F79))</f>
        <v>10499</v>
      </c>
      <c r="T79" s="46">
        <f>IF(VLOOKUP($C79,REV!$C:$AA,18,0)-'TRADE IN'!$F79=0,"",(VLOOKUP($C79,REV!$C:$AA,18,0)-'TRADE IN'!$F79))</f>
        <v>9799</v>
      </c>
      <c r="U79" s="46">
        <f>IF(VLOOKUP($C79,REV!$C:$AA,19,0)-'TRADE IN'!$F79=0,"",(VLOOKUP($C79,REV!$C:$AA,19,0)-'TRADE IN'!$F79))</f>
        <v>9799</v>
      </c>
      <c r="V79" s="46">
        <f>IF(VLOOKUP($C79,REV!$C:$AA,20,0)-'TRADE IN'!$F79=0,"",(VLOOKUP($C79,REV!$C:$AA,20,0)-'TRADE IN'!$F79))</f>
        <v>9799</v>
      </c>
      <c r="W79" s="46">
        <f>IF(VLOOKUP($C79,REV!$C:$AA,21,0)-'TRADE IN'!$F79=0,"",(VLOOKUP($C79,REV!$C:$AA,21,0)-'TRADE IN'!$F79))</f>
        <v>9799</v>
      </c>
      <c r="X79" s="46">
        <f>IF(VLOOKUP($C79,REV!$C:$AA,22,0)-'TRADE IN'!$F79=0,"",(VLOOKUP($C79,REV!$C:$AA,22,0)-'TRADE IN'!$F79))</f>
        <v>9599</v>
      </c>
      <c r="Y79" s="46">
        <f>IF(VLOOKUP($C79,REV!$C:$AA,23,0)-'TRADE IN'!$F79=0,"",(VLOOKUP($C79,REV!$C:$AA,23,0)-'TRADE IN'!$F79))</f>
        <v>8999</v>
      </c>
      <c r="Z79" s="46">
        <f>IF(VLOOKUP($C79,REV!$C:$AA,24,0)-'TRADE IN'!$F79=0,"",(VLOOKUP($C79,REV!$C:$AA,24,0)-'TRADE IN'!$F79))</f>
        <v>8999</v>
      </c>
      <c r="AA79" s="46">
        <f>IF(VLOOKUP($C79,REV!$C:$AA,25,0)-'TRADE IN'!$F79=0,"",(VLOOKUP($C79,REV!$C:$AA,25,0)-'TRADE IN'!$F79))</f>
        <v>8999</v>
      </c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7"/>
      <c r="AW79" s="48" t="str">
        <f>REV!AW79</f>
        <v>01.12.2026</v>
      </c>
      <c r="AX79" s="153" t="str">
        <f>VLOOKUP(C79,REV!C:AX,48,0)</f>
        <v>5G</v>
      </c>
    </row>
    <row r="80" spans="1:50" ht="22.5" customHeight="1">
      <c r="A80" s="41" t="s">
        <v>63</v>
      </c>
      <c r="B80" s="42" t="s">
        <v>64</v>
      </c>
      <c r="C80" s="43">
        <v>4016618</v>
      </c>
      <c r="D80" s="44" t="s">
        <v>155</v>
      </c>
      <c r="E80" s="44" t="s">
        <v>157</v>
      </c>
      <c r="F80" s="45"/>
      <c r="G80" s="45"/>
      <c r="H80" s="46"/>
      <c r="I80" s="46"/>
      <c r="J80" s="46">
        <f>IF(VLOOKUP($C80,REV!$C:$AA,8,0)-'TRADE IN'!$F80=0,"",(VLOOKUP($C80,REV!$C:$AA,8,0)-'TRADE IN'!$F80))</f>
        <v>10899</v>
      </c>
      <c r="K80" s="46">
        <f>IF(VLOOKUP($C80,REV!$C:$AA,9,0)-'TRADE IN'!$F80=0,"",(VLOOKUP($C80,REV!$C:$AA,9,0)-'TRADE IN'!$F80))</f>
        <v>10899</v>
      </c>
      <c r="L80" s="46">
        <f>IF(VLOOKUP($C80,REV!$C:$AA,10,0)-'TRADE IN'!$F80=0,"",(VLOOKUP($C80,REV!$C:$AA,10,0)-'TRADE IN'!$F80))</f>
        <v>10899</v>
      </c>
      <c r="M80" s="46">
        <f>IF(VLOOKUP($C80,REV!$C:$AA,11,0)-'TRADE IN'!$F80=0,"",(VLOOKUP($C80,REV!$C:$AA,11,0)-'TRADE IN'!$F80))</f>
        <v>10899</v>
      </c>
      <c r="N80" s="46">
        <f>IF(VLOOKUP($C80,REV!$C:$AA,12,0)-'TRADE IN'!$F80=0,"",(VLOOKUP($C80,REV!$C:$AA,12,0)-'TRADE IN'!$F80))</f>
        <v>10899</v>
      </c>
      <c r="O80" s="46">
        <f>IF(VLOOKUP($C80,REV!$C:$AA,13,0)-'TRADE IN'!$F80=0,"",(VLOOKUP($C80,REV!$C:$AA,13,0)-'TRADE IN'!$F80))</f>
        <v>10599</v>
      </c>
      <c r="P80" s="46">
        <f>IF(VLOOKUP($C80,REV!$C:$AA,14,0)-'TRADE IN'!$F80=0,"",(VLOOKUP($C80,REV!$C:$AA,14,0)-'TRADE IN'!$F80))</f>
        <v>10499</v>
      </c>
      <c r="Q80" s="46">
        <f>IF(VLOOKUP($C80,REV!$C:$AA,15,0)-'TRADE IN'!$F80=0,"",(VLOOKUP($C80,REV!$C:$AA,15,0)-'TRADE IN'!$F80))</f>
        <v>9799</v>
      </c>
      <c r="R80" s="46">
        <f>IF(VLOOKUP($C80,REV!$C:$AA,16,0)-'TRADE IN'!$F80=0,"",(VLOOKUP($C80,REV!$C:$AA,16,0)-'TRADE IN'!$F80))</f>
        <v>10599</v>
      </c>
      <c r="S80" s="46">
        <f>IF(VLOOKUP($C80,REV!$C:$AA,17,0)-'TRADE IN'!$F80=0,"",(VLOOKUP($C80,REV!$C:$AA,17,0)-'TRADE IN'!$F80))</f>
        <v>10499</v>
      </c>
      <c r="T80" s="46">
        <f>IF(VLOOKUP($C80,REV!$C:$AA,18,0)-'TRADE IN'!$F80=0,"",(VLOOKUP($C80,REV!$C:$AA,18,0)-'TRADE IN'!$F80))</f>
        <v>9799</v>
      </c>
      <c r="U80" s="46">
        <f>IF(VLOOKUP($C80,REV!$C:$AA,19,0)-'TRADE IN'!$F80=0,"",(VLOOKUP($C80,REV!$C:$AA,19,0)-'TRADE IN'!$F80))</f>
        <v>9799</v>
      </c>
      <c r="V80" s="46">
        <f>IF(VLOOKUP($C80,REV!$C:$AA,20,0)-'TRADE IN'!$F80=0,"",(VLOOKUP($C80,REV!$C:$AA,20,0)-'TRADE IN'!$F80))</f>
        <v>9799</v>
      </c>
      <c r="W80" s="46">
        <f>IF(VLOOKUP($C80,REV!$C:$AA,21,0)-'TRADE IN'!$F80=0,"",(VLOOKUP($C80,REV!$C:$AA,21,0)-'TRADE IN'!$F80))</f>
        <v>9799</v>
      </c>
      <c r="X80" s="46">
        <f>IF(VLOOKUP($C80,REV!$C:$AA,22,0)-'TRADE IN'!$F80=0,"",(VLOOKUP($C80,REV!$C:$AA,22,0)-'TRADE IN'!$F80))</f>
        <v>9599</v>
      </c>
      <c r="Y80" s="46">
        <f>IF(VLOOKUP($C80,REV!$C:$AA,23,0)-'TRADE IN'!$F80=0,"",(VLOOKUP($C80,REV!$C:$AA,23,0)-'TRADE IN'!$F80))</f>
        <v>8999</v>
      </c>
      <c r="Z80" s="46">
        <f>IF(VLOOKUP($C80,REV!$C:$AA,24,0)-'TRADE IN'!$F80=0,"",(VLOOKUP($C80,REV!$C:$AA,24,0)-'TRADE IN'!$F80))</f>
        <v>8999</v>
      </c>
      <c r="AA80" s="46">
        <f>IF(VLOOKUP($C80,REV!$C:$AA,25,0)-'TRADE IN'!$F80=0,"",(VLOOKUP($C80,REV!$C:$AA,25,0)-'TRADE IN'!$F80))</f>
        <v>8999</v>
      </c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7"/>
      <c r="AW80" s="48" t="str">
        <f>REV!AW80</f>
        <v>01.12.2026</v>
      </c>
      <c r="AX80" s="153" t="str">
        <f>VLOOKUP(C80,REV!C:AX,48,0)</f>
        <v>5G</v>
      </c>
    </row>
    <row r="81" spans="1:50" ht="22.5" customHeight="1">
      <c r="A81" s="41" t="s">
        <v>63</v>
      </c>
      <c r="B81" s="42" t="s">
        <v>64</v>
      </c>
      <c r="C81" s="43">
        <v>4016617</v>
      </c>
      <c r="D81" s="44" t="s">
        <v>155</v>
      </c>
      <c r="E81" s="44" t="s">
        <v>158</v>
      </c>
      <c r="F81" s="45"/>
      <c r="G81" s="45"/>
      <c r="H81" s="46"/>
      <c r="I81" s="46"/>
      <c r="J81" s="46">
        <f>IF(VLOOKUP($C81,REV!$C:$AA,8,0)-'TRADE IN'!$F81=0,"",(VLOOKUP($C81,REV!$C:$AA,8,0)-'TRADE IN'!$F81))</f>
        <v>10899</v>
      </c>
      <c r="K81" s="46">
        <f>IF(VLOOKUP($C81,REV!$C:$AA,9,0)-'TRADE IN'!$F81=0,"",(VLOOKUP($C81,REV!$C:$AA,9,0)-'TRADE IN'!$F81))</f>
        <v>10899</v>
      </c>
      <c r="L81" s="46">
        <f>IF(VLOOKUP($C81,REV!$C:$AA,10,0)-'TRADE IN'!$F81=0,"",(VLOOKUP($C81,REV!$C:$AA,10,0)-'TRADE IN'!$F81))</f>
        <v>10899</v>
      </c>
      <c r="M81" s="46">
        <f>IF(VLOOKUP($C81,REV!$C:$AA,11,0)-'TRADE IN'!$F81=0,"",(VLOOKUP($C81,REV!$C:$AA,11,0)-'TRADE IN'!$F81))</f>
        <v>10899</v>
      </c>
      <c r="N81" s="46">
        <f>IF(VLOOKUP($C81,REV!$C:$AA,12,0)-'TRADE IN'!$F81=0,"",(VLOOKUP($C81,REV!$C:$AA,12,0)-'TRADE IN'!$F81))</f>
        <v>10899</v>
      </c>
      <c r="O81" s="46">
        <f>IF(VLOOKUP($C81,REV!$C:$AA,13,0)-'TRADE IN'!$F81=0,"",(VLOOKUP($C81,REV!$C:$AA,13,0)-'TRADE IN'!$F81))</f>
        <v>10599</v>
      </c>
      <c r="P81" s="46">
        <f>IF(VLOOKUP($C81,REV!$C:$AA,14,0)-'TRADE IN'!$F81=0,"",(VLOOKUP($C81,REV!$C:$AA,14,0)-'TRADE IN'!$F81))</f>
        <v>10499</v>
      </c>
      <c r="Q81" s="46">
        <f>IF(VLOOKUP($C81,REV!$C:$AA,15,0)-'TRADE IN'!$F81=0,"",(VLOOKUP($C81,REV!$C:$AA,15,0)-'TRADE IN'!$F81))</f>
        <v>9799</v>
      </c>
      <c r="R81" s="46">
        <f>IF(VLOOKUP($C81,REV!$C:$AA,16,0)-'TRADE IN'!$F81=0,"",(VLOOKUP($C81,REV!$C:$AA,16,0)-'TRADE IN'!$F81))</f>
        <v>10599</v>
      </c>
      <c r="S81" s="46">
        <f>IF(VLOOKUP($C81,REV!$C:$AA,17,0)-'TRADE IN'!$F81=0,"",(VLOOKUP($C81,REV!$C:$AA,17,0)-'TRADE IN'!$F81))</f>
        <v>10499</v>
      </c>
      <c r="T81" s="46">
        <f>IF(VLOOKUP($C81,REV!$C:$AA,18,0)-'TRADE IN'!$F81=0,"",(VLOOKUP($C81,REV!$C:$AA,18,0)-'TRADE IN'!$F81))</f>
        <v>9799</v>
      </c>
      <c r="U81" s="46">
        <f>IF(VLOOKUP($C81,REV!$C:$AA,19,0)-'TRADE IN'!$F81=0,"",(VLOOKUP($C81,REV!$C:$AA,19,0)-'TRADE IN'!$F81))</f>
        <v>9799</v>
      </c>
      <c r="V81" s="46">
        <f>IF(VLOOKUP($C81,REV!$C:$AA,20,0)-'TRADE IN'!$F81=0,"",(VLOOKUP($C81,REV!$C:$AA,20,0)-'TRADE IN'!$F81))</f>
        <v>9799</v>
      </c>
      <c r="W81" s="46">
        <f>IF(VLOOKUP($C81,REV!$C:$AA,21,0)-'TRADE IN'!$F81=0,"",(VLOOKUP($C81,REV!$C:$AA,21,0)-'TRADE IN'!$F81))</f>
        <v>9799</v>
      </c>
      <c r="X81" s="46">
        <f>IF(VLOOKUP($C81,REV!$C:$AA,22,0)-'TRADE IN'!$F81=0,"",(VLOOKUP($C81,REV!$C:$AA,22,0)-'TRADE IN'!$F81))</f>
        <v>9599</v>
      </c>
      <c r="Y81" s="46">
        <f>IF(VLOOKUP($C81,REV!$C:$AA,23,0)-'TRADE IN'!$F81=0,"",(VLOOKUP($C81,REV!$C:$AA,23,0)-'TRADE IN'!$F81))</f>
        <v>8999</v>
      </c>
      <c r="Z81" s="46">
        <f>IF(VLOOKUP($C81,REV!$C:$AA,24,0)-'TRADE IN'!$F81=0,"",(VLOOKUP($C81,REV!$C:$AA,24,0)-'TRADE IN'!$F81))</f>
        <v>8999</v>
      </c>
      <c r="AA81" s="46">
        <f>IF(VLOOKUP($C81,REV!$C:$AA,25,0)-'TRADE IN'!$F81=0,"",(VLOOKUP($C81,REV!$C:$AA,25,0)-'TRADE IN'!$F81))</f>
        <v>8999</v>
      </c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7"/>
      <c r="AW81" s="48" t="str">
        <f>REV!AW81</f>
        <v>01.12.2026</v>
      </c>
      <c r="AX81" s="153" t="str">
        <f>VLOOKUP(C81,REV!C:AX,48,0)</f>
        <v>5G</v>
      </c>
    </row>
    <row r="82" spans="1:50" ht="22.5" customHeight="1">
      <c r="A82" s="41" t="s">
        <v>63</v>
      </c>
      <c r="B82" s="42" t="s">
        <v>64</v>
      </c>
      <c r="C82" s="43">
        <v>4016605</v>
      </c>
      <c r="D82" s="44" t="s">
        <v>155</v>
      </c>
      <c r="E82" s="44" t="s">
        <v>159</v>
      </c>
      <c r="F82" s="45"/>
      <c r="G82" s="45"/>
      <c r="H82" s="46"/>
      <c r="I82" s="46"/>
      <c r="J82" s="46">
        <f>IF(VLOOKUP($C82,REV!$C:$AA,8,0)-'TRADE IN'!$F82=0,"",(VLOOKUP($C82,REV!$C:$AA,8,0)-'TRADE IN'!$F82))</f>
        <v>10899</v>
      </c>
      <c r="K82" s="46">
        <f>IF(VLOOKUP($C82,REV!$C:$AA,9,0)-'TRADE IN'!$F82=0,"",(VLOOKUP($C82,REV!$C:$AA,9,0)-'TRADE IN'!$F82))</f>
        <v>10899</v>
      </c>
      <c r="L82" s="46">
        <f>IF(VLOOKUP($C82,REV!$C:$AA,10,0)-'TRADE IN'!$F82=0,"",(VLOOKUP($C82,REV!$C:$AA,10,0)-'TRADE IN'!$F82))</f>
        <v>10899</v>
      </c>
      <c r="M82" s="46">
        <f>IF(VLOOKUP($C82,REV!$C:$AA,11,0)-'TRADE IN'!$F82=0,"",(VLOOKUP($C82,REV!$C:$AA,11,0)-'TRADE IN'!$F82))</f>
        <v>10899</v>
      </c>
      <c r="N82" s="46">
        <f>IF(VLOOKUP($C82,REV!$C:$AA,12,0)-'TRADE IN'!$F82=0,"",(VLOOKUP($C82,REV!$C:$AA,12,0)-'TRADE IN'!$F82))</f>
        <v>10899</v>
      </c>
      <c r="O82" s="46">
        <f>IF(VLOOKUP($C82,REV!$C:$AA,13,0)-'TRADE IN'!$F82=0,"",(VLOOKUP($C82,REV!$C:$AA,13,0)-'TRADE IN'!$F82))</f>
        <v>10599</v>
      </c>
      <c r="P82" s="46">
        <f>IF(VLOOKUP($C82,REV!$C:$AA,14,0)-'TRADE IN'!$F82=0,"",(VLOOKUP($C82,REV!$C:$AA,14,0)-'TRADE IN'!$F82))</f>
        <v>10499</v>
      </c>
      <c r="Q82" s="46">
        <f>IF(VLOOKUP($C82,REV!$C:$AA,15,0)-'TRADE IN'!$F82=0,"",(VLOOKUP($C82,REV!$C:$AA,15,0)-'TRADE IN'!$F82))</f>
        <v>9799</v>
      </c>
      <c r="R82" s="46">
        <f>IF(VLOOKUP($C82,REV!$C:$AA,16,0)-'TRADE IN'!$F82=0,"",(VLOOKUP($C82,REV!$C:$AA,16,0)-'TRADE IN'!$F82))</f>
        <v>10599</v>
      </c>
      <c r="S82" s="46">
        <f>IF(VLOOKUP($C82,REV!$C:$AA,17,0)-'TRADE IN'!$F82=0,"",(VLOOKUP($C82,REV!$C:$AA,17,0)-'TRADE IN'!$F82))</f>
        <v>10499</v>
      </c>
      <c r="T82" s="46">
        <f>IF(VLOOKUP($C82,REV!$C:$AA,18,0)-'TRADE IN'!$F82=0,"",(VLOOKUP($C82,REV!$C:$AA,18,0)-'TRADE IN'!$F82))</f>
        <v>9799</v>
      </c>
      <c r="U82" s="46">
        <f>IF(VLOOKUP($C82,REV!$C:$AA,19,0)-'TRADE IN'!$F82=0,"",(VLOOKUP($C82,REV!$C:$AA,19,0)-'TRADE IN'!$F82))</f>
        <v>9799</v>
      </c>
      <c r="V82" s="46">
        <f>IF(VLOOKUP($C82,REV!$C:$AA,20,0)-'TRADE IN'!$F82=0,"",(VLOOKUP($C82,REV!$C:$AA,20,0)-'TRADE IN'!$F82))</f>
        <v>9799</v>
      </c>
      <c r="W82" s="46">
        <f>IF(VLOOKUP($C82,REV!$C:$AA,21,0)-'TRADE IN'!$F82=0,"",(VLOOKUP($C82,REV!$C:$AA,21,0)-'TRADE IN'!$F82))</f>
        <v>9799</v>
      </c>
      <c r="X82" s="46">
        <f>IF(VLOOKUP($C82,REV!$C:$AA,22,0)-'TRADE IN'!$F82=0,"",(VLOOKUP($C82,REV!$C:$AA,22,0)-'TRADE IN'!$F82))</f>
        <v>9599</v>
      </c>
      <c r="Y82" s="46">
        <f>IF(VLOOKUP($C82,REV!$C:$AA,23,0)-'TRADE IN'!$F82=0,"",(VLOOKUP($C82,REV!$C:$AA,23,0)-'TRADE IN'!$F82))</f>
        <v>8999</v>
      </c>
      <c r="Z82" s="46">
        <f>IF(VLOOKUP($C82,REV!$C:$AA,24,0)-'TRADE IN'!$F82=0,"",(VLOOKUP($C82,REV!$C:$AA,24,0)-'TRADE IN'!$F82))</f>
        <v>8999</v>
      </c>
      <c r="AA82" s="46">
        <f>IF(VLOOKUP($C82,REV!$C:$AA,25,0)-'TRADE IN'!$F82=0,"",(VLOOKUP($C82,REV!$C:$AA,25,0)-'TRADE IN'!$F82))</f>
        <v>8999</v>
      </c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7"/>
      <c r="AW82" s="48" t="str">
        <f>REV!AW82</f>
        <v>01.12.2026</v>
      </c>
      <c r="AX82" s="153" t="str">
        <f>VLOOKUP(C82,REV!C:AX,48,0)</f>
        <v>5G</v>
      </c>
    </row>
    <row r="83" spans="1:50" ht="22.5" customHeight="1">
      <c r="A83" s="41" t="s">
        <v>63</v>
      </c>
      <c r="B83" s="42" t="s">
        <v>64</v>
      </c>
      <c r="C83" s="43">
        <v>4016613</v>
      </c>
      <c r="D83" s="44" t="s">
        <v>160</v>
      </c>
      <c r="E83" s="44" t="s">
        <v>161</v>
      </c>
      <c r="F83" s="45"/>
      <c r="G83" s="45"/>
      <c r="H83" s="46"/>
      <c r="I83" s="46"/>
      <c r="J83" s="46">
        <f>IF(VLOOKUP($C83,REV!$C:$AA,8,0)-'TRADE IN'!$F83=0,"",(VLOOKUP($C83,REV!$C:$AA,8,0)-'TRADE IN'!$F83))</f>
        <v>11999</v>
      </c>
      <c r="K83" s="46">
        <f>IF(VLOOKUP($C83,REV!$C:$AA,9,0)-'TRADE IN'!$F83=0,"",(VLOOKUP($C83,REV!$C:$AA,9,0)-'TRADE IN'!$F83))</f>
        <v>11999</v>
      </c>
      <c r="L83" s="46">
        <f>IF(VLOOKUP($C83,REV!$C:$AA,10,0)-'TRADE IN'!$F83=0,"",(VLOOKUP($C83,REV!$C:$AA,10,0)-'TRADE IN'!$F83))</f>
        <v>11999</v>
      </c>
      <c r="M83" s="46">
        <f>IF(VLOOKUP($C83,REV!$C:$AA,11,0)-'TRADE IN'!$F83=0,"",(VLOOKUP($C83,REV!$C:$AA,11,0)-'TRADE IN'!$F83))</f>
        <v>11999</v>
      </c>
      <c r="N83" s="46">
        <f>IF(VLOOKUP($C83,REV!$C:$AA,12,0)-'TRADE IN'!$F83=0,"",(VLOOKUP($C83,REV!$C:$AA,12,0)-'TRADE IN'!$F83))</f>
        <v>11999</v>
      </c>
      <c r="O83" s="46">
        <f>IF(VLOOKUP($C83,REV!$C:$AA,13,0)-'TRADE IN'!$F83=0,"",(VLOOKUP($C83,REV!$C:$AA,13,0)-'TRADE IN'!$F83))</f>
        <v>11699</v>
      </c>
      <c r="P83" s="46">
        <f>IF(VLOOKUP($C83,REV!$C:$AA,14,0)-'TRADE IN'!$F83=0,"",(VLOOKUP($C83,REV!$C:$AA,14,0)-'TRADE IN'!$F83))</f>
        <v>11599</v>
      </c>
      <c r="Q83" s="46">
        <f>IF(VLOOKUP($C83,REV!$C:$AA,15,0)-'TRADE IN'!$F83=0,"",(VLOOKUP($C83,REV!$C:$AA,15,0)-'TRADE IN'!$F83))</f>
        <v>10999</v>
      </c>
      <c r="R83" s="46">
        <f>IF(VLOOKUP($C83,REV!$C:$AA,16,0)-'TRADE IN'!$F83=0,"",(VLOOKUP($C83,REV!$C:$AA,16,0)-'TRADE IN'!$F83))</f>
        <v>11699</v>
      </c>
      <c r="S83" s="46">
        <f>IF(VLOOKUP($C83,REV!$C:$AA,17,0)-'TRADE IN'!$F83=0,"",(VLOOKUP($C83,REV!$C:$AA,17,0)-'TRADE IN'!$F83))</f>
        <v>11599</v>
      </c>
      <c r="T83" s="46">
        <f>IF(VLOOKUP($C83,REV!$C:$AA,18,0)-'TRADE IN'!$F83=0,"",(VLOOKUP($C83,REV!$C:$AA,18,0)-'TRADE IN'!$F83))</f>
        <v>10999</v>
      </c>
      <c r="U83" s="46">
        <f>IF(VLOOKUP($C83,REV!$C:$AA,19,0)-'TRADE IN'!$F83=0,"",(VLOOKUP($C83,REV!$C:$AA,19,0)-'TRADE IN'!$F83))</f>
        <v>10999</v>
      </c>
      <c r="V83" s="46">
        <f>IF(VLOOKUP($C83,REV!$C:$AA,20,0)-'TRADE IN'!$F83=0,"",(VLOOKUP($C83,REV!$C:$AA,20,0)-'TRADE IN'!$F83))</f>
        <v>10999</v>
      </c>
      <c r="W83" s="46">
        <f>IF(VLOOKUP($C83,REV!$C:$AA,21,0)-'TRADE IN'!$F83=0,"",(VLOOKUP($C83,REV!$C:$AA,21,0)-'TRADE IN'!$F83))</f>
        <v>10999</v>
      </c>
      <c r="X83" s="46">
        <f>IF(VLOOKUP($C83,REV!$C:$AA,22,0)-'TRADE IN'!$F83=0,"",(VLOOKUP($C83,REV!$C:$AA,22,0)-'TRADE IN'!$F83))</f>
        <v>10799</v>
      </c>
      <c r="Y83" s="46">
        <f>IF(VLOOKUP($C83,REV!$C:$AA,23,0)-'TRADE IN'!$F83=0,"",(VLOOKUP($C83,REV!$C:$AA,23,0)-'TRADE IN'!$F83))</f>
        <v>10299</v>
      </c>
      <c r="Z83" s="46">
        <f>IF(VLOOKUP($C83,REV!$C:$AA,24,0)-'TRADE IN'!$F83=0,"",(VLOOKUP($C83,REV!$C:$AA,24,0)-'TRADE IN'!$F83))</f>
        <v>10299</v>
      </c>
      <c r="AA83" s="46">
        <f>IF(VLOOKUP($C83,REV!$C:$AA,25,0)-'TRADE IN'!$F83=0,"",(VLOOKUP($C83,REV!$C:$AA,25,0)-'TRADE IN'!$F83))</f>
        <v>10299</v>
      </c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7"/>
      <c r="AW83" s="48" t="str">
        <f>REV!AW83</f>
        <v>01.12.2026</v>
      </c>
      <c r="AX83" s="153" t="str">
        <f>VLOOKUP(C83,REV!C:AX,48,0)</f>
        <v>5G</v>
      </c>
    </row>
    <row r="84" spans="1:50" ht="22.5" customHeight="1">
      <c r="A84" s="41" t="s">
        <v>63</v>
      </c>
      <c r="B84" s="42" t="s">
        <v>64</v>
      </c>
      <c r="C84" s="43">
        <v>4016619</v>
      </c>
      <c r="D84" s="44" t="s">
        <v>160</v>
      </c>
      <c r="E84" s="44" t="s">
        <v>162</v>
      </c>
      <c r="F84" s="45"/>
      <c r="G84" s="45"/>
      <c r="H84" s="46"/>
      <c r="I84" s="46"/>
      <c r="J84" s="46">
        <f>IF(VLOOKUP($C84,REV!$C:$AA,8,0)-'TRADE IN'!$F84=0,"",(VLOOKUP($C84,REV!$C:$AA,8,0)-'TRADE IN'!$F84))</f>
        <v>11999</v>
      </c>
      <c r="K84" s="46">
        <f>IF(VLOOKUP($C84,REV!$C:$AA,9,0)-'TRADE IN'!$F84=0,"",(VLOOKUP($C84,REV!$C:$AA,9,0)-'TRADE IN'!$F84))</f>
        <v>11999</v>
      </c>
      <c r="L84" s="46">
        <f>IF(VLOOKUP($C84,REV!$C:$AA,10,0)-'TRADE IN'!$F84=0,"",(VLOOKUP($C84,REV!$C:$AA,10,0)-'TRADE IN'!$F84))</f>
        <v>11999</v>
      </c>
      <c r="M84" s="46">
        <f>IF(VLOOKUP($C84,REV!$C:$AA,11,0)-'TRADE IN'!$F84=0,"",(VLOOKUP($C84,REV!$C:$AA,11,0)-'TRADE IN'!$F84))</f>
        <v>11999</v>
      </c>
      <c r="N84" s="46">
        <f>IF(VLOOKUP($C84,REV!$C:$AA,12,0)-'TRADE IN'!$F84=0,"",(VLOOKUP($C84,REV!$C:$AA,12,0)-'TRADE IN'!$F84))</f>
        <v>11999</v>
      </c>
      <c r="O84" s="46">
        <f>IF(VLOOKUP($C84,REV!$C:$AA,13,0)-'TRADE IN'!$F84=0,"",(VLOOKUP($C84,REV!$C:$AA,13,0)-'TRADE IN'!$F84))</f>
        <v>11699</v>
      </c>
      <c r="P84" s="46">
        <f>IF(VLOOKUP($C84,REV!$C:$AA,14,0)-'TRADE IN'!$F84=0,"",(VLOOKUP($C84,REV!$C:$AA,14,0)-'TRADE IN'!$F84))</f>
        <v>11599</v>
      </c>
      <c r="Q84" s="46">
        <f>IF(VLOOKUP($C84,REV!$C:$AA,15,0)-'TRADE IN'!$F84=0,"",(VLOOKUP($C84,REV!$C:$AA,15,0)-'TRADE IN'!$F84))</f>
        <v>10999</v>
      </c>
      <c r="R84" s="46">
        <f>IF(VLOOKUP($C84,REV!$C:$AA,16,0)-'TRADE IN'!$F84=0,"",(VLOOKUP($C84,REV!$C:$AA,16,0)-'TRADE IN'!$F84))</f>
        <v>11699</v>
      </c>
      <c r="S84" s="46">
        <f>IF(VLOOKUP($C84,REV!$C:$AA,17,0)-'TRADE IN'!$F84=0,"",(VLOOKUP($C84,REV!$C:$AA,17,0)-'TRADE IN'!$F84))</f>
        <v>11599</v>
      </c>
      <c r="T84" s="46">
        <f>IF(VLOOKUP($C84,REV!$C:$AA,18,0)-'TRADE IN'!$F84=0,"",(VLOOKUP($C84,REV!$C:$AA,18,0)-'TRADE IN'!$F84))</f>
        <v>10999</v>
      </c>
      <c r="U84" s="46">
        <f>IF(VLOOKUP($C84,REV!$C:$AA,19,0)-'TRADE IN'!$F84=0,"",(VLOOKUP($C84,REV!$C:$AA,19,0)-'TRADE IN'!$F84))</f>
        <v>10999</v>
      </c>
      <c r="V84" s="46">
        <f>IF(VLOOKUP($C84,REV!$C:$AA,20,0)-'TRADE IN'!$F84=0,"",(VLOOKUP($C84,REV!$C:$AA,20,0)-'TRADE IN'!$F84))</f>
        <v>10999</v>
      </c>
      <c r="W84" s="46">
        <f>IF(VLOOKUP($C84,REV!$C:$AA,21,0)-'TRADE IN'!$F84=0,"",(VLOOKUP($C84,REV!$C:$AA,21,0)-'TRADE IN'!$F84))</f>
        <v>10999</v>
      </c>
      <c r="X84" s="46">
        <f>IF(VLOOKUP($C84,REV!$C:$AA,22,0)-'TRADE IN'!$F84=0,"",(VLOOKUP($C84,REV!$C:$AA,22,0)-'TRADE IN'!$F84))</f>
        <v>10799</v>
      </c>
      <c r="Y84" s="46">
        <f>IF(VLOOKUP($C84,REV!$C:$AA,23,0)-'TRADE IN'!$F84=0,"",(VLOOKUP($C84,REV!$C:$AA,23,0)-'TRADE IN'!$F84))</f>
        <v>10299</v>
      </c>
      <c r="Z84" s="46">
        <f>IF(VLOOKUP($C84,REV!$C:$AA,24,0)-'TRADE IN'!$F84=0,"",(VLOOKUP($C84,REV!$C:$AA,24,0)-'TRADE IN'!$F84))</f>
        <v>10299</v>
      </c>
      <c r="AA84" s="46">
        <f>IF(VLOOKUP($C84,REV!$C:$AA,25,0)-'TRADE IN'!$F84=0,"",(VLOOKUP($C84,REV!$C:$AA,25,0)-'TRADE IN'!$F84))</f>
        <v>10299</v>
      </c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7"/>
      <c r="AW84" s="48" t="str">
        <f>REV!AW84</f>
        <v>01.12.2026</v>
      </c>
      <c r="AX84" s="153" t="str">
        <f>VLOOKUP(C84,REV!C:AX,48,0)</f>
        <v>5G</v>
      </c>
    </row>
    <row r="85" spans="1:50" ht="22.5" customHeight="1">
      <c r="A85" s="41" t="s">
        <v>63</v>
      </c>
      <c r="B85" s="42" t="s">
        <v>64</v>
      </c>
      <c r="C85" s="43">
        <v>4016609</v>
      </c>
      <c r="D85" s="44" t="s">
        <v>160</v>
      </c>
      <c r="E85" s="44" t="s">
        <v>163</v>
      </c>
      <c r="F85" s="45"/>
      <c r="G85" s="45"/>
      <c r="H85" s="46"/>
      <c r="I85" s="46"/>
      <c r="J85" s="46">
        <f>IF(VLOOKUP($C85,REV!$C:$AA,8,0)-'TRADE IN'!$F85=0,"",(VLOOKUP($C85,REV!$C:$AA,8,0)-'TRADE IN'!$F85))</f>
        <v>11999</v>
      </c>
      <c r="K85" s="46">
        <f>IF(VLOOKUP($C85,REV!$C:$AA,9,0)-'TRADE IN'!$F85=0,"",(VLOOKUP($C85,REV!$C:$AA,9,0)-'TRADE IN'!$F85))</f>
        <v>11999</v>
      </c>
      <c r="L85" s="46">
        <f>IF(VLOOKUP($C85,REV!$C:$AA,10,0)-'TRADE IN'!$F85=0,"",(VLOOKUP($C85,REV!$C:$AA,10,0)-'TRADE IN'!$F85))</f>
        <v>11999</v>
      </c>
      <c r="M85" s="46">
        <f>IF(VLOOKUP($C85,REV!$C:$AA,11,0)-'TRADE IN'!$F85=0,"",(VLOOKUP($C85,REV!$C:$AA,11,0)-'TRADE IN'!$F85))</f>
        <v>11999</v>
      </c>
      <c r="N85" s="46">
        <f>IF(VLOOKUP($C85,REV!$C:$AA,12,0)-'TRADE IN'!$F85=0,"",(VLOOKUP($C85,REV!$C:$AA,12,0)-'TRADE IN'!$F85))</f>
        <v>11999</v>
      </c>
      <c r="O85" s="46">
        <f>IF(VLOOKUP($C85,REV!$C:$AA,13,0)-'TRADE IN'!$F85=0,"",(VLOOKUP($C85,REV!$C:$AA,13,0)-'TRADE IN'!$F85))</f>
        <v>11699</v>
      </c>
      <c r="P85" s="46">
        <f>IF(VLOOKUP($C85,REV!$C:$AA,14,0)-'TRADE IN'!$F85=0,"",(VLOOKUP($C85,REV!$C:$AA,14,0)-'TRADE IN'!$F85))</f>
        <v>11599</v>
      </c>
      <c r="Q85" s="46">
        <f>IF(VLOOKUP($C85,REV!$C:$AA,15,0)-'TRADE IN'!$F85=0,"",(VLOOKUP($C85,REV!$C:$AA,15,0)-'TRADE IN'!$F85))</f>
        <v>10999</v>
      </c>
      <c r="R85" s="46">
        <f>IF(VLOOKUP($C85,REV!$C:$AA,16,0)-'TRADE IN'!$F85=0,"",(VLOOKUP($C85,REV!$C:$AA,16,0)-'TRADE IN'!$F85))</f>
        <v>11699</v>
      </c>
      <c r="S85" s="46">
        <f>IF(VLOOKUP($C85,REV!$C:$AA,17,0)-'TRADE IN'!$F85=0,"",(VLOOKUP($C85,REV!$C:$AA,17,0)-'TRADE IN'!$F85))</f>
        <v>11599</v>
      </c>
      <c r="T85" s="46">
        <f>IF(VLOOKUP($C85,REV!$C:$AA,18,0)-'TRADE IN'!$F85=0,"",(VLOOKUP($C85,REV!$C:$AA,18,0)-'TRADE IN'!$F85))</f>
        <v>10999</v>
      </c>
      <c r="U85" s="46">
        <f>IF(VLOOKUP($C85,REV!$C:$AA,19,0)-'TRADE IN'!$F85=0,"",(VLOOKUP($C85,REV!$C:$AA,19,0)-'TRADE IN'!$F85))</f>
        <v>10999</v>
      </c>
      <c r="V85" s="46">
        <f>IF(VLOOKUP($C85,REV!$C:$AA,20,0)-'TRADE IN'!$F85=0,"",(VLOOKUP($C85,REV!$C:$AA,20,0)-'TRADE IN'!$F85))</f>
        <v>10999</v>
      </c>
      <c r="W85" s="46">
        <f>IF(VLOOKUP($C85,REV!$C:$AA,21,0)-'TRADE IN'!$F85=0,"",(VLOOKUP($C85,REV!$C:$AA,21,0)-'TRADE IN'!$F85))</f>
        <v>10999</v>
      </c>
      <c r="X85" s="46">
        <f>IF(VLOOKUP($C85,REV!$C:$AA,22,0)-'TRADE IN'!$F85=0,"",(VLOOKUP($C85,REV!$C:$AA,22,0)-'TRADE IN'!$F85))</f>
        <v>10799</v>
      </c>
      <c r="Y85" s="46">
        <f>IF(VLOOKUP($C85,REV!$C:$AA,23,0)-'TRADE IN'!$F85=0,"",(VLOOKUP($C85,REV!$C:$AA,23,0)-'TRADE IN'!$F85))</f>
        <v>10299</v>
      </c>
      <c r="Z85" s="46">
        <f>IF(VLOOKUP($C85,REV!$C:$AA,24,0)-'TRADE IN'!$F85=0,"",(VLOOKUP($C85,REV!$C:$AA,24,0)-'TRADE IN'!$F85))</f>
        <v>10299</v>
      </c>
      <c r="AA85" s="46">
        <f>IF(VLOOKUP($C85,REV!$C:$AA,25,0)-'TRADE IN'!$F85=0,"",(VLOOKUP($C85,REV!$C:$AA,25,0)-'TRADE IN'!$F85))</f>
        <v>10299</v>
      </c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7"/>
      <c r="AW85" s="48" t="str">
        <f>REV!AW85</f>
        <v>01.12.2026</v>
      </c>
      <c r="AX85" s="153" t="str">
        <f>VLOOKUP(C85,REV!C:AX,48,0)</f>
        <v>5G</v>
      </c>
    </row>
    <row r="86" spans="1:50" ht="22.5" customHeight="1">
      <c r="A86" s="41" t="s">
        <v>63</v>
      </c>
      <c r="B86" s="42" t="s">
        <v>64</v>
      </c>
      <c r="C86" s="43">
        <v>4016916</v>
      </c>
      <c r="D86" s="44" t="s">
        <v>164</v>
      </c>
      <c r="E86" s="44" t="s">
        <v>165</v>
      </c>
      <c r="F86" s="45"/>
      <c r="G86" s="45"/>
      <c r="H86" s="46"/>
      <c r="I86" s="46"/>
      <c r="J86" s="46">
        <f>IF(VLOOKUP($C86,REV!$C:$AA,8,0)-'TRADE IN'!$F86=0,"",(VLOOKUP($C86,REV!$C:$AA,8,0)-'TRADE IN'!$F86))</f>
        <v>4599</v>
      </c>
      <c r="K86" s="46">
        <f>IF(VLOOKUP($C86,REV!$C:$AA,9,0)-'TRADE IN'!$F86=0,"",(VLOOKUP($C86,REV!$C:$AA,9,0)-'TRADE IN'!$F86))</f>
        <v>4599</v>
      </c>
      <c r="L86" s="46">
        <f>IF(VLOOKUP($C86,REV!$C:$AA,10,0)-'TRADE IN'!$F86=0,"",(VLOOKUP($C86,REV!$C:$AA,10,0)-'TRADE IN'!$F86))</f>
        <v>4599</v>
      </c>
      <c r="M86" s="46">
        <f>IF(VLOOKUP($C86,REV!$C:$AA,11,0)-'TRADE IN'!$F86=0,"",(VLOOKUP($C86,REV!$C:$AA,11,0)-'TRADE IN'!$F86))</f>
        <v>4599</v>
      </c>
      <c r="N86" s="46">
        <f>IF(VLOOKUP($C86,REV!$C:$AA,12,0)-'TRADE IN'!$F86=0,"",(VLOOKUP($C86,REV!$C:$AA,12,0)-'TRADE IN'!$F86))</f>
        <v>4599</v>
      </c>
      <c r="O86" s="46">
        <f>IF(VLOOKUP($C86,REV!$C:$AA,13,0)-'TRADE IN'!$F86=0,"",(VLOOKUP($C86,REV!$C:$AA,13,0)-'TRADE IN'!$F86))</f>
        <v>4499</v>
      </c>
      <c r="P86" s="46">
        <f>IF(VLOOKUP($C86,REV!$C:$AA,14,0)-'TRADE IN'!$F86=0,"",(VLOOKUP($C86,REV!$C:$AA,14,0)-'TRADE IN'!$F86))</f>
        <v>4399</v>
      </c>
      <c r="Q86" s="46">
        <f>IF(VLOOKUP($C86,REV!$C:$AA,15,0)-'TRADE IN'!$F86=0,"",(VLOOKUP($C86,REV!$C:$AA,15,0)-'TRADE IN'!$F86))</f>
        <v>2499</v>
      </c>
      <c r="R86" s="46">
        <f>IF(VLOOKUP($C86,REV!$C:$AA,16,0)-'TRADE IN'!$F86=0,"",(VLOOKUP($C86,REV!$C:$AA,16,0)-'TRADE IN'!$F86))</f>
        <v>4499</v>
      </c>
      <c r="S86" s="46">
        <f>IF(VLOOKUP($C86,REV!$C:$AA,17,0)-'TRADE IN'!$F86=0,"",(VLOOKUP($C86,REV!$C:$AA,17,0)-'TRADE IN'!$F86))</f>
        <v>4399</v>
      </c>
      <c r="T86" s="46">
        <f>IF(VLOOKUP($C86,REV!$C:$AA,18,0)-'TRADE IN'!$F86=0,"",(VLOOKUP($C86,REV!$C:$AA,18,0)-'TRADE IN'!$F86))</f>
        <v>2499</v>
      </c>
      <c r="U86" s="46">
        <f>IF(VLOOKUP($C86,REV!$C:$AA,19,0)-'TRADE IN'!$F86=0,"",(VLOOKUP($C86,REV!$C:$AA,19,0)-'TRADE IN'!$F86))</f>
        <v>2499</v>
      </c>
      <c r="V86" s="46">
        <f>IF(VLOOKUP($C86,REV!$C:$AA,20,0)-'TRADE IN'!$F86=0,"",(VLOOKUP($C86,REV!$C:$AA,20,0)-'TRADE IN'!$F86))</f>
        <v>2499</v>
      </c>
      <c r="W86" s="46">
        <f>IF(VLOOKUP($C86,REV!$C:$AA,21,0)-'TRADE IN'!$F86=0,"",(VLOOKUP($C86,REV!$C:$AA,21,0)-'TRADE IN'!$F86))</f>
        <v>2499</v>
      </c>
      <c r="X86" s="46">
        <f>IF(VLOOKUP($C86,REV!$C:$AA,22,0)-'TRADE IN'!$F86=0,"",(VLOOKUP($C86,REV!$C:$AA,22,0)-'TRADE IN'!$F86))</f>
        <v>2399</v>
      </c>
      <c r="Y86" s="46">
        <f>IF(VLOOKUP($C86,REV!$C:$AA,23,0)-'TRADE IN'!$F86=0,"",(VLOOKUP($C86,REV!$C:$AA,23,0)-'TRADE IN'!$F86))</f>
        <v>2299</v>
      </c>
      <c r="Z86" s="46">
        <f>IF(VLOOKUP($C86,REV!$C:$AA,24,0)-'TRADE IN'!$F86=0,"",(VLOOKUP($C86,REV!$C:$AA,24,0)-'TRADE IN'!$F86))</f>
        <v>2299</v>
      </c>
      <c r="AA86" s="46">
        <f>IF(VLOOKUP($C86,REV!$C:$AA,25,0)-'TRADE IN'!$F86=0,"",(VLOOKUP($C86,REV!$C:$AA,25,0)-'TRADE IN'!$F86))</f>
        <v>1999</v>
      </c>
      <c r="AB86" s="45">
        <f>IF(VLOOKUP($C86,REV!$C:$AL,27,0)-'TRADE IN'!$F86=0,"",(VLOOKUP($C86,REV!$C:$AL,27,0)-'TRADE IN'!$F86))</f>
        <v>4599</v>
      </c>
      <c r="AC86" s="45">
        <f>IF(VLOOKUP($C86,REV!$C:$AL,28,0)-'TRADE IN'!$F86=0,"",(VLOOKUP($C86,REV!$C:$AL,28,0)-'TRADE IN'!$F86))</f>
        <v>4599</v>
      </c>
      <c r="AD86" s="45">
        <f>IF(VLOOKUP($C86,REV!$C:$AL,29,0)-'TRADE IN'!$F86=0,"",(VLOOKUP($C86,REV!$C:$AL,29,0)-'TRADE IN'!$F86))</f>
        <v>4599</v>
      </c>
      <c r="AE86" s="45">
        <f>IF(VLOOKUP($C86,REV!$C:$AL,30,0)-'TRADE IN'!$F86=0,"",(VLOOKUP($C86,REV!$C:$AL,30,0)-'TRADE IN'!$F86))</f>
        <v>4499</v>
      </c>
      <c r="AF86" s="45">
        <f>IF(VLOOKUP($C86,REV!$C:$AL,31,0)-'TRADE IN'!$F86=0,"",(VLOOKUP($C86,REV!$C:$AL,31,0)-'TRADE IN'!$F86))</f>
        <v>4399</v>
      </c>
      <c r="AG86" s="45">
        <f>IF(VLOOKUP($C86,REV!$C:$AL,31,0)-'TRADE IN'!$F86=0,"",(VLOOKUP($C86,REV!$C:$AL,31,0)-'TRADE IN'!$F86))</f>
        <v>4399</v>
      </c>
      <c r="AH86" s="45">
        <f>IF(VLOOKUP($C86,REV!$C:$AL,32,0)-'TRADE IN'!$F86=0,"",(VLOOKUP($C86,REV!$C:$AL,32,0)-'TRADE IN'!$F86))</f>
        <v>2499</v>
      </c>
      <c r="AI86" s="45">
        <f>IF(VLOOKUP($C86,REV!$C:$AL,33,0)-'TRADE IN'!$F86=0,"",(VLOOKUP($C86,REV!$C:$AL,33,0)-'TRADE IN'!$F86))</f>
        <v>2499</v>
      </c>
      <c r="AJ86" s="45">
        <f>IF(VLOOKUP($C86,REV!$C:$AL,34,0)-'TRADE IN'!$F86=0,"",(VLOOKUP($C86,REV!$C:$AL,34,0)-'TRADE IN'!$F86))</f>
        <v>2499</v>
      </c>
      <c r="AK86" s="45">
        <f>IF(VLOOKUP($C86,REV!$C:$AL,35,0)-'TRADE IN'!$F86=0,"",(VLOOKUP($C86,REV!$C:$AL,35,0)-'TRADE IN'!$F86))</f>
        <v>2499</v>
      </c>
      <c r="AL86" s="45">
        <f>IF(VLOOKUP($C86,REV!$C:$AL,36,0)-'TRADE IN'!$F86=0,"",(VLOOKUP($C86,REV!$C:$AL,36,0)-'TRADE IN'!$F86))</f>
        <v>2299</v>
      </c>
      <c r="AM86" s="45"/>
      <c r="AN86" s="45"/>
      <c r="AO86" s="45"/>
      <c r="AP86" s="45"/>
      <c r="AQ86" s="45"/>
      <c r="AR86" s="45"/>
      <c r="AS86" s="45"/>
      <c r="AT86" s="45"/>
      <c r="AU86" s="45"/>
      <c r="AV86" s="47"/>
      <c r="AW86" s="48" t="str">
        <f>REV!AW86</f>
        <v>01.12.2026</v>
      </c>
      <c r="AX86" s="153" t="str">
        <f>VLOOKUP(C86,REV!C:AX,48,0)</f>
        <v>5G</v>
      </c>
    </row>
    <row r="87" spans="1:50" ht="22.5" customHeight="1">
      <c r="A87" s="41" t="s">
        <v>63</v>
      </c>
      <c r="B87" s="42" t="s">
        <v>64</v>
      </c>
      <c r="C87" s="43">
        <v>4016917</v>
      </c>
      <c r="D87" s="44" t="s">
        <v>164</v>
      </c>
      <c r="E87" s="44" t="s">
        <v>166</v>
      </c>
      <c r="F87" s="45"/>
      <c r="G87" s="45"/>
      <c r="H87" s="46"/>
      <c r="I87" s="46"/>
      <c r="J87" s="46">
        <f>IF(VLOOKUP($C87,REV!$C:$AA,8,0)-'TRADE IN'!$F87=0,"",(VLOOKUP($C87,REV!$C:$AA,8,0)-'TRADE IN'!$F87))</f>
        <v>4599</v>
      </c>
      <c r="K87" s="46">
        <f>IF(VLOOKUP($C87,REV!$C:$AA,9,0)-'TRADE IN'!$F87=0,"",(VLOOKUP($C87,REV!$C:$AA,9,0)-'TRADE IN'!$F87))</f>
        <v>4599</v>
      </c>
      <c r="L87" s="46">
        <f>IF(VLOOKUP($C87,REV!$C:$AA,10,0)-'TRADE IN'!$F87=0,"",(VLOOKUP($C87,REV!$C:$AA,10,0)-'TRADE IN'!$F87))</f>
        <v>4599</v>
      </c>
      <c r="M87" s="46">
        <f>IF(VLOOKUP($C87,REV!$C:$AA,11,0)-'TRADE IN'!$F87=0,"",(VLOOKUP($C87,REV!$C:$AA,11,0)-'TRADE IN'!$F87))</f>
        <v>4599</v>
      </c>
      <c r="N87" s="46">
        <f>IF(VLOOKUP($C87,REV!$C:$AA,12,0)-'TRADE IN'!$F87=0,"",(VLOOKUP($C87,REV!$C:$AA,12,0)-'TRADE IN'!$F87))</f>
        <v>4599</v>
      </c>
      <c r="O87" s="46">
        <f>IF(VLOOKUP($C87,REV!$C:$AA,13,0)-'TRADE IN'!$F87=0,"",(VLOOKUP($C87,REV!$C:$AA,13,0)-'TRADE IN'!$F87))</f>
        <v>4499</v>
      </c>
      <c r="P87" s="46">
        <f>IF(VLOOKUP($C87,REV!$C:$AA,14,0)-'TRADE IN'!$F87=0,"",(VLOOKUP($C87,REV!$C:$AA,14,0)-'TRADE IN'!$F87))</f>
        <v>4399</v>
      </c>
      <c r="Q87" s="46">
        <f>IF(VLOOKUP($C87,REV!$C:$AA,15,0)-'TRADE IN'!$F87=0,"",(VLOOKUP($C87,REV!$C:$AA,15,0)-'TRADE IN'!$F87))</f>
        <v>2499</v>
      </c>
      <c r="R87" s="46">
        <f>IF(VLOOKUP($C87,REV!$C:$AA,16,0)-'TRADE IN'!$F87=0,"",(VLOOKUP($C87,REV!$C:$AA,16,0)-'TRADE IN'!$F87))</f>
        <v>4499</v>
      </c>
      <c r="S87" s="46">
        <f>IF(VLOOKUP($C87,REV!$C:$AA,17,0)-'TRADE IN'!$F87=0,"",(VLOOKUP($C87,REV!$C:$AA,17,0)-'TRADE IN'!$F87))</f>
        <v>4399</v>
      </c>
      <c r="T87" s="46">
        <f>IF(VLOOKUP($C87,REV!$C:$AA,18,0)-'TRADE IN'!$F87=0,"",(VLOOKUP($C87,REV!$C:$AA,18,0)-'TRADE IN'!$F87))</f>
        <v>2499</v>
      </c>
      <c r="U87" s="46">
        <f>IF(VLOOKUP($C87,REV!$C:$AA,19,0)-'TRADE IN'!$F87=0,"",(VLOOKUP($C87,REV!$C:$AA,19,0)-'TRADE IN'!$F87))</f>
        <v>2499</v>
      </c>
      <c r="V87" s="46">
        <f>IF(VLOOKUP($C87,REV!$C:$AA,20,0)-'TRADE IN'!$F87=0,"",(VLOOKUP($C87,REV!$C:$AA,20,0)-'TRADE IN'!$F87))</f>
        <v>2499</v>
      </c>
      <c r="W87" s="46">
        <f>IF(VLOOKUP($C87,REV!$C:$AA,21,0)-'TRADE IN'!$F87=0,"",(VLOOKUP($C87,REV!$C:$AA,21,0)-'TRADE IN'!$F87))</f>
        <v>2499</v>
      </c>
      <c r="X87" s="46">
        <f>IF(VLOOKUP($C87,REV!$C:$AA,22,0)-'TRADE IN'!$F87=0,"",(VLOOKUP($C87,REV!$C:$AA,22,0)-'TRADE IN'!$F87))</f>
        <v>2399</v>
      </c>
      <c r="Y87" s="46">
        <f>IF(VLOOKUP($C87,REV!$C:$AA,23,0)-'TRADE IN'!$F87=0,"",(VLOOKUP($C87,REV!$C:$AA,23,0)-'TRADE IN'!$F87))</f>
        <v>2299</v>
      </c>
      <c r="Z87" s="46">
        <f>IF(VLOOKUP($C87,REV!$C:$AA,24,0)-'TRADE IN'!$F87=0,"",(VLOOKUP($C87,REV!$C:$AA,24,0)-'TRADE IN'!$F87))</f>
        <v>2299</v>
      </c>
      <c r="AA87" s="46">
        <f>IF(VLOOKUP($C87,REV!$C:$AA,25,0)-'TRADE IN'!$F87=0,"",(VLOOKUP($C87,REV!$C:$AA,25,0)-'TRADE IN'!$F87))</f>
        <v>1999</v>
      </c>
      <c r="AB87" s="45">
        <f>IF(VLOOKUP($C87,REV!$C:$AL,27,0)-'TRADE IN'!$F87=0,"",(VLOOKUP($C87,REV!$C:$AL,27,0)-'TRADE IN'!$F87))</f>
        <v>4599</v>
      </c>
      <c r="AC87" s="45">
        <f>IF(VLOOKUP($C87,REV!$C:$AL,28,0)-'TRADE IN'!$F87=0,"",(VLOOKUP($C87,REV!$C:$AL,28,0)-'TRADE IN'!$F87))</f>
        <v>4599</v>
      </c>
      <c r="AD87" s="45">
        <f>IF(VLOOKUP($C87,REV!$C:$AL,29,0)-'TRADE IN'!$F87=0,"",(VLOOKUP($C87,REV!$C:$AL,29,0)-'TRADE IN'!$F87))</f>
        <v>4599</v>
      </c>
      <c r="AE87" s="45">
        <f>IF(VLOOKUP($C87,REV!$C:$AL,30,0)-'TRADE IN'!$F87=0,"",(VLOOKUP($C87,REV!$C:$AL,30,0)-'TRADE IN'!$F87))</f>
        <v>4499</v>
      </c>
      <c r="AF87" s="45">
        <f>IF(VLOOKUP($C87,REV!$C:$AL,31,0)-'TRADE IN'!$F87=0,"",(VLOOKUP($C87,REV!$C:$AL,31,0)-'TRADE IN'!$F87))</f>
        <v>4399</v>
      </c>
      <c r="AG87" s="45">
        <f>IF(VLOOKUP($C87,REV!$C:$AL,31,0)-'TRADE IN'!$F87=0,"",(VLOOKUP($C87,REV!$C:$AL,31,0)-'TRADE IN'!$F87))</f>
        <v>4399</v>
      </c>
      <c r="AH87" s="45">
        <f>IF(VLOOKUP($C87,REV!$C:$AL,32,0)-'TRADE IN'!$F87=0,"",(VLOOKUP($C87,REV!$C:$AL,32,0)-'TRADE IN'!$F87))</f>
        <v>2499</v>
      </c>
      <c r="AI87" s="45">
        <f>IF(VLOOKUP($C87,REV!$C:$AL,33,0)-'TRADE IN'!$F87=0,"",(VLOOKUP($C87,REV!$C:$AL,33,0)-'TRADE IN'!$F87))</f>
        <v>2499</v>
      </c>
      <c r="AJ87" s="45">
        <f>IF(VLOOKUP($C87,REV!$C:$AL,34,0)-'TRADE IN'!$F87=0,"",(VLOOKUP($C87,REV!$C:$AL,34,0)-'TRADE IN'!$F87))</f>
        <v>2499</v>
      </c>
      <c r="AK87" s="45">
        <f>IF(VLOOKUP($C87,REV!$C:$AL,35,0)-'TRADE IN'!$F87=0,"",(VLOOKUP($C87,REV!$C:$AL,35,0)-'TRADE IN'!$F87))</f>
        <v>2499</v>
      </c>
      <c r="AL87" s="45">
        <f>IF(VLOOKUP($C87,REV!$C:$AL,36,0)-'TRADE IN'!$F87=0,"",(VLOOKUP($C87,REV!$C:$AL,36,0)-'TRADE IN'!$F87))</f>
        <v>2299</v>
      </c>
      <c r="AM87" s="45"/>
      <c r="AN87" s="45"/>
      <c r="AO87" s="45"/>
      <c r="AP87" s="45"/>
      <c r="AQ87" s="45"/>
      <c r="AR87" s="45"/>
      <c r="AS87" s="45"/>
      <c r="AT87" s="45"/>
      <c r="AU87" s="45"/>
      <c r="AV87" s="47"/>
      <c r="AW87" s="48" t="str">
        <f>REV!AW87</f>
        <v>01.12.2026</v>
      </c>
      <c r="AX87" s="153" t="str">
        <f>VLOOKUP(C87,REV!C:AX,48,0)</f>
        <v>5G</v>
      </c>
    </row>
    <row r="88" spans="1:50" ht="22.5" customHeight="1">
      <c r="A88" s="41" t="s">
        <v>63</v>
      </c>
      <c r="B88" s="42" t="s">
        <v>64</v>
      </c>
      <c r="C88" s="43">
        <v>4017449</v>
      </c>
      <c r="D88" s="44" t="s">
        <v>167</v>
      </c>
      <c r="E88" s="44" t="s">
        <v>168</v>
      </c>
      <c r="F88" s="45"/>
      <c r="G88" s="45"/>
      <c r="H88" s="45"/>
      <c r="I88" s="45"/>
      <c r="J88" s="46">
        <f>IF(VLOOKUP($C88,REV!$C:$AA,8,0)-'TRADE IN'!$F88=0,"",(VLOOKUP($C88,REV!$C:$AA,8,0)-'TRADE IN'!$F88))</f>
        <v>6399</v>
      </c>
      <c r="K88" s="46">
        <f>IF(VLOOKUP($C88,REV!$C:$AA,9,0)-'TRADE IN'!$F88=0,"",(VLOOKUP($C88,REV!$C:$AA,9,0)-'TRADE IN'!$F88))</f>
        <v>6399</v>
      </c>
      <c r="L88" s="46">
        <f>IF(VLOOKUP($C88,REV!$C:$AA,10,0)-'TRADE IN'!$F88=0,"",(VLOOKUP($C88,REV!$C:$AA,10,0)-'TRADE IN'!$F88))</f>
        <v>6399</v>
      </c>
      <c r="M88" s="46">
        <f>IF(VLOOKUP($C88,REV!$C:$AA,11,0)-'TRADE IN'!$F88=0,"",(VLOOKUP($C88,REV!$C:$AA,11,0)-'TRADE IN'!$F88))</f>
        <v>6399</v>
      </c>
      <c r="N88" s="46">
        <f>IF(VLOOKUP($C88,REV!$C:$AA,12,0)-'TRADE IN'!$F88=0,"",(VLOOKUP($C88,REV!$C:$AA,12,0)-'TRADE IN'!$F88))</f>
        <v>6399</v>
      </c>
      <c r="O88" s="46">
        <f>IF(VLOOKUP($C88,REV!$C:$AA,13,0)-'TRADE IN'!$F88=0,"",(VLOOKUP($C88,REV!$C:$AA,13,0)-'TRADE IN'!$F88))</f>
        <v>6299</v>
      </c>
      <c r="P88" s="46">
        <f>IF(VLOOKUP($C88,REV!$C:$AA,14,0)-'TRADE IN'!$F88=0,"",(VLOOKUP($C88,REV!$C:$AA,14,0)-'TRADE IN'!$F88))</f>
        <v>6199</v>
      </c>
      <c r="Q88" s="46">
        <f>IF(VLOOKUP($C88,REV!$C:$AA,15,0)-'TRADE IN'!$F88=0,"",(VLOOKUP($C88,REV!$C:$AA,15,0)-'TRADE IN'!$F88))</f>
        <v>5499</v>
      </c>
      <c r="R88" s="46">
        <f>IF(VLOOKUP($C88,REV!$C:$AA,16,0)-'TRADE IN'!$F88=0,"",(VLOOKUP($C88,REV!$C:$AA,16,0)-'TRADE IN'!$F88))</f>
        <v>6299</v>
      </c>
      <c r="S88" s="46">
        <f>IF(VLOOKUP($C88,REV!$C:$AA,17,0)-'TRADE IN'!$F88=0,"",(VLOOKUP($C88,REV!$C:$AA,17,0)-'TRADE IN'!$F88))</f>
        <v>6199</v>
      </c>
      <c r="T88" s="46">
        <f>IF(VLOOKUP($C88,REV!$C:$AA,18,0)-'TRADE IN'!$F88=0,"",(VLOOKUP($C88,REV!$C:$AA,18,0)-'TRADE IN'!$F88))</f>
        <v>5499</v>
      </c>
      <c r="U88" s="46">
        <f>IF(VLOOKUP($C88,REV!$C:$AA,19,0)-'TRADE IN'!$F88=0,"",(VLOOKUP($C88,REV!$C:$AA,19,0)-'TRADE IN'!$F88))</f>
        <v>5499</v>
      </c>
      <c r="V88" s="46">
        <f>IF(VLOOKUP($C88,REV!$C:$AA,20,0)-'TRADE IN'!$F88=0,"",(VLOOKUP($C88,REV!$C:$AA,20,0)-'TRADE IN'!$F88))</f>
        <v>5499</v>
      </c>
      <c r="W88" s="46">
        <f>IF(VLOOKUP($C88,REV!$C:$AA,21,0)-'TRADE IN'!$F88=0,"",(VLOOKUP($C88,REV!$C:$AA,21,0)-'TRADE IN'!$F88))</f>
        <v>5499</v>
      </c>
      <c r="X88" s="46">
        <f>IF(VLOOKUP($C88,REV!$C:$AA,22,0)-'TRADE IN'!$F88=0,"",(VLOOKUP($C88,REV!$C:$AA,22,0)-'TRADE IN'!$F88))</f>
        <v>5399</v>
      </c>
      <c r="Y88" s="46">
        <f>IF(VLOOKUP($C88,REV!$C:$AA,23,0)-'TRADE IN'!$F88=0,"",(VLOOKUP($C88,REV!$C:$AA,23,0)-'TRADE IN'!$F88))</f>
        <v>4999</v>
      </c>
      <c r="Z88" s="46">
        <f>IF(VLOOKUP($C88,REV!$C:$AA,24,0)-'TRADE IN'!$F88=0,"",(VLOOKUP($C88,REV!$C:$AA,24,0)-'TRADE IN'!$F88))</f>
        <v>4999</v>
      </c>
      <c r="AA88" s="46">
        <f>IF(VLOOKUP($C88,REV!$C:$AA,25,0)-'TRADE IN'!$F88=0,"",(VLOOKUP($C88,REV!$C:$AA,25,0)-'TRADE IN'!$F88))</f>
        <v>4949</v>
      </c>
      <c r="AB88" s="45">
        <f>IF(VLOOKUP($C88,REV!$C:$AL,27,0)-'TRADE IN'!$F88=0,"",(VLOOKUP($C88,REV!$C:$AL,27,0)-'TRADE IN'!$F88))</f>
        <v>6399</v>
      </c>
      <c r="AC88" s="45">
        <f>IF(VLOOKUP($C88,REV!$C:$AL,28,0)-'TRADE IN'!$F88=0,"",(VLOOKUP($C88,REV!$C:$AL,28,0)-'TRADE IN'!$F88))</f>
        <v>6399</v>
      </c>
      <c r="AD88" s="45">
        <f>IF(VLOOKUP($C88,REV!$C:$AL,29,0)-'TRADE IN'!$F88=0,"",(VLOOKUP($C88,REV!$C:$AL,29,0)-'TRADE IN'!$F88))</f>
        <v>6299</v>
      </c>
      <c r="AE88" s="45">
        <f>IF(VLOOKUP($C88,REV!$C:$AL,30,0)-'TRADE IN'!$F88=0,"",(VLOOKUP($C88,REV!$C:$AL,30,0)-'TRADE IN'!$F88))</f>
        <v>6199</v>
      </c>
      <c r="AF88" s="45">
        <f>IF(VLOOKUP($C88,REV!$C:$AL,31,0)-'TRADE IN'!$F88=0,"",(VLOOKUP($C88,REV!$C:$AL,31,0)-'TRADE IN'!$F88))</f>
        <v>6199</v>
      </c>
      <c r="AG88" s="45">
        <f>IF(VLOOKUP($C88,REV!$C:$AL,31,0)-'TRADE IN'!$F88=0,"",(VLOOKUP($C88,REV!$C:$AL,31,0)-'TRADE IN'!$F88))</f>
        <v>6199</v>
      </c>
      <c r="AH88" s="45">
        <f>IF(VLOOKUP($C88,REV!$C:$AL,32,0)-'TRADE IN'!$F88=0,"",(VLOOKUP($C88,REV!$C:$AL,32,0)-'TRADE IN'!$F88))</f>
        <v>5499</v>
      </c>
      <c r="AI88" s="45">
        <f>IF(VLOOKUP($C88,REV!$C:$AL,33,0)-'TRADE IN'!$F88=0,"",(VLOOKUP($C88,REV!$C:$AL,33,0)-'TRADE IN'!$F88))</f>
        <v>5499</v>
      </c>
      <c r="AJ88" s="45">
        <f>IF(VLOOKUP($C88,REV!$C:$AL,34,0)-'TRADE IN'!$F88=0,"",(VLOOKUP($C88,REV!$C:$AL,34,0)-'TRADE IN'!$F88))</f>
        <v>5499</v>
      </c>
      <c r="AK88" s="45">
        <f>IF(VLOOKUP($C88,REV!$C:$AL,35,0)-'TRADE IN'!$F88=0,"",(VLOOKUP($C88,REV!$C:$AL,35,0)-'TRADE IN'!$F88))</f>
        <v>5499</v>
      </c>
      <c r="AL88" s="45">
        <f>IF(VLOOKUP($C88,REV!$C:$AL,36,0)-'TRADE IN'!$F88=0,"",(VLOOKUP($C88,REV!$C:$AL,36,0)-'TRADE IN'!$F88))</f>
        <v>4999</v>
      </c>
      <c r="AM88" s="45"/>
      <c r="AN88" s="45"/>
      <c r="AO88" s="45"/>
      <c r="AP88" s="45"/>
      <c r="AQ88" s="45"/>
      <c r="AR88" s="45"/>
      <c r="AS88" s="45"/>
      <c r="AT88" s="45"/>
      <c r="AU88" s="45"/>
      <c r="AV88" s="47"/>
      <c r="AW88" s="48" t="str">
        <f>REV!AW88</f>
        <v>01.12.2026</v>
      </c>
      <c r="AX88" s="153" t="str">
        <f>VLOOKUP(C88,REV!C:AX,48,0)</f>
        <v>5G</v>
      </c>
    </row>
    <row r="89" spans="1:50" ht="22.5" customHeight="1">
      <c r="A89" s="41" t="s">
        <v>63</v>
      </c>
      <c r="B89" s="42" t="s">
        <v>64</v>
      </c>
      <c r="C89" s="43">
        <v>4017897</v>
      </c>
      <c r="D89" s="44" t="s">
        <v>167</v>
      </c>
      <c r="E89" s="44" t="s">
        <v>169</v>
      </c>
      <c r="F89" s="45"/>
      <c r="G89" s="45"/>
      <c r="H89" s="45"/>
      <c r="I89" s="45"/>
      <c r="J89" s="46">
        <f>IF(VLOOKUP($C89,REV!$C:$AA,8,0)-'TRADE IN'!$F89=0,"",(VLOOKUP($C89,REV!$C:$AA,8,0)-'TRADE IN'!$F89))</f>
        <v>6399</v>
      </c>
      <c r="K89" s="46">
        <f>IF(VLOOKUP($C89,REV!$C:$AA,9,0)-'TRADE IN'!$F89=0,"",(VLOOKUP($C89,REV!$C:$AA,9,0)-'TRADE IN'!$F89))</f>
        <v>6399</v>
      </c>
      <c r="L89" s="46">
        <f>IF(VLOOKUP($C89,REV!$C:$AA,10,0)-'TRADE IN'!$F89=0,"",(VLOOKUP($C89,REV!$C:$AA,10,0)-'TRADE IN'!$F89))</f>
        <v>6399</v>
      </c>
      <c r="M89" s="46">
        <f>IF(VLOOKUP($C89,REV!$C:$AA,11,0)-'TRADE IN'!$F89=0,"",(VLOOKUP($C89,REV!$C:$AA,11,0)-'TRADE IN'!$F89))</f>
        <v>6399</v>
      </c>
      <c r="N89" s="46">
        <f>IF(VLOOKUP($C89,REV!$C:$AA,12,0)-'TRADE IN'!$F89=0,"",(VLOOKUP($C89,REV!$C:$AA,12,0)-'TRADE IN'!$F89))</f>
        <v>6399</v>
      </c>
      <c r="O89" s="46">
        <f>IF(VLOOKUP($C89,REV!$C:$AA,13,0)-'TRADE IN'!$F89=0,"",(VLOOKUP($C89,REV!$C:$AA,13,0)-'TRADE IN'!$F89))</f>
        <v>6299</v>
      </c>
      <c r="P89" s="46">
        <f>IF(VLOOKUP($C89,REV!$C:$AA,14,0)-'TRADE IN'!$F89=0,"",(VLOOKUP($C89,REV!$C:$AA,14,0)-'TRADE IN'!$F89))</f>
        <v>6199</v>
      </c>
      <c r="Q89" s="46">
        <f>IF(VLOOKUP($C89,REV!$C:$AA,15,0)-'TRADE IN'!$F89=0,"",(VLOOKUP($C89,REV!$C:$AA,15,0)-'TRADE IN'!$F89))</f>
        <v>5499</v>
      </c>
      <c r="R89" s="46">
        <f>IF(VLOOKUP($C89,REV!$C:$AA,16,0)-'TRADE IN'!$F89=0,"",(VLOOKUP($C89,REV!$C:$AA,16,0)-'TRADE IN'!$F89))</f>
        <v>6299</v>
      </c>
      <c r="S89" s="46">
        <f>IF(VLOOKUP($C89,REV!$C:$AA,17,0)-'TRADE IN'!$F89=0,"",(VLOOKUP($C89,REV!$C:$AA,17,0)-'TRADE IN'!$F89))</f>
        <v>6199</v>
      </c>
      <c r="T89" s="46">
        <f>IF(VLOOKUP($C89,REV!$C:$AA,18,0)-'TRADE IN'!$F89=0,"",(VLOOKUP($C89,REV!$C:$AA,18,0)-'TRADE IN'!$F89))</f>
        <v>5499</v>
      </c>
      <c r="U89" s="46">
        <f>IF(VLOOKUP($C89,REV!$C:$AA,19,0)-'TRADE IN'!$F89=0,"",(VLOOKUP($C89,REV!$C:$AA,19,0)-'TRADE IN'!$F89))</f>
        <v>5499</v>
      </c>
      <c r="V89" s="46">
        <f>IF(VLOOKUP($C89,REV!$C:$AA,20,0)-'TRADE IN'!$F89=0,"",(VLOOKUP($C89,REV!$C:$AA,20,0)-'TRADE IN'!$F89))</f>
        <v>5499</v>
      </c>
      <c r="W89" s="46">
        <f>IF(VLOOKUP($C89,REV!$C:$AA,21,0)-'TRADE IN'!$F89=0,"",(VLOOKUP($C89,REV!$C:$AA,21,0)-'TRADE IN'!$F89))</f>
        <v>5499</v>
      </c>
      <c r="X89" s="46">
        <f>IF(VLOOKUP($C89,REV!$C:$AA,22,0)-'TRADE IN'!$F89=0,"",(VLOOKUP($C89,REV!$C:$AA,22,0)-'TRADE IN'!$F89))</f>
        <v>5399</v>
      </c>
      <c r="Y89" s="46">
        <f>IF(VLOOKUP($C89,REV!$C:$AA,23,0)-'TRADE IN'!$F89=0,"",(VLOOKUP($C89,REV!$C:$AA,23,0)-'TRADE IN'!$F89))</f>
        <v>4999</v>
      </c>
      <c r="Z89" s="46">
        <f>IF(VLOOKUP($C89,REV!$C:$AA,24,0)-'TRADE IN'!$F89=0,"",(VLOOKUP($C89,REV!$C:$AA,24,0)-'TRADE IN'!$F89))</f>
        <v>4999</v>
      </c>
      <c r="AA89" s="46">
        <f>IF(VLOOKUP($C89,REV!$C:$AA,25,0)-'TRADE IN'!$F89=0,"",(VLOOKUP($C89,REV!$C:$AA,25,0)-'TRADE IN'!$F89))</f>
        <v>4949</v>
      </c>
      <c r="AB89" s="45">
        <f>IF(VLOOKUP($C89,REV!$C:$AL,27,0)-'TRADE IN'!$F89=0,"",(VLOOKUP($C89,REV!$C:$AL,27,0)-'TRADE IN'!$F89))</f>
        <v>6399</v>
      </c>
      <c r="AC89" s="45">
        <f>IF(VLOOKUP($C89,REV!$C:$AL,28,0)-'TRADE IN'!$F89=0,"",(VLOOKUP($C89,REV!$C:$AL,28,0)-'TRADE IN'!$F89))</f>
        <v>6399</v>
      </c>
      <c r="AD89" s="45">
        <f>IF(VLOOKUP($C89,REV!$C:$AL,29,0)-'TRADE IN'!$F89=0,"",(VLOOKUP($C89,REV!$C:$AL,29,0)-'TRADE IN'!$F89))</f>
        <v>6299</v>
      </c>
      <c r="AE89" s="45">
        <f>IF(VLOOKUP($C89,REV!$C:$AL,30,0)-'TRADE IN'!$F89=0,"",(VLOOKUP($C89,REV!$C:$AL,30,0)-'TRADE IN'!$F89))</f>
        <v>6199</v>
      </c>
      <c r="AF89" s="45">
        <f>IF(VLOOKUP($C89,REV!$C:$AL,31,0)-'TRADE IN'!$F89=0,"",(VLOOKUP($C89,REV!$C:$AL,31,0)-'TRADE IN'!$F89))</f>
        <v>6199</v>
      </c>
      <c r="AG89" s="45">
        <f>IF(VLOOKUP($C89,REV!$C:$AL,31,0)-'TRADE IN'!$F89=0,"",(VLOOKUP($C89,REV!$C:$AL,31,0)-'TRADE IN'!$F89))</f>
        <v>6199</v>
      </c>
      <c r="AH89" s="45">
        <f>IF(VLOOKUP($C89,REV!$C:$AL,32,0)-'TRADE IN'!$F89=0,"",(VLOOKUP($C89,REV!$C:$AL,32,0)-'TRADE IN'!$F89))</f>
        <v>5499</v>
      </c>
      <c r="AI89" s="45">
        <f>IF(VLOOKUP($C89,REV!$C:$AL,33,0)-'TRADE IN'!$F89=0,"",(VLOOKUP($C89,REV!$C:$AL,33,0)-'TRADE IN'!$F89))</f>
        <v>5499</v>
      </c>
      <c r="AJ89" s="45">
        <f>IF(VLOOKUP($C89,REV!$C:$AL,34,0)-'TRADE IN'!$F89=0,"",(VLOOKUP($C89,REV!$C:$AL,34,0)-'TRADE IN'!$F89))</f>
        <v>5499</v>
      </c>
      <c r="AK89" s="45">
        <f>IF(VLOOKUP($C89,REV!$C:$AL,35,0)-'TRADE IN'!$F89=0,"",(VLOOKUP($C89,REV!$C:$AL,35,0)-'TRADE IN'!$F89))</f>
        <v>5499</v>
      </c>
      <c r="AL89" s="45">
        <f>IF(VLOOKUP($C89,REV!$C:$AL,36,0)-'TRADE IN'!$F89=0,"",(VLOOKUP($C89,REV!$C:$AL,36,0)-'TRADE IN'!$F89))</f>
        <v>4999</v>
      </c>
      <c r="AM89" s="45"/>
      <c r="AN89" s="45"/>
      <c r="AO89" s="45"/>
      <c r="AP89" s="45"/>
      <c r="AQ89" s="45"/>
      <c r="AR89" s="45"/>
      <c r="AS89" s="45"/>
      <c r="AT89" s="45"/>
      <c r="AU89" s="45"/>
      <c r="AV89" s="47"/>
      <c r="AW89" s="48" t="str">
        <f>REV!AW89</f>
        <v>01.12.2026</v>
      </c>
      <c r="AX89" s="153" t="str">
        <f>VLOOKUP(C89,REV!C:AX,48,0)</f>
        <v>5G</v>
      </c>
    </row>
    <row r="90" spans="1:50" ht="22.5" customHeight="1">
      <c r="A90" s="41" t="s">
        <v>63</v>
      </c>
      <c r="B90" s="42" t="s">
        <v>64</v>
      </c>
      <c r="C90" s="43">
        <v>4017480</v>
      </c>
      <c r="D90" s="44" t="s">
        <v>167</v>
      </c>
      <c r="E90" s="44" t="s">
        <v>170</v>
      </c>
      <c r="F90" s="45"/>
      <c r="G90" s="45"/>
      <c r="H90" s="45"/>
      <c r="I90" s="45"/>
      <c r="J90" s="46">
        <f>IF(VLOOKUP($C90,REV!$C:$AA,8,0)-'TRADE IN'!$F90=0,"",(VLOOKUP($C90,REV!$C:$AA,8,0)-'TRADE IN'!$F90))</f>
        <v>6399</v>
      </c>
      <c r="K90" s="46">
        <f>IF(VLOOKUP($C90,REV!$C:$AA,9,0)-'TRADE IN'!$F90=0,"",(VLOOKUP($C90,REV!$C:$AA,9,0)-'TRADE IN'!$F90))</f>
        <v>6399</v>
      </c>
      <c r="L90" s="46">
        <f>IF(VLOOKUP($C90,REV!$C:$AA,10,0)-'TRADE IN'!$F90=0,"",(VLOOKUP($C90,REV!$C:$AA,10,0)-'TRADE IN'!$F90))</f>
        <v>6399</v>
      </c>
      <c r="M90" s="46">
        <f>IF(VLOOKUP($C90,REV!$C:$AA,11,0)-'TRADE IN'!$F90=0,"",(VLOOKUP($C90,REV!$C:$AA,11,0)-'TRADE IN'!$F90))</f>
        <v>6399</v>
      </c>
      <c r="N90" s="46">
        <f>IF(VLOOKUP($C90,REV!$C:$AA,12,0)-'TRADE IN'!$F90=0,"",(VLOOKUP($C90,REV!$C:$AA,12,0)-'TRADE IN'!$F90))</f>
        <v>6399</v>
      </c>
      <c r="O90" s="46">
        <f>IF(VLOOKUP($C90,REV!$C:$AA,13,0)-'TRADE IN'!$F90=0,"",(VLOOKUP($C90,REV!$C:$AA,13,0)-'TRADE IN'!$F90))</f>
        <v>6299</v>
      </c>
      <c r="P90" s="46">
        <f>IF(VLOOKUP($C90,REV!$C:$AA,14,0)-'TRADE IN'!$F90=0,"",(VLOOKUP($C90,REV!$C:$AA,14,0)-'TRADE IN'!$F90))</f>
        <v>6199</v>
      </c>
      <c r="Q90" s="46">
        <f>IF(VLOOKUP($C90,REV!$C:$AA,15,0)-'TRADE IN'!$F90=0,"",(VLOOKUP($C90,REV!$C:$AA,15,0)-'TRADE IN'!$F90))</f>
        <v>5499</v>
      </c>
      <c r="R90" s="46">
        <f>IF(VLOOKUP($C90,REV!$C:$AA,16,0)-'TRADE IN'!$F90=0,"",(VLOOKUP($C90,REV!$C:$AA,16,0)-'TRADE IN'!$F90))</f>
        <v>6299</v>
      </c>
      <c r="S90" s="46">
        <f>IF(VLOOKUP($C90,REV!$C:$AA,17,0)-'TRADE IN'!$F90=0,"",(VLOOKUP($C90,REV!$C:$AA,17,0)-'TRADE IN'!$F90))</f>
        <v>6199</v>
      </c>
      <c r="T90" s="46">
        <f>IF(VLOOKUP($C90,REV!$C:$AA,18,0)-'TRADE IN'!$F90=0,"",(VLOOKUP($C90,REV!$C:$AA,18,0)-'TRADE IN'!$F90))</f>
        <v>5499</v>
      </c>
      <c r="U90" s="46">
        <f>IF(VLOOKUP($C90,REV!$C:$AA,19,0)-'TRADE IN'!$F90=0,"",(VLOOKUP($C90,REV!$C:$AA,19,0)-'TRADE IN'!$F90))</f>
        <v>5499</v>
      </c>
      <c r="V90" s="46">
        <f>IF(VLOOKUP($C90,REV!$C:$AA,20,0)-'TRADE IN'!$F90=0,"",(VLOOKUP($C90,REV!$C:$AA,20,0)-'TRADE IN'!$F90))</f>
        <v>5499</v>
      </c>
      <c r="W90" s="46">
        <f>IF(VLOOKUP($C90,REV!$C:$AA,21,0)-'TRADE IN'!$F90=0,"",(VLOOKUP($C90,REV!$C:$AA,21,0)-'TRADE IN'!$F90))</f>
        <v>5499</v>
      </c>
      <c r="X90" s="46">
        <f>IF(VLOOKUP($C90,REV!$C:$AA,22,0)-'TRADE IN'!$F90=0,"",(VLOOKUP($C90,REV!$C:$AA,22,0)-'TRADE IN'!$F90))</f>
        <v>5399</v>
      </c>
      <c r="Y90" s="46">
        <f>IF(VLOOKUP($C90,REV!$C:$AA,23,0)-'TRADE IN'!$F90=0,"",(VLOOKUP($C90,REV!$C:$AA,23,0)-'TRADE IN'!$F90))</f>
        <v>4999</v>
      </c>
      <c r="Z90" s="46">
        <f>IF(VLOOKUP($C90,REV!$C:$AA,24,0)-'TRADE IN'!$F90=0,"",(VLOOKUP($C90,REV!$C:$AA,24,0)-'TRADE IN'!$F90))</f>
        <v>4999</v>
      </c>
      <c r="AA90" s="46">
        <f>IF(VLOOKUP($C90,REV!$C:$AA,25,0)-'TRADE IN'!$F90=0,"",(VLOOKUP($C90,REV!$C:$AA,25,0)-'TRADE IN'!$F90))</f>
        <v>4949</v>
      </c>
      <c r="AB90" s="45">
        <f>IF(VLOOKUP($C90,REV!$C:$AL,27,0)-'TRADE IN'!$F90=0,"",(VLOOKUP($C90,REV!$C:$AL,27,0)-'TRADE IN'!$F90))</f>
        <v>6399</v>
      </c>
      <c r="AC90" s="45">
        <f>IF(VLOOKUP($C90,REV!$C:$AL,28,0)-'TRADE IN'!$F90=0,"",(VLOOKUP($C90,REV!$C:$AL,28,0)-'TRADE IN'!$F90))</f>
        <v>6399</v>
      </c>
      <c r="AD90" s="45">
        <f>IF(VLOOKUP($C90,REV!$C:$AL,29,0)-'TRADE IN'!$F90=0,"",(VLOOKUP($C90,REV!$C:$AL,29,0)-'TRADE IN'!$F90))</f>
        <v>6299</v>
      </c>
      <c r="AE90" s="45">
        <f>IF(VLOOKUP($C90,REV!$C:$AL,30,0)-'TRADE IN'!$F90=0,"",(VLOOKUP($C90,REV!$C:$AL,30,0)-'TRADE IN'!$F90))</f>
        <v>6199</v>
      </c>
      <c r="AF90" s="45">
        <f>IF(VLOOKUP($C90,REV!$C:$AL,31,0)-'TRADE IN'!$F90=0,"",(VLOOKUP($C90,REV!$C:$AL,31,0)-'TRADE IN'!$F90))</f>
        <v>6199</v>
      </c>
      <c r="AG90" s="45">
        <f>IF(VLOOKUP($C90,REV!$C:$AL,31,0)-'TRADE IN'!$F90=0,"",(VLOOKUP($C90,REV!$C:$AL,31,0)-'TRADE IN'!$F90))</f>
        <v>6199</v>
      </c>
      <c r="AH90" s="45">
        <f>IF(VLOOKUP($C90,REV!$C:$AL,32,0)-'TRADE IN'!$F90=0,"",(VLOOKUP($C90,REV!$C:$AL,32,0)-'TRADE IN'!$F90))</f>
        <v>5499</v>
      </c>
      <c r="AI90" s="45">
        <f>IF(VLOOKUP($C90,REV!$C:$AL,33,0)-'TRADE IN'!$F90=0,"",(VLOOKUP($C90,REV!$C:$AL,33,0)-'TRADE IN'!$F90))</f>
        <v>5499</v>
      </c>
      <c r="AJ90" s="45">
        <f>IF(VLOOKUP($C90,REV!$C:$AL,34,0)-'TRADE IN'!$F90=0,"",(VLOOKUP($C90,REV!$C:$AL,34,0)-'TRADE IN'!$F90))</f>
        <v>5499</v>
      </c>
      <c r="AK90" s="45">
        <f>IF(VLOOKUP($C90,REV!$C:$AL,35,0)-'TRADE IN'!$F90=0,"",(VLOOKUP($C90,REV!$C:$AL,35,0)-'TRADE IN'!$F90))</f>
        <v>5499</v>
      </c>
      <c r="AL90" s="45">
        <f>IF(VLOOKUP($C90,REV!$C:$AL,36,0)-'TRADE IN'!$F90=0,"",(VLOOKUP($C90,REV!$C:$AL,36,0)-'TRADE IN'!$F90))</f>
        <v>4999</v>
      </c>
      <c r="AM90" s="45"/>
      <c r="AN90" s="45"/>
      <c r="AO90" s="45"/>
      <c r="AP90" s="45"/>
      <c r="AQ90" s="45"/>
      <c r="AR90" s="45"/>
      <c r="AS90" s="45"/>
      <c r="AT90" s="45"/>
      <c r="AU90" s="45"/>
      <c r="AV90" s="47"/>
      <c r="AW90" s="48" t="str">
        <f>REV!AW90</f>
        <v>01.12.2026</v>
      </c>
      <c r="AX90" s="153" t="str">
        <f>VLOOKUP(C90,REV!C:AX,48,0)</f>
        <v>5G</v>
      </c>
    </row>
    <row r="91" spans="1:50" ht="22.5" customHeight="1">
      <c r="A91" s="41" t="s">
        <v>63</v>
      </c>
      <c r="B91" s="42" t="s">
        <v>64</v>
      </c>
      <c r="C91" s="43">
        <v>4017894</v>
      </c>
      <c r="D91" s="44" t="s">
        <v>167</v>
      </c>
      <c r="E91" s="44" t="s">
        <v>171</v>
      </c>
      <c r="F91" s="45"/>
      <c r="G91" s="45"/>
      <c r="H91" s="45"/>
      <c r="I91" s="45"/>
      <c r="J91" s="46">
        <f>IF(VLOOKUP($C91,REV!$C:$AA,8,0)-'TRADE IN'!$F91=0,"",(VLOOKUP($C91,REV!$C:$AA,8,0)-'TRADE IN'!$F91))</f>
        <v>6399</v>
      </c>
      <c r="K91" s="46">
        <f>IF(VLOOKUP($C91,REV!$C:$AA,9,0)-'TRADE IN'!$F91=0,"",(VLOOKUP($C91,REV!$C:$AA,9,0)-'TRADE IN'!$F91))</f>
        <v>6399</v>
      </c>
      <c r="L91" s="46">
        <f>IF(VLOOKUP($C91,REV!$C:$AA,10,0)-'TRADE IN'!$F91=0,"",(VLOOKUP($C91,REV!$C:$AA,10,0)-'TRADE IN'!$F91))</f>
        <v>6399</v>
      </c>
      <c r="M91" s="46">
        <f>IF(VLOOKUP($C91,REV!$C:$AA,11,0)-'TRADE IN'!$F91=0,"",(VLOOKUP($C91,REV!$C:$AA,11,0)-'TRADE IN'!$F91))</f>
        <v>6399</v>
      </c>
      <c r="N91" s="46">
        <f>IF(VLOOKUP($C91,REV!$C:$AA,12,0)-'TRADE IN'!$F91=0,"",(VLOOKUP($C91,REV!$C:$AA,12,0)-'TRADE IN'!$F91))</f>
        <v>6399</v>
      </c>
      <c r="O91" s="46">
        <f>IF(VLOOKUP($C91,REV!$C:$AA,13,0)-'TRADE IN'!$F91=0,"",(VLOOKUP($C91,REV!$C:$AA,13,0)-'TRADE IN'!$F91))</f>
        <v>6299</v>
      </c>
      <c r="P91" s="46">
        <f>IF(VLOOKUP($C91,REV!$C:$AA,14,0)-'TRADE IN'!$F91=0,"",(VLOOKUP($C91,REV!$C:$AA,14,0)-'TRADE IN'!$F91))</f>
        <v>6199</v>
      </c>
      <c r="Q91" s="46">
        <f>IF(VLOOKUP($C91,REV!$C:$AA,15,0)-'TRADE IN'!$F91=0,"",(VLOOKUP($C91,REV!$C:$AA,15,0)-'TRADE IN'!$F91))</f>
        <v>5499</v>
      </c>
      <c r="R91" s="46">
        <f>IF(VLOOKUP($C91,REV!$C:$AA,16,0)-'TRADE IN'!$F91=0,"",(VLOOKUP($C91,REV!$C:$AA,16,0)-'TRADE IN'!$F91))</f>
        <v>6299</v>
      </c>
      <c r="S91" s="46">
        <f>IF(VLOOKUP($C91,REV!$C:$AA,17,0)-'TRADE IN'!$F91=0,"",(VLOOKUP($C91,REV!$C:$AA,17,0)-'TRADE IN'!$F91))</f>
        <v>6199</v>
      </c>
      <c r="T91" s="46">
        <f>IF(VLOOKUP($C91,REV!$C:$AA,18,0)-'TRADE IN'!$F91=0,"",(VLOOKUP($C91,REV!$C:$AA,18,0)-'TRADE IN'!$F91))</f>
        <v>5499</v>
      </c>
      <c r="U91" s="46">
        <f>IF(VLOOKUP($C91,REV!$C:$AA,19,0)-'TRADE IN'!$F91=0,"",(VLOOKUP($C91,REV!$C:$AA,19,0)-'TRADE IN'!$F91))</f>
        <v>5499</v>
      </c>
      <c r="V91" s="46">
        <f>IF(VLOOKUP($C91,REV!$C:$AA,20,0)-'TRADE IN'!$F91=0,"",(VLOOKUP($C91,REV!$C:$AA,20,0)-'TRADE IN'!$F91))</f>
        <v>5499</v>
      </c>
      <c r="W91" s="46">
        <f>IF(VLOOKUP($C91,REV!$C:$AA,21,0)-'TRADE IN'!$F91=0,"",(VLOOKUP($C91,REV!$C:$AA,21,0)-'TRADE IN'!$F91))</f>
        <v>5499</v>
      </c>
      <c r="X91" s="46">
        <f>IF(VLOOKUP($C91,REV!$C:$AA,22,0)-'TRADE IN'!$F91=0,"",(VLOOKUP($C91,REV!$C:$AA,22,0)-'TRADE IN'!$F91))</f>
        <v>5399</v>
      </c>
      <c r="Y91" s="46">
        <f>IF(VLOOKUP($C91,REV!$C:$AA,23,0)-'TRADE IN'!$F91=0,"",(VLOOKUP($C91,REV!$C:$AA,23,0)-'TRADE IN'!$F91))</f>
        <v>4999</v>
      </c>
      <c r="Z91" s="46">
        <f>IF(VLOOKUP($C91,REV!$C:$AA,24,0)-'TRADE IN'!$F91=0,"",(VLOOKUP($C91,REV!$C:$AA,24,0)-'TRADE IN'!$F91))</f>
        <v>4999</v>
      </c>
      <c r="AA91" s="46">
        <f>IF(VLOOKUP($C91,REV!$C:$AA,25,0)-'TRADE IN'!$F91=0,"",(VLOOKUP($C91,REV!$C:$AA,25,0)-'TRADE IN'!$F91))</f>
        <v>4949</v>
      </c>
      <c r="AB91" s="45">
        <f>IF(VLOOKUP($C91,REV!$C:$AL,27,0)-'TRADE IN'!$F91=0,"",(VLOOKUP($C91,REV!$C:$AL,27,0)-'TRADE IN'!$F91))</f>
        <v>6399</v>
      </c>
      <c r="AC91" s="45">
        <f>IF(VLOOKUP($C91,REV!$C:$AL,28,0)-'TRADE IN'!$F91=0,"",(VLOOKUP($C91,REV!$C:$AL,28,0)-'TRADE IN'!$F91))</f>
        <v>6399</v>
      </c>
      <c r="AD91" s="45">
        <f>IF(VLOOKUP($C91,REV!$C:$AL,29,0)-'TRADE IN'!$F91=0,"",(VLOOKUP($C91,REV!$C:$AL,29,0)-'TRADE IN'!$F91))</f>
        <v>6299</v>
      </c>
      <c r="AE91" s="45">
        <f>IF(VLOOKUP($C91,REV!$C:$AL,30,0)-'TRADE IN'!$F91=0,"",(VLOOKUP($C91,REV!$C:$AL,30,0)-'TRADE IN'!$F91))</f>
        <v>6199</v>
      </c>
      <c r="AF91" s="45">
        <f>IF(VLOOKUP($C91,REV!$C:$AL,31,0)-'TRADE IN'!$F91=0,"",(VLOOKUP($C91,REV!$C:$AL,31,0)-'TRADE IN'!$F91))</f>
        <v>6199</v>
      </c>
      <c r="AG91" s="45">
        <f>IF(VLOOKUP($C91,REV!$C:$AL,31,0)-'TRADE IN'!$F91=0,"",(VLOOKUP($C91,REV!$C:$AL,31,0)-'TRADE IN'!$F91))</f>
        <v>6199</v>
      </c>
      <c r="AH91" s="45">
        <f>IF(VLOOKUP($C91,REV!$C:$AL,32,0)-'TRADE IN'!$F91=0,"",(VLOOKUP($C91,REV!$C:$AL,32,0)-'TRADE IN'!$F91))</f>
        <v>5499</v>
      </c>
      <c r="AI91" s="45">
        <f>IF(VLOOKUP($C91,REV!$C:$AL,33,0)-'TRADE IN'!$F91=0,"",(VLOOKUP($C91,REV!$C:$AL,33,0)-'TRADE IN'!$F91))</f>
        <v>5499</v>
      </c>
      <c r="AJ91" s="45">
        <f>IF(VLOOKUP($C91,REV!$C:$AL,34,0)-'TRADE IN'!$F91=0,"",(VLOOKUP($C91,REV!$C:$AL,34,0)-'TRADE IN'!$F91))</f>
        <v>5499</v>
      </c>
      <c r="AK91" s="45">
        <f>IF(VLOOKUP($C91,REV!$C:$AL,35,0)-'TRADE IN'!$F91=0,"",(VLOOKUP($C91,REV!$C:$AL,35,0)-'TRADE IN'!$F91))</f>
        <v>5499</v>
      </c>
      <c r="AL91" s="45">
        <f>IF(VLOOKUP($C91,REV!$C:$AL,36,0)-'TRADE IN'!$F91=0,"",(VLOOKUP($C91,REV!$C:$AL,36,0)-'TRADE IN'!$F91))</f>
        <v>4999</v>
      </c>
      <c r="AM91" s="45"/>
      <c r="AN91" s="45"/>
      <c r="AO91" s="45"/>
      <c r="AP91" s="45"/>
      <c r="AQ91" s="45"/>
      <c r="AR91" s="45"/>
      <c r="AS91" s="45"/>
      <c r="AT91" s="45"/>
      <c r="AU91" s="45"/>
      <c r="AV91" s="47"/>
      <c r="AW91" s="48" t="str">
        <f>REV!AW91</f>
        <v>01.12.2026</v>
      </c>
      <c r="AX91" s="153" t="str">
        <f>VLOOKUP(C91,REV!C:AX,48,0)</f>
        <v>5G</v>
      </c>
    </row>
    <row r="92" spans="1:50" ht="22.5" customHeight="1">
      <c r="A92" s="41" t="s">
        <v>63</v>
      </c>
      <c r="B92" s="42" t="s">
        <v>64</v>
      </c>
      <c r="C92" s="43">
        <v>4017485</v>
      </c>
      <c r="D92" s="44" t="s">
        <v>167</v>
      </c>
      <c r="E92" s="44" t="s">
        <v>172</v>
      </c>
      <c r="F92" s="45"/>
      <c r="G92" s="45"/>
      <c r="H92" s="45"/>
      <c r="I92" s="45"/>
      <c r="J92" s="46">
        <f>IF(VLOOKUP($C92,REV!$C:$AA,8,0)-'TRADE IN'!$F92=0,"",(VLOOKUP($C92,REV!$C:$AA,8,0)-'TRADE IN'!$F92))</f>
        <v>6399</v>
      </c>
      <c r="K92" s="46">
        <f>IF(VLOOKUP($C92,REV!$C:$AA,9,0)-'TRADE IN'!$F92=0,"",(VLOOKUP($C92,REV!$C:$AA,9,0)-'TRADE IN'!$F92))</f>
        <v>6399</v>
      </c>
      <c r="L92" s="46">
        <f>IF(VLOOKUP($C92,REV!$C:$AA,10,0)-'TRADE IN'!$F92=0,"",(VLOOKUP($C92,REV!$C:$AA,10,0)-'TRADE IN'!$F92))</f>
        <v>6399</v>
      </c>
      <c r="M92" s="46">
        <f>IF(VLOOKUP($C92,REV!$C:$AA,11,0)-'TRADE IN'!$F92=0,"",(VLOOKUP($C92,REV!$C:$AA,11,0)-'TRADE IN'!$F92))</f>
        <v>6399</v>
      </c>
      <c r="N92" s="46">
        <f>IF(VLOOKUP($C92,REV!$C:$AA,12,0)-'TRADE IN'!$F92=0,"",(VLOOKUP($C92,REV!$C:$AA,12,0)-'TRADE IN'!$F92))</f>
        <v>6399</v>
      </c>
      <c r="O92" s="46">
        <f>IF(VLOOKUP($C92,REV!$C:$AA,13,0)-'TRADE IN'!$F92=0,"",(VLOOKUP($C92,REV!$C:$AA,13,0)-'TRADE IN'!$F92))</f>
        <v>6299</v>
      </c>
      <c r="P92" s="46">
        <f>IF(VLOOKUP($C92,REV!$C:$AA,14,0)-'TRADE IN'!$F92=0,"",(VLOOKUP($C92,REV!$C:$AA,14,0)-'TRADE IN'!$F92))</f>
        <v>6199</v>
      </c>
      <c r="Q92" s="46">
        <f>IF(VLOOKUP($C92,REV!$C:$AA,15,0)-'TRADE IN'!$F92=0,"",(VLOOKUP($C92,REV!$C:$AA,15,0)-'TRADE IN'!$F92))</f>
        <v>5499</v>
      </c>
      <c r="R92" s="46">
        <f>IF(VLOOKUP($C92,REV!$C:$AA,16,0)-'TRADE IN'!$F92=0,"",(VLOOKUP($C92,REV!$C:$AA,16,0)-'TRADE IN'!$F92))</f>
        <v>6299</v>
      </c>
      <c r="S92" s="46">
        <f>IF(VLOOKUP($C92,REV!$C:$AA,17,0)-'TRADE IN'!$F92=0,"",(VLOOKUP($C92,REV!$C:$AA,17,0)-'TRADE IN'!$F92))</f>
        <v>6199</v>
      </c>
      <c r="T92" s="46">
        <f>IF(VLOOKUP($C92,REV!$C:$AA,18,0)-'TRADE IN'!$F92=0,"",(VLOOKUP($C92,REV!$C:$AA,18,0)-'TRADE IN'!$F92))</f>
        <v>5499</v>
      </c>
      <c r="U92" s="46">
        <f>IF(VLOOKUP($C92,REV!$C:$AA,19,0)-'TRADE IN'!$F92=0,"",(VLOOKUP($C92,REV!$C:$AA,19,0)-'TRADE IN'!$F92))</f>
        <v>5499</v>
      </c>
      <c r="V92" s="46">
        <f>IF(VLOOKUP($C92,REV!$C:$AA,20,0)-'TRADE IN'!$F92=0,"",(VLOOKUP($C92,REV!$C:$AA,20,0)-'TRADE IN'!$F92))</f>
        <v>5499</v>
      </c>
      <c r="W92" s="46">
        <f>IF(VLOOKUP($C92,REV!$C:$AA,21,0)-'TRADE IN'!$F92=0,"",(VLOOKUP($C92,REV!$C:$AA,21,0)-'TRADE IN'!$F92))</f>
        <v>5499</v>
      </c>
      <c r="X92" s="46">
        <f>IF(VLOOKUP($C92,REV!$C:$AA,22,0)-'TRADE IN'!$F92=0,"",(VLOOKUP($C92,REV!$C:$AA,22,0)-'TRADE IN'!$F92))</f>
        <v>5399</v>
      </c>
      <c r="Y92" s="46">
        <f>IF(VLOOKUP($C92,REV!$C:$AA,23,0)-'TRADE IN'!$F92=0,"",(VLOOKUP($C92,REV!$C:$AA,23,0)-'TRADE IN'!$F92))</f>
        <v>4999</v>
      </c>
      <c r="Z92" s="46">
        <f>IF(VLOOKUP($C92,REV!$C:$AA,24,0)-'TRADE IN'!$F92=0,"",(VLOOKUP($C92,REV!$C:$AA,24,0)-'TRADE IN'!$F92))</f>
        <v>4999</v>
      </c>
      <c r="AA92" s="46">
        <f>IF(VLOOKUP($C92,REV!$C:$AA,25,0)-'TRADE IN'!$F92=0,"",(VLOOKUP($C92,REV!$C:$AA,25,0)-'TRADE IN'!$F92))</f>
        <v>4949</v>
      </c>
      <c r="AB92" s="45">
        <f>IF(VLOOKUP($C92,REV!$C:$AL,27,0)-'TRADE IN'!$F92=0,"",(VLOOKUP($C92,REV!$C:$AL,27,0)-'TRADE IN'!$F92))</f>
        <v>6399</v>
      </c>
      <c r="AC92" s="45">
        <f>IF(VLOOKUP($C92,REV!$C:$AL,28,0)-'TRADE IN'!$F92=0,"",(VLOOKUP($C92,REV!$C:$AL,28,0)-'TRADE IN'!$F92))</f>
        <v>6399</v>
      </c>
      <c r="AD92" s="45">
        <f>IF(VLOOKUP($C92,REV!$C:$AL,29,0)-'TRADE IN'!$F92=0,"",(VLOOKUP($C92,REV!$C:$AL,29,0)-'TRADE IN'!$F92))</f>
        <v>6299</v>
      </c>
      <c r="AE92" s="45">
        <f>IF(VLOOKUP($C92,REV!$C:$AL,30,0)-'TRADE IN'!$F92=0,"",(VLOOKUP($C92,REV!$C:$AL,30,0)-'TRADE IN'!$F92))</f>
        <v>6199</v>
      </c>
      <c r="AF92" s="45">
        <f>IF(VLOOKUP($C92,REV!$C:$AL,31,0)-'TRADE IN'!$F92=0,"",(VLOOKUP($C92,REV!$C:$AL,31,0)-'TRADE IN'!$F92))</f>
        <v>6199</v>
      </c>
      <c r="AG92" s="45">
        <f>IF(VLOOKUP($C92,REV!$C:$AL,31,0)-'TRADE IN'!$F92=0,"",(VLOOKUP($C92,REV!$C:$AL,31,0)-'TRADE IN'!$F92))</f>
        <v>6199</v>
      </c>
      <c r="AH92" s="45">
        <f>IF(VLOOKUP($C92,REV!$C:$AL,32,0)-'TRADE IN'!$F92=0,"",(VLOOKUP($C92,REV!$C:$AL,32,0)-'TRADE IN'!$F92))</f>
        <v>5499</v>
      </c>
      <c r="AI92" s="45">
        <f>IF(VLOOKUP($C92,REV!$C:$AL,33,0)-'TRADE IN'!$F92=0,"",(VLOOKUP($C92,REV!$C:$AL,33,0)-'TRADE IN'!$F92))</f>
        <v>5499</v>
      </c>
      <c r="AJ92" s="45">
        <f>IF(VLOOKUP($C92,REV!$C:$AL,34,0)-'TRADE IN'!$F92=0,"",(VLOOKUP($C92,REV!$C:$AL,34,0)-'TRADE IN'!$F92))</f>
        <v>5499</v>
      </c>
      <c r="AK92" s="45">
        <f>IF(VLOOKUP($C92,REV!$C:$AL,35,0)-'TRADE IN'!$F92=0,"",(VLOOKUP($C92,REV!$C:$AL,35,0)-'TRADE IN'!$F92))</f>
        <v>5499</v>
      </c>
      <c r="AL92" s="45">
        <f>IF(VLOOKUP($C92,REV!$C:$AL,36,0)-'TRADE IN'!$F92=0,"",(VLOOKUP($C92,REV!$C:$AL,36,0)-'TRADE IN'!$F92))</f>
        <v>4999</v>
      </c>
      <c r="AM92" s="45"/>
      <c r="AN92" s="45"/>
      <c r="AO92" s="45"/>
      <c r="AP92" s="45"/>
      <c r="AQ92" s="45"/>
      <c r="AR92" s="45"/>
      <c r="AS92" s="45"/>
      <c r="AT92" s="45"/>
      <c r="AU92" s="45"/>
      <c r="AV92" s="47"/>
      <c r="AW92" s="48" t="str">
        <f>REV!AW92</f>
        <v>01.12.2026</v>
      </c>
      <c r="AX92" s="153" t="str">
        <f>VLOOKUP(C92,REV!C:AX,48,0)</f>
        <v>5G</v>
      </c>
    </row>
    <row r="93" spans="1:50" ht="22.5" customHeight="1">
      <c r="A93" s="41" t="s">
        <v>63</v>
      </c>
      <c r="B93" s="42" t="s">
        <v>64</v>
      </c>
      <c r="C93" s="43">
        <v>4017890</v>
      </c>
      <c r="D93" s="44" t="s">
        <v>167</v>
      </c>
      <c r="E93" s="44" t="s">
        <v>173</v>
      </c>
      <c r="F93" s="45"/>
      <c r="G93" s="45"/>
      <c r="H93" s="45"/>
      <c r="I93" s="45"/>
      <c r="J93" s="46">
        <f>IF(VLOOKUP($C93,REV!$C:$AA,8,0)-'TRADE IN'!$F93=0,"",(VLOOKUP($C93,REV!$C:$AA,8,0)-'TRADE IN'!$F93))</f>
        <v>6399</v>
      </c>
      <c r="K93" s="46">
        <f>IF(VLOOKUP($C93,REV!$C:$AA,9,0)-'TRADE IN'!$F93=0,"",(VLOOKUP($C93,REV!$C:$AA,9,0)-'TRADE IN'!$F93))</f>
        <v>6399</v>
      </c>
      <c r="L93" s="46">
        <f>IF(VLOOKUP($C93,REV!$C:$AA,10,0)-'TRADE IN'!$F93=0,"",(VLOOKUP($C93,REV!$C:$AA,10,0)-'TRADE IN'!$F93))</f>
        <v>6399</v>
      </c>
      <c r="M93" s="46">
        <f>IF(VLOOKUP($C93,REV!$C:$AA,11,0)-'TRADE IN'!$F93=0,"",(VLOOKUP($C93,REV!$C:$AA,11,0)-'TRADE IN'!$F93))</f>
        <v>6399</v>
      </c>
      <c r="N93" s="46">
        <f>IF(VLOOKUP($C93,REV!$C:$AA,12,0)-'TRADE IN'!$F93=0,"",(VLOOKUP($C93,REV!$C:$AA,12,0)-'TRADE IN'!$F93))</f>
        <v>6399</v>
      </c>
      <c r="O93" s="46">
        <f>IF(VLOOKUP($C93,REV!$C:$AA,13,0)-'TRADE IN'!$F93=0,"",(VLOOKUP($C93,REV!$C:$AA,13,0)-'TRADE IN'!$F93))</f>
        <v>6299</v>
      </c>
      <c r="P93" s="46">
        <f>IF(VLOOKUP($C93,REV!$C:$AA,14,0)-'TRADE IN'!$F93=0,"",(VLOOKUP($C93,REV!$C:$AA,14,0)-'TRADE IN'!$F93))</f>
        <v>6199</v>
      </c>
      <c r="Q93" s="46">
        <f>IF(VLOOKUP($C93,REV!$C:$AA,15,0)-'TRADE IN'!$F93=0,"",(VLOOKUP($C93,REV!$C:$AA,15,0)-'TRADE IN'!$F93))</f>
        <v>5499</v>
      </c>
      <c r="R93" s="46">
        <f>IF(VLOOKUP($C93,REV!$C:$AA,16,0)-'TRADE IN'!$F93=0,"",(VLOOKUP($C93,REV!$C:$AA,16,0)-'TRADE IN'!$F93))</f>
        <v>6299</v>
      </c>
      <c r="S93" s="46">
        <f>IF(VLOOKUP($C93,REV!$C:$AA,17,0)-'TRADE IN'!$F93=0,"",(VLOOKUP($C93,REV!$C:$AA,17,0)-'TRADE IN'!$F93))</f>
        <v>6199</v>
      </c>
      <c r="T93" s="46">
        <f>IF(VLOOKUP($C93,REV!$C:$AA,18,0)-'TRADE IN'!$F93=0,"",(VLOOKUP($C93,REV!$C:$AA,18,0)-'TRADE IN'!$F93))</f>
        <v>5499</v>
      </c>
      <c r="U93" s="46">
        <f>IF(VLOOKUP($C93,REV!$C:$AA,19,0)-'TRADE IN'!$F93=0,"",(VLOOKUP($C93,REV!$C:$AA,19,0)-'TRADE IN'!$F93))</f>
        <v>5499</v>
      </c>
      <c r="V93" s="46">
        <f>IF(VLOOKUP($C93,REV!$C:$AA,20,0)-'TRADE IN'!$F93=0,"",(VLOOKUP($C93,REV!$C:$AA,20,0)-'TRADE IN'!$F93))</f>
        <v>5499</v>
      </c>
      <c r="W93" s="46">
        <f>IF(VLOOKUP($C93,REV!$C:$AA,21,0)-'TRADE IN'!$F93=0,"",(VLOOKUP($C93,REV!$C:$AA,21,0)-'TRADE IN'!$F93))</f>
        <v>5499</v>
      </c>
      <c r="X93" s="46">
        <f>IF(VLOOKUP($C93,REV!$C:$AA,22,0)-'TRADE IN'!$F93=0,"",(VLOOKUP($C93,REV!$C:$AA,22,0)-'TRADE IN'!$F93))</f>
        <v>5399</v>
      </c>
      <c r="Y93" s="46">
        <f>IF(VLOOKUP($C93,REV!$C:$AA,23,0)-'TRADE IN'!$F93=0,"",(VLOOKUP($C93,REV!$C:$AA,23,0)-'TRADE IN'!$F93))</f>
        <v>4999</v>
      </c>
      <c r="Z93" s="46">
        <f>IF(VLOOKUP($C93,REV!$C:$AA,24,0)-'TRADE IN'!$F93=0,"",(VLOOKUP($C93,REV!$C:$AA,24,0)-'TRADE IN'!$F93))</f>
        <v>4999</v>
      </c>
      <c r="AA93" s="46">
        <f>IF(VLOOKUP($C93,REV!$C:$AA,25,0)-'TRADE IN'!$F93=0,"",(VLOOKUP($C93,REV!$C:$AA,25,0)-'TRADE IN'!$F93))</f>
        <v>4949</v>
      </c>
      <c r="AB93" s="45">
        <f>IF(VLOOKUP($C93,REV!$C:$AL,27,0)-'TRADE IN'!$F93=0,"",(VLOOKUP($C93,REV!$C:$AL,27,0)-'TRADE IN'!$F93))</f>
        <v>6399</v>
      </c>
      <c r="AC93" s="45">
        <f>IF(VLOOKUP($C93,REV!$C:$AL,28,0)-'TRADE IN'!$F93=0,"",(VLOOKUP($C93,REV!$C:$AL,28,0)-'TRADE IN'!$F93))</f>
        <v>6399</v>
      </c>
      <c r="AD93" s="45">
        <f>IF(VLOOKUP($C93,REV!$C:$AL,29,0)-'TRADE IN'!$F93=0,"",(VLOOKUP($C93,REV!$C:$AL,29,0)-'TRADE IN'!$F93))</f>
        <v>6299</v>
      </c>
      <c r="AE93" s="45">
        <f>IF(VLOOKUP($C93,REV!$C:$AL,30,0)-'TRADE IN'!$F93=0,"",(VLOOKUP($C93,REV!$C:$AL,30,0)-'TRADE IN'!$F93))</f>
        <v>6199</v>
      </c>
      <c r="AF93" s="45">
        <f>IF(VLOOKUP($C93,REV!$C:$AL,31,0)-'TRADE IN'!$F93=0,"",(VLOOKUP($C93,REV!$C:$AL,31,0)-'TRADE IN'!$F93))</f>
        <v>6199</v>
      </c>
      <c r="AG93" s="45">
        <f>IF(VLOOKUP($C93,REV!$C:$AL,31,0)-'TRADE IN'!$F93=0,"",(VLOOKUP($C93,REV!$C:$AL,31,0)-'TRADE IN'!$F93))</f>
        <v>6199</v>
      </c>
      <c r="AH93" s="45">
        <f>IF(VLOOKUP($C93,REV!$C:$AL,32,0)-'TRADE IN'!$F93=0,"",(VLOOKUP($C93,REV!$C:$AL,32,0)-'TRADE IN'!$F93))</f>
        <v>5499</v>
      </c>
      <c r="AI93" s="45">
        <f>IF(VLOOKUP($C93,REV!$C:$AL,33,0)-'TRADE IN'!$F93=0,"",(VLOOKUP($C93,REV!$C:$AL,33,0)-'TRADE IN'!$F93))</f>
        <v>5499</v>
      </c>
      <c r="AJ93" s="45">
        <f>IF(VLOOKUP($C93,REV!$C:$AL,34,0)-'TRADE IN'!$F93=0,"",(VLOOKUP($C93,REV!$C:$AL,34,0)-'TRADE IN'!$F93))</f>
        <v>5499</v>
      </c>
      <c r="AK93" s="45">
        <f>IF(VLOOKUP($C93,REV!$C:$AL,35,0)-'TRADE IN'!$F93=0,"",(VLOOKUP($C93,REV!$C:$AL,35,0)-'TRADE IN'!$F93))</f>
        <v>5499</v>
      </c>
      <c r="AL93" s="45">
        <f>IF(VLOOKUP($C93,REV!$C:$AL,36,0)-'TRADE IN'!$F93=0,"",(VLOOKUP($C93,REV!$C:$AL,36,0)-'TRADE IN'!$F93))</f>
        <v>4999</v>
      </c>
      <c r="AM93" s="45"/>
      <c r="AN93" s="45"/>
      <c r="AO93" s="45"/>
      <c r="AP93" s="45"/>
      <c r="AQ93" s="45"/>
      <c r="AR93" s="45"/>
      <c r="AS93" s="45"/>
      <c r="AT93" s="45"/>
      <c r="AU93" s="45"/>
      <c r="AV93" s="47"/>
      <c r="AW93" s="48" t="str">
        <f>REV!AW93</f>
        <v>01.12.2026</v>
      </c>
      <c r="AX93" s="153" t="str">
        <f>VLOOKUP(C93,REV!C:AX,48,0)</f>
        <v>5G</v>
      </c>
    </row>
    <row r="94" spans="1:50" ht="22.5" customHeight="1">
      <c r="A94" s="41" t="s">
        <v>63</v>
      </c>
      <c r="B94" s="42" t="s">
        <v>64</v>
      </c>
      <c r="C94" s="43">
        <v>4017486</v>
      </c>
      <c r="D94" s="44" t="s">
        <v>167</v>
      </c>
      <c r="E94" s="44" t="s">
        <v>174</v>
      </c>
      <c r="F94" s="45"/>
      <c r="G94" s="45"/>
      <c r="H94" s="45"/>
      <c r="I94" s="45"/>
      <c r="J94" s="46">
        <f>IF(VLOOKUP($C94,REV!$C:$AA,8,0)-'TRADE IN'!$F94=0,"",(VLOOKUP($C94,REV!$C:$AA,8,0)-'TRADE IN'!$F94))</f>
        <v>6399</v>
      </c>
      <c r="K94" s="46">
        <f>IF(VLOOKUP($C94,REV!$C:$AA,9,0)-'TRADE IN'!$F94=0,"",(VLOOKUP($C94,REV!$C:$AA,9,0)-'TRADE IN'!$F94))</f>
        <v>6399</v>
      </c>
      <c r="L94" s="46">
        <f>IF(VLOOKUP($C94,REV!$C:$AA,10,0)-'TRADE IN'!$F94=0,"",(VLOOKUP($C94,REV!$C:$AA,10,0)-'TRADE IN'!$F94))</f>
        <v>6399</v>
      </c>
      <c r="M94" s="46">
        <f>IF(VLOOKUP($C94,REV!$C:$AA,11,0)-'TRADE IN'!$F94=0,"",(VLOOKUP($C94,REV!$C:$AA,11,0)-'TRADE IN'!$F94))</f>
        <v>6399</v>
      </c>
      <c r="N94" s="46">
        <f>IF(VLOOKUP($C94,REV!$C:$AA,12,0)-'TRADE IN'!$F94=0,"",(VLOOKUP($C94,REV!$C:$AA,12,0)-'TRADE IN'!$F94))</f>
        <v>6399</v>
      </c>
      <c r="O94" s="46">
        <f>IF(VLOOKUP($C94,REV!$C:$AA,13,0)-'TRADE IN'!$F94=0,"",(VLOOKUP($C94,REV!$C:$AA,13,0)-'TRADE IN'!$F94))</f>
        <v>6299</v>
      </c>
      <c r="P94" s="46">
        <f>IF(VLOOKUP($C94,REV!$C:$AA,14,0)-'TRADE IN'!$F94=0,"",(VLOOKUP($C94,REV!$C:$AA,14,0)-'TRADE IN'!$F94))</f>
        <v>6199</v>
      </c>
      <c r="Q94" s="46">
        <f>IF(VLOOKUP($C94,REV!$C:$AA,15,0)-'TRADE IN'!$F94=0,"",(VLOOKUP($C94,REV!$C:$AA,15,0)-'TRADE IN'!$F94))</f>
        <v>5499</v>
      </c>
      <c r="R94" s="46">
        <f>IF(VLOOKUP($C94,REV!$C:$AA,16,0)-'TRADE IN'!$F94=0,"",(VLOOKUP($C94,REV!$C:$AA,16,0)-'TRADE IN'!$F94))</f>
        <v>6299</v>
      </c>
      <c r="S94" s="46">
        <f>IF(VLOOKUP($C94,REV!$C:$AA,17,0)-'TRADE IN'!$F94=0,"",(VLOOKUP($C94,REV!$C:$AA,17,0)-'TRADE IN'!$F94))</f>
        <v>6199</v>
      </c>
      <c r="T94" s="46">
        <f>IF(VLOOKUP($C94,REV!$C:$AA,18,0)-'TRADE IN'!$F94=0,"",(VLOOKUP($C94,REV!$C:$AA,18,0)-'TRADE IN'!$F94))</f>
        <v>5499</v>
      </c>
      <c r="U94" s="46">
        <f>IF(VLOOKUP($C94,REV!$C:$AA,19,0)-'TRADE IN'!$F94=0,"",(VLOOKUP($C94,REV!$C:$AA,19,0)-'TRADE IN'!$F94))</f>
        <v>5499</v>
      </c>
      <c r="V94" s="46">
        <f>IF(VLOOKUP($C94,REV!$C:$AA,20,0)-'TRADE IN'!$F94=0,"",(VLOOKUP($C94,REV!$C:$AA,20,0)-'TRADE IN'!$F94))</f>
        <v>5499</v>
      </c>
      <c r="W94" s="46">
        <f>IF(VLOOKUP($C94,REV!$C:$AA,21,0)-'TRADE IN'!$F94=0,"",(VLOOKUP($C94,REV!$C:$AA,21,0)-'TRADE IN'!$F94))</f>
        <v>5499</v>
      </c>
      <c r="X94" s="46">
        <f>IF(VLOOKUP($C94,REV!$C:$AA,22,0)-'TRADE IN'!$F94=0,"",(VLOOKUP($C94,REV!$C:$AA,22,0)-'TRADE IN'!$F94))</f>
        <v>5399</v>
      </c>
      <c r="Y94" s="46">
        <f>IF(VLOOKUP($C94,REV!$C:$AA,23,0)-'TRADE IN'!$F94=0,"",(VLOOKUP($C94,REV!$C:$AA,23,0)-'TRADE IN'!$F94))</f>
        <v>4999</v>
      </c>
      <c r="Z94" s="46">
        <f>IF(VLOOKUP($C94,REV!$C:$AA,24,0)-'TRADE IN'!$F94=0,"",(VLOOKUP($C94,REV!$C:$AA,24,0)-'TRADE IN'!$F94))</f>
        <v>4999</v>
      </c>
      <c r="AA94" s="46">
        <f>IF(VLOOKUP($C94,REV!$C:$AA,25,0)-'TRADE IN'!$F94=0,"",(VLOOKUP($C94,REV!$C:$AA,25,0)-'TRADE IN'!$F94))</f>
        <v>4949</v>
      </c>
      <c r="AB94" s="45">
        <f>IF(VLOOKUP($C94,REV!$C:$AL,27,0)-'TRADE IN'!$F94=0,"",(VLOOKUP($C94,REV!$C:$AL,27,0)-'TRADE IN'!$F94))</f>
        <v>6399</v>
      </c>
      <c r="AC94" s="45">
        <f>IF(VLOOKUP($C94,REV!$C:$AL,28,0)-'TRADE IN'!$F94=0,"",(VLOOKUP($C94,REV!$C:$AL,28,0)-'TRADE IN'!$F94))</f>
        <v>6399</v>
      </c>
      <c r="AD94" s="45">
        <f>IF(VLOOKUP($C94,REV!$C:$AL,29,0)-'TRADE IN'!$F94=0,"",(VLOOKUP($C94,REV!$C:$AL,29,0)-'TRADE IN'!$F94))</f>
        <v>6299</v>
      </c>
      <c r="AE94" s="45">
        <f>IF(VLOOKUP($C94,REV!$C:$AL,30,0)-'TRADE IN'!$F94=0,"",(VLOOKUP($C94,REV!$C:$AL,30,0)-'TRADE IN'!$F94))</f>
        <v>6199</v>
      </c>
      <c r="AF94" s="45">
        <f>IF(VLOOKUP($C94,REV!$C:$AL,31,0)-'TRADE IN'!$F94=0,"",(VLOOKUP($C94,REV!$C:$AL,31,0)-'TRADE IN'!$F94))</f>
        <v>6199</v>
      </c>
      <c r="AG94" s="45">
        <f>IF(VLOOKUP($C94,REV!$C:$AL,31,0)-'TRADE IN'!$F94=0,"",(VLOOKUP($C94,REV!$C:$AL,31,0)-'TRADE IN'!$F94))</f>
        <v>6199</v>
      </c>
      <c r="AH94" s="45">
        <f>IF(VLOOKUP($C94,REV!$C:$AL,32,0)-'TRADE IN'!$F94=0,"",(VLOOKUP($C94,REV!$C:$AL,32,0)-'TRADE IN'!$F94))</f>
        <v>5499</v>
      </c>
      <c r="AI94" s="45">
        <f>IF(VLOOKUP($C94,REV!$C:$AL,33,0)-'TRADE IN'!$F94=0,"",(VLOOKUP($C94,REV!$C:$AL,33,0)-'TRADE IN'!$F94))</f>
        <v>5499</v>
      </c>
      <c r="AJ94" s="45">
        <f>IF(VLOOKUP($C94,REV!$C:$AL,34,0)-'TRADE IN'!$F94=0,"",(VLOOKUP($C94,REV!$C:$AL,34,0)-'TRADE IN'!$F94))</f>
        <v>5499</v>
      </c>
      <c r="AK94" s="45">
        <f>IF(VLOOKUP($C94,REV!$C:$AL,35,0)-'TRADE IN'!$F94=0,"",(VLOOKUP($C94,REV!$C:$AL,35,0)-'TRADE IN'!$F94))</f>
        <v>5499</v>
      </c>
      <c r="AL94" s="45">
        <f>IF(VLOOKUP($C94,REV!$C:$AL,36,0)-'TRADE IN'!$F94=0,"",(VLOOKUP($C94,REV!$C:$AL,36,0)-'TRADE IN'!$F94))</f>
        <v>4999</v>
      </c>
      <c r="AM94" s="45"/>
      <c r="AN94" s="45"/>
      <c r="AO94" s="45"/>
      <c r="AP94" s="45"/>
      <c r="AQ94" s="45"/>
      <c r="AR94" s="45"/>
      <c r="AS94" s="45"/>
      <c r="AT94" s="45"/>
      <c r="AU94" s="45"/>
      <c r="AV94" s="47"/>
      <c r="AW94" s="48" t="str">
        <f>REV!AW94</f>
        <v>01.12.2026</v>
      </c>
      <c r="AX94" s="153" t="str">
        <f>VLOOKUP(C94,REV!C:AX,48,0)</f>
        <v>5G</v>
      </c>
    </row>
    <row r="95" spans="1:50" ht="22.5" customHeight="1">
      <c r="A95" s="41" t="s">
        <v>63</v>
      </c>
      <c r="B95" s="42" t="s">
        <v>64</v>
      </c>
      <c r="C95" s="43">
        <v>4017892</v>
      </c>
      <c r="D95" s="44" t="s">
        <v>167</v>
      </c>
      <c r="E95" s="44" t="s">
        <v>175</v>
      </c>
      <c r="F95" s="45"/>
      <c r="G95" s="45"/>
      <c r="H95" s="45"/>
      <c r="I95" s="45"/>
      <c r="J95" s="46">
        <f>IF(VLOOKUP($C95,REV!$C:$AA,8,0)-'TRADE IN'!$F95=0,"",(VLOOKUP($C95,REV!$C:$AA,8,0)-'TRADE IN'!$F95))</f>
        <v>6399</v>
      </c>
      <c r="K95" s="46">
        <f>IF(VLOOKUP($C95,REV!$C:$AA,9,0)-'TRADE IN'!$F95=0,"",(VLOOKUP($C95,REV!$C:$AA,9,0)-'TRADE IN'!$F95))</f>
        <v>6399</v>
      </c>
      <c r="L95" s="46">
        <f>IF(VLOOKUP($C95,REV!$C:$AA,10,0)-'TRADE IN'!$F95=0,"",(VLOOKUP($C95,REV!$C:$AA,10,0)-'TRADE IN'!$F95))</f>
        <v>6399</v>
      </c>
      <c r="M95" s="46">
        <f>IF(VLOOKUP($C95,REV!$C:$AA,11,0)-'TRADE IN'!$F95=0,"",(VLOOKUP($C95,REV!$C:$AA,11,0)-'TRADE IN'!$F95))</f>
        <v>6399</v>
      </c>
      <c r="N95" s="46">
        <f>IF(VLOOKUP($C95,REV!$C:$AA,12,0)-'TRADE IN'!$F95=0,"",(VLOOKUP($C95,REV!$C:$AA,12,0)-'TRADE IN'!$F95))</f>
        <v>6399</v>
      </c>
      <c r="O95" s="46">
        <f>IF(VLOOKUP($C95,REV!$C:$AA,13,0)-'TRADE IN'!$F95=0,"",(VLOOKUP($C95,REV!$C:$AA,13,0)-'TRADE IN'!$F95))</f>
        <v>6299</v>
      </c>
      <c r="P95" s="46">
        <f>IF(VLOOKUP($C95,REV!$C:$AA,14,0)-'TRADE IN'!$F95=0,"",(VLOOKUP($C95,REV!$C:$AA,14,0)-'TRADE IN'!$F95))</f>
        <v>6199</v>
      </c>
      <c r="Q95" s="46">
        <f>IF(VLOOKUP($C95,REV!$C:$AA,15,0)-'TRADE IN'!$F95=0,"",(VLOOKUP($C95,REV!$C:$AA,15,0)-'TRADE IN'!$F95))</f>
        <v>5499</v>
      </c>
      <c r="R95" s="46">
        <f>IF(VLOOKUP($C95,REV!$C:$AA,16,0)-'TRADE IN'!$F95=0,"",(VLOOKUP($C95,REV!$C:$AA,16,0)-'TRADE IN'!$F95))</f>
        <v>6299</v>
      </c>
      <c r="S95" s="46">
        <f>IF(VLOOKUP($C95,REV!$C:$AA,17,0)-'TRADE IN'!$F95=0,"",(VLOOKUP($C95,REV!$C:$AA,17,0)-'TRADE IN'!$F95))</f>
        <v>6199</v>
      </c>
      <c r="T95" s="46">
        <f>IF(VLOOKUP($C95,REV!$C:$AA,18,0)-'TRADE IN'!$F95=0,"",(VLOOKUP($C95,REV!$C:$AA,18,0)-'TRADE IN'!$F95))</f>
        <v>5499</v>
      </c>
      <c r="U95" s="46">
        <f>IF(VLOOKUP($C95,REV!$C:$AA,19,0)-'TRADE IN'!$F95=0,"",(VLOOKUP($C95,REV!$C:$AA,19,0)-'TRADE IN'!$F95))</f>
        <v>5499</v>
      </c>
      <c r="V95" s="46">
        <f>IF(VLOOKUP($C95,REV!$C:$AA,20,0)-'TRADE IN'!$F95=0,"",(VLOOKUP($C95,REV!$C:$AA,20,0)-'TRADE IN'!$F95))</f>
        <v>5499</v>
      </c>
      <c r="W95" s="46">
        <f>IF(VLOOKUP($C95,REV!$C:$AA,21,0)-'TRADE IN'!$F95=0,"",(VLOOKUP($C95,REV!$C:$AA,21,0)-'TRADE IN'!$F95))</f>
        <v>5499</v>
      </c>
      <c r="X95" s="46">
        <f>IF(VLOOKUP($C95,REV!$C:$AA,22,0)-'TRADE IN'!$F95=0,"",(VLOOKUP($C95,REV!$C:$AA,22,0)-'TRADE IN'!$F95))</f>
        <v>5399</v>
      </c>
      <c r="Y95" s="46">
        <f>IF(VLOOKUP($C95,REV!$C:$AA,23,0)-'TRADE IN'!$F95=0,"",(VLOOKUP($C95,REV!$C:$AA,23,0)-'TRADE IN'!$F95))</f>
        <v>4999</v>
      </c>
      <c r="Z95" s="46">
        <f>IF(VLOOKUP($C95,REV!$C:$AA,24,0)-'TRADE IN'!$F95=0,"",(VLOOKUP($C95,REV!$C:$AA,24,0)-'TRADE IN'!$F95))</f>
        <v>4999</v>
      </c>
      <c r="AA95" s="46">
        <f>IF(VLOOKUP($C95,REV!$C:$AA,25,0)-'TRADE IN'!$F95=0,"",(VLOOKUP($C95,REV!$C:$AA,25,0)-'TRADE IN'!$F95))</f>
        <v>4949</v>
      </c>
      <c r="AB95" s="45">
        <f>IF(VLOOKUP($C95,REV!$C:$AL,27,0)-'TRADE IN'!$F95=0,"",(VLOOKUP($C95,REV!$C:$AL,27,0)-'TRADE IN'!$F95))</f>
        <v>6399</v>
      </c>
      <c r="AC95" s="45">
        <f>IF(VLOOKUP($C95,REV!$C:$AL,28,0)-'TRADE IN'!$F95=0,"",(VLOOKUP($C95,REV!$C:$AL,28,0)-'TRADE IN'!$F95))</f>
        <v>6399</v>
      </c>
      <c r="AD95" s="45">
        <f>IF(VLOOKUP($C95,REV!$C:$AL,29,0)-'TRADE IN'!$F95=0,"",(VLOOKUP($C95,REV!$C:$AL,29,0)-'TRADE IN'!$F95))</f>
        <v>6299</v>
      </c>
      <c r="AE95" s="45">
        <f>IF(VLOOKUP($C95,REV!$C:$AL,30,0)-'TRADE IN'!$F95=0,"",(VLOOKUP($C95,REV!$C:$AL,30,0)-'TRADE IN'!$F95))</f>
        <v>6199</v>
      </c>
      <c r="AF95" s="45">
        <f>IF(VLOOKUP($C95,REV!$C:$AL,31,0)-'TRADE IN'!$F95=0,"",(VLOOKUP($C95,REV!$C:$AL,31,0)-'TRADE IN'!$F95))</f>
        <v>6199</v>
      </c>
      <c r="AG95" s="45">
        <f>IF(VLOOKUP($C95,REV!$C:$AL,31,0)-'TRADE IN'!$F95=0,"",(VLOOKUP($C95,REV!$C:$AL,31,0)-'TRADE IN'!$F95))</f>
        <v>6199</v>
      </c>
      <c r="AH95" s="45">
        <f>IF(VLOOKUP($C95,REV!$C:$AL,32,0)-'TRADE IN'!$F95=0,"",(VLOOKUP($C95,REV!$C:$AL,32,0)-'TRADE IN'!$F95))</f>
        <v>5499</v>
      </c>
      <c r="AI95" s="45">
        <f>IF(VLOOKUP($C95,REV!$C:$AL,33,0)-'TRADE IN'!$F95=0,"",(VLOOKUP($C95,REV!$C:$AL,33,0)-'TRADE IN'!$F95))</f>
        <v>5499</v>
      </c>
      <c r="AJ95" s="45">
        <f>IF(VLOOKUP($C95,REV!$C:$AL,34,0)-'TRADE IN'!$F95=0,"",(VLOOKUP($C95,REV!$C:$AL,34,0)-'TRADE IN'!$F95))</f>
        <v>5499</v>
      </c>
      <c r="AK95" s="45">
        <f>IF(VLOOKUP($C95,REV!$C:$AL,35,0)-'TRADE IN'!$F95=0,"",(VLOOKUP($C95,REV!$C:$AL,35,0)-'TRADE IN'!$F95))</f>
        <v>5499</v>
      </c>
      <c r="AL95" s="45">
        <f>IF(VLOOKUP($C95,REV!$C:$AL,36,0)-'TRADE IN'!$F95=0,"",(VLOOKUP($C95,REV!$C:$AL,36,0)-'TRADE IN'!$F95))</f>
        <v>4999</v>
      </c>
      <c r="AM95" s="45"/>
      <c r="AN95" s="45"/>
      <c r="AO95" s="45"/>
      <c r="AP95" s="45"/>
      <c r="AQ95" s="45"/>
      <c r="AR95" s="45"/>
      <c r="AS95" s="45"/>
      <c r="AT95" s="45"/>
      <c r="AU95" s="45"/>
      <c r="AV95" s="47"/>
      <c r="AW95" s="48" t="str">
        <f>REV!AW95</f>
        <v>01.12.2026</v>
      </c>
      <c r="AX95" s="153" t="str">
        <f>VLOOKUP(C95,REV!C:AX,48,0)</f>
        <v>5G</v>
      </c>
    </row>
    <row r="96" spans="1:50" ht="22.5" customHeight="1">
      <c r="A96" s="41" t="s">
        <v>63</v>
      </c>
      <c r="B96" s="42" t="s">
        <v>64</v>
      </c>
      <c r="C96" s="43">
        <v>4017483</v>
      </c>
      <c r="D96" s="44" t="s">
        <v>167</v>
      </c>
      <c r="E96" s="44" t="s">
        <v>176</v>
      </c>
      <c r="F96" s="45"/>
      <c r="G96" s="45"/>
      <c r="H96" s="45"/>
      <c r="I96" s="45"/>
      <c r="J96" s="46">
        <f>IF(VLOOKUP($C96,REV!$C:$AA,8,0)-'TRADE IN'!$F96=0,"",(VLOOKUP($C96,REV!$C:$AA,8,0)-'TRADE IN'!$F96))</f>
        <v>6399</v>
      </c>
      <c r="K96" s="46">
        <f>IF(VLOOKUP($C96,REV!$C:$AA,9,0)-'TRADE IN'!$F96=0,"",(VLOOKUP($C96,REV!$C:$AA,9,0)-'TRADE IN'!$F96))</f>
        <v>6399</v>
      </c>
      <c r="L96" s="46">
        <f>IF(VLOOKUP($C96,REV!$C:$AA,10,0)-'TRADE IN'!$F96=0,"",(VLOOKUP($C96,REV!$C:$AA,10,0)-'TRADE IN'!$F96))</f>
        <v>6399</v>
      </c>
      <c r="M96" s="46">
        <f>IF(VLOOKUP($C96,REV!$C:$AA,11,0)-'TRADE IN'!$F96=0,"",(VLOOKUP($C96,REV!$C:$AA,11,0)-'TRADE IN'!$F96))</f>
        <v>6399</v>
      </c>
      <c r="N96" s="46">
        <f>IF(VLOOKUP($C96,REV!$C:$AA,12,0)-'TRADE IN'!$F96=0,"",(VLOOKUP($C96,REV!$C:$AA,12,0)-'TRADE IN'!$F96))</f>
        <v>6399</v>
      </c>
      <c r="O96" s="46">
        <f>IF(VLOOKUP($C96,REV!$C:$AA,13,0)-'TRADE IN'!$F96=0,"",(VLOOKUP($C96,REV!$C:$AA,13,0)-'TRADE IN'!$F96))</f>
        <v>6299</v>
      </c>
      <c r="P96" s="46">
        <f>IF(VLOOKUP($C96,REV!$C:$AA,14,0)-'TRADE IN'!$F96=0,"",(VLOOKUP($C96,REV!$C:$AA,14,0)-'TRADE IN'!$F96))</f>
        <v>6199</v>
      </c>
      <c r="Q96" s="46">
        <f>IF(VLOOKUP($C96,REV!$C:$AA,15,0)-'TRADE IN'!$F96=0,"",(VLOOKUP($C96,REV!$C:$AA,15,0)-'TRADE IN'!$F96))</f>
        <v>5499</v>
      </c>
      <c r="R96" s="46">
        <f>IF(VLOOKUP($C96,REV!$C:$AA,16,0)-'TRADE IN'!$F96=0,"",(VLOOKUP($C96,REV!$C:$AA,16,0)-'TRADE IN'!$F96))</f>
        <v>6299</v>
      </c>
      <c r="S96" s="46">
        <f>IF(VLOOKUP($C96,REV!$C:$AA,17,0)-'TRADE IN'!$F96=0,"",(VLOOKUP($C96,REV!$C:$AA,17,0)-'TRADE IN'!$F96))</f>
        <v>6199</v>
      </c>
      <c r="T96" s="46">
        <f>IF(VLOOKUP($C96,REV!$C:$AA,18,0)-'TRADE IN'!$F96=0,"",(VLOOKUP($C96,REV!$C:$AA,18,0)-'TRADE IN'!$F96))</f>
        <v>5499</v>
      </c>
      <c r="U96" s="46">
        <f>IF(VLOOKUP($C96,REV!$C:$AA,19,0)-'TRADE IN'!$F96=0,"",(VLOOKUP($C96,REV!$C:$AA,19,0)-'TRADE IN'!$F96))</f>
        <v>5499</v>
      </c>
      <c r="V96" s="46">
        <f>IF(VLOOKUP($C96,REV!$C:$AA,20,0)-'TRADE IN'!$F96=0,"",(VLOOKUP($C96,REV!$C:$AA,20,0)-'TRADE IN'!$F96))</f>
        <v>5499</v>
      </c>
      <c r="W96" s="46">
        <f>IF(VLOOKUP($C96,REV!$C:$AA,21,0)-'TRADE IN'!$F96=0,"",(VLOOKUP($C96,REV!$C:$AA,21,0)-'TRADE IN'!$F96))</f>
        <v>5499</v>
      </c>
      <c r="X96" s="46">
        <f>IF(VLOOKUP($C96,REV!$C:$AA,22,0)-'TRADE IN'!$F96=0,"",(VLOOKUP($C96,REV!$C:$AA,22,0)-'TRADE IN'!$F96))</f>
        <v>5399</v>
      </c>
      <c r="Y96" s="46">
        <f>IF(VLOOKUP($C96,REV!$C:$AA,23,0)-'TRADE IN'!$F96=0,"",(VLOOKUP($C96,REV!$C:$AA,23,0)-'TRADE IN'!$F96))</f>
        <v>4999</v>
      </c>
      <c r="Z96" s="46">
        <f>IF(VLOOKUP($C96,REV!$C:$AA,24,0)-'TRADE IN'!$F96=0,"",(VLOOKUP($C96,REV!$C:$AA,24,0)-'TRADE IN'!$F96))</f>
        <v>4999</v>
      </c>
      <c r="AA96" s="46">
        <f>IF(VLOOKUP($C96,REV!$C:$AA,25,0)-'TRADE IN'!$F96=0,"",(VLOOKUP($C96,REV!$C:$AA,25,0)-'TRADE IN'!$F96))</f>
        <v>4949</v>
      </c>
      <c r="AB96" s="45">
        <f>IF(VLOOKUP($C96,REV!$C:$AL,27,0)-'TRADE IN'!$F96=0,"",(VLOOKUP($C96,REV!$C:$AL,27,0)-'TRADE IN'!$F96))</f>
        <v>6399</v>
      </c>
      <c r="AC96" s="45">
        <f>IF(VLOOKUP($C96,REV!$C:$AL,28,0)-'TRADE IN'!$F96=0,"",(VLOOKUP($C96,REV!$C:$AL,28,0)-'TRADE IN'!$F96))</f>
        <v>6399</v>
      </c>
      <c r="AD96" s="45">
        <f>IF(VLOOKUP($C96,REV!$C:$AL,29,0)-'TRADE IN'!$F96=0,"",(VLOOKUP($C96,REV!$C:$AL,29,0)-'TRADE IN'!$F96))</f>
        <v>6299</v>
      </c>
      <c r="AE96" s="45">
        <f>IF(VLOOKUP($C96,REV!$C:$AL,30,0)-'TRADE IN'!$F96=0,"",(VLOOKUP($C96,REV!$C:$AL,30,0)-'TRADE IN'!$F96))</f>
        <v>6199</v>
      </c>
      <c r="AF96" s="45">
        <f>IF(VLOOKUP($C96,REV!$C:$AL,31,0)-'TRADE IN'!$F96=0,"",(VLOOKUP($C96,REV!$C:$AL,31,0)-'TRADE IN'!$F96))</f>
        <v>6199</v>
      </c>
      <c r="AG96" s="45">
        <f>IF(VLOOKUP($C96,REV!$C:$AL,31,0)-'TRADE IN'!$F96=0,"",(VLOOKUP($C96,REV!$C:$AL,31,0)-'TRADE IN'!$F96))</f>
        <v>6199</v>
      </c>
      <c r="AH96" s="45">
        <f>IF(VLOOKUP($C96,REV!$C:$AL,32,0)-'TRADE IN'!$F96=0,"",(VLOOKUP($C96,REV!$C:$AL,32,0)-'TRADE IN'!$F96))</f>
        <v>5499</v>
      </c>
      <c r="AI96" s="45">
        <f>IF(VLOOKUP($C96,REV!$C:$AL,33,0)-'TRADE IN'!$F96=0,"",(VLOOKUP($C96,REV!$C:$AL,33,0)-'TRADE IN'!$F96))</f>
        <v>5499</v>
      </c>
      <c r="AJ96" s="45">
        <f>IF(VLOOKUP($C96,REV!$C:$AL,34,0)-'TRADE IN'!$F96=0,"",(VLOOKUP($C96,REV!$C:$AL,34,0)-'TRADE IN'!$F96))</f>
        <v>5499</v>
      </c>
      <c r="AK96" s="45">
        <f>IF(VLOOKUP($C96,REV!$C:$AL,35,0)-'TRADE IN'!$F96=0,"",(VLOOKUP($C96,REV!$C:$AL,35,0)-'TRADE IN'!$F96))</f>
        <v>5499</v>
      </c>
      <c r="AL96" s="45">
        <f>IF(VLOOKUP($C96,REV!$C:$AL,36,0)-'TRADE IN'!$F96=0,"",(VLOOKUP($C96,REV!$C:$AL,36,0)-'TRADE IN'!$F96))</f>
        <v>4999</v>
      </c>
      <c r="AM96" s="45"/>
      <c r="AN96" s="45"/>
      <c r="AO96" s="45"/>
      <c r="AP96" s="45"/>
      <c r="AQ96" s="45"/>
      <c r="AR96" s="45"/>
      <c r="AS96" s="45"/>
      <c r="AT96" s="45"/>
      <c r="AU96" s="45"/>
      <c r="AV96" s="47"/>
      <c r="AW96" s="48" t="str">
        <f>REV!AW96</f>
        <v>01.12.2026</v>
      </c>
      <c r="AX96" s="153" t="str">
        <f>VLOOKUP(C96,REV!C:AX,48,0)</f>
        <v>5G</v>
      </c>
    </row>
    <row r="97" spans="1:50" ht="22.5" customHeight="1">
      <c r="A97" s="41" t="s">
        <v>63</v>
      </c>
      <c r="B97" s="42" t="s">
        <v>64</v>
      </c>
      <c r="C97" s="43">
        <v>4017899</v>
      </c>
      <c r="D97" s="44" t="s">
        <v>167</v>
      </c>
      <c r="E97" s="44" t="s">
        <v>177</v>
      </c>
      <c r="F97" s="45"/>
      <c r="G97" s="45"/>
      <c r="H97" s="45"/>
      <c r="I97" s="45"/>
      <c r="J97" s="46">
        <f>IF(VLOOKUP($C97,REV!$C:$AA,8,0)-'TRADE IN'!$F97=0,"",(VLOOKUP($C97,REV!$C:$AA,8,0)-'TRADE IN'!$F97))</f>
        <v>6399</v>
      </c>
      <c r="K97" s="46">
        <f>IF(VLOOKUP($C97,REV!$C:$AA,9,0)-'TRADE IN'!$F97=0,"",(VLOOKUP($C97,REV!$C:$AA,9,0)-'TRADE IN'!$F97))</f>
        <v>6399</v>
      </c>
      <c r="L97" s="46">
        <f>IF(VLOOKUP($C97,REV!$C:$AA,10,0)-'TRADE IN'!$F97=0,"",(VLOOKUP($C97,REV!$C:$AA,10,0)-'TRADE IN'!$F97))</f>
        <v>6399</v>
      </c>
      <c r="M97" s="46">
        <f>IF(VLOOKUP($C97,REV!$C:$AA,11,0)-'TRADE IN'!$F97=0,"",(VLOOKUP($C97,REV!$C:$AA,11,0)-'TRADE IN'!$F97))</f>
        <v>6399</v>
      </c>
      <c r="N97" s="46">
        <f>IF(VLOOKUP($C97,REV!$C:$AA,12,0)-'TRADE IN'!$F97=0,"",(VLOOKUP($C97,REV!$C:$AA,12,0)-'TRADE IN'!$F97))</f>
        <v>6399</v>
      </c>
      <c r="O97" s="46">
        <f>IF(VLOOKUP($C97,REV!$C:$AA,13,0)-'TRADE IN'!$F97=0,"",(VLOOKUP($C97,REV!$C:$AA,13,0)-'TRADE IN'!$F97))</f>
        <v>6299</v>
      </c>
      <c r="P97" s="46">
        <f>IF(VLOOKUP($C97,REV!$C:$AA,14,0)-'TRADE IN'!$F97=0,"",(VLOOKUP($C97,REV!$C:$AA,14,0)-'TRADE IN'!$F97))</f>
        <v>6199</v>
      </c>
      <c r="Q97" s="46">
        <f>IF(VLOOKUP($C97,REV!$C:$AA,15,0)-'TRADE IN'!$F97=0,"",(VLOOKUP($C97,REV!$C:$AA,15,0)-'TRADE IN'!$F97))</f>
        <v>5499</v>
      </c>
      <c r="R97" s="46">
        <f>IF(VLOOKUP($C97,REV!$C:$AA,16,0)-'TRADE IN'!$F97=0,"",(VLOOKUP($C97,REV!$C:$AA,16,0)-'TRADE IN'!$F97))</f>
        <v>6299</v>
      </c>
      <c r="S97" s="46">
        <f>IF(VLOOKUP($C97,REV!$C:$AA,17,0)-'TRADE IN'!$F97=0,"",(VLOOKUP($C97,REV!$C:$AA,17,0)-'TRADE IN'!$F97))</f>
        <v>6199</v>
      </c>
      <c r="T97" s="46">
        <f>IF(VLOOKUP($C97,REV!$C:$AA,18,0)-'TRADE IN'!$F97=0,"",(VLOOKUP($C97,REV!$C:$AA,18,0)-'TRADE IN'!$F97))</f>
        <v>5499</v>
      </c>
      <c r="U97" s="46">
        <f>IF(VLOOKUP($C97,REV!$C:$AA,19,0)-'TRADE IN'!$F97=0,"",(VLOOKUP($C97,REV!$C:$AA,19,0)-'TRADE IN'!$F97))</f>
        <v>5499</v>
      </c>
      <c r="V97" s="46">
        <f>IF(VLOOKUP($C97,REV!$C:$AA,20,0)-'TRADE IN'!$F97=0,"",(VLOOKUP($C97,REV!$C:$AA,20,0)-'TRADE IN'!$F97))</f>
        <v>5499</v>
      </c>
      <c r="W97" s="46">
        <f>IF(VLOOKUP($C97,REV!$C:$AA,21,0)-'TRADE IN'!$F97=0,"",(VLOOKUP($C97,REV!$C:$AA,21,0)-'TRADE IN'!$F97))</f>
        <v>5499</v>
      </c>
      <c r="X97" s="46">
        <f>IF(VLOOKUP($C97,REV!$C:$AA,22,0)-'TRADE IN'!$F97=0,"",(VLOOKUP($C97,REV!$C:$AA,22,0)-'TRADE IN'!$F97))</f>
        <v>5399</v>
      </c>
      <c r="Y97" s="46">
        <f>IF(VLOOKUP($C97,REV!$C:$AA,23,0)-'TRADE IN'!$F97=0,"",(VLOOKUP($C97,REV!$C:$AA,23,0)-'TRADE IN'!$F97))</f>
        <v>4999</v>
      </c>
      <c r="Z97" s="46">
        <f>IF(VLOOKUP($C97,REV!$C:$AA,24,0)-'TRADE IN'!$F97=0,"",(VLOOKUP($C97,REV!$C:$AA,24,0)-'TRADE IN'!$F97))</f>
        <v>4999</v>
      </c>
      <c r="AA97" s="46">
        <f>IF(VLOOKUP($C97,REV!$C:$AA,25,0)-'TRADE IN'!$F97=0,"",(VLOOKUP($C97,REV!$C:$AA,25,0)-'TRADE IN'!$F97))</f>
        <v>4949</v>
      </c>
      <c r="AB97" s="45">
        <f>IF(VLOOKUP($C97,REV!$C:$AL,27,0)-'TRADE IN'!$F97=0,"",(VLOOKUP($C97,REV!$C:$AL,27,0)-'TRADE IN'!$F97))</f>
        <v>6399</v>
      </c>
      <c r="AC97" s="45">
        <f>IF(VLOOKUP($C97,REV!$C:$AL,28,0)-'TRADE IN'!$F97=0,"",(VLOOKUP($C97,REV!$C:$AL,28,0)-'TRADE IN'!$F97))</f>
        <v>6399</v>
      </c>
      <c r="AD97" s="45">
        <f>IF(VLOOKUP($C97,REV!$C:$AL,29,0)-'TRADE IN'!$F97=0,"",(VLOOKUP($C97,REV!$C:$AL,29,0)-'TRADE IN'!$F97))</f>
        <v>6299</v>
      </c>
      <c r="AE97" s="45">
        <f>IF(VLOOKUP($C97,REV!$C:$AL,30,0)-'TRADE IN'!$F97=0,"",(VLOOKUP($C97,REV!$C:$AL,30,0)-'TRADE IN'!$F97))</f>
        <v>6199</v>
      </c>
      <c r="AF97" s="45">
        <f>IF(VLOOKUP($C97,REV!$C:$AL,31,0)-'TRADE IN'!$F97=0,"",(VLOOKUP($C97,REV!$C:$AL,31,0)-'TRADE IN'!$F97))</f>
        <v>6199</v>
      </c>
      <c r="AG97" s="45">
        <f>IF(VLOOKUP($C97,REV!$C:$AL,31,0)-'TRADE IN'!$F97=0,"",(VLOOKUP($C97,REV!$C:$AL,31,0)-'TRADE IN'!$F97))</f>
        <v>6199</v>
      </c>
      <c r="AH97" s="45">
        <f>IF(VLOOKUP($C97,REV!$C:$AL,32,0)-'TRADE IN'!$F97=0,"",(VLOOKUP($C97,REV!$C:$AL,32,0)-'TRADE IN'!$F97))</f>
        <v>5499</v>
      </c>
      <c r="AI97" s="45">
        <f>IF(VLOOKUP($C97,REV!$C:$AL,33,0)-'TRADE IN'!$F97=0,"",(VLOOKUP($C97,REV!$C:$AL,33,0)-'TRADE IN'!$F97))</f>
        <v>5499</v>
      </c>
      <c r="AJ97" s="45">
        <f>IF(VLOOKUP($C97,REV!$C:$AL,34,0)-'TRADE IN'!$F97=0,"",(VLOOKUP($C97,REV!$C:$AL,34,0)-'TRADE IN'!$F97))</f>
        <v>5499</v>
      </c>
      <c r="AK97" s="45">
        <f>IF(VLOOKUP($C97,REV!$C:$AL,35,0)-'TRADE IN'!$F97=0,"",(VLOOKUP($C97,REV!$C:$AL,35,0)-'TRADE IN'!$F97))</f>
        <v>5499</v>
      </c>
      <c r="AL97" s="45">
        <f>IF(VLOOKUP($C97,REV!$C:$AL,36,0)-'TRADE IN'!$F97=0,"",(VLOOKUP($C97,REV!$C:$AL,36,0)-'TRADE IN'!$F97))</f>
        <v>4999</v>
      </c>
      <c r="AM97" s="45"/>
      <c r="AN97" s="45"/>
      <c r="AO97" s="45"/>
      <c r="AP97" s="45"/>
      <c r="AQ97" s="45"/>
      <c r="AR97" s="45"/>
      <c r="AS97" s="45"/>
      <c r="AT97" s="45"/>
      <c r="AU97" s="45"/>
      <c r="AV97" s="47"/>
      <c r="AW97" s="48" t="str">
        <f>REV!AW97</f>
        <v>01.12.2026</v>
      </c>
      <c r="AX97" s="153" t="str">
        <f>VLOOKUP(C97,REV!C:AX,48,0)</f>
        <v>5G</v>
      </c>
    </row>
    <row r="98" spans="1:50" ht="22.5" customHeight="1">
      <c r="A98" s="41" t="s">
        <v>63</v>
      </c>
      <c r="B98" s="42" t="s">
        <v>64</v>
      </c>
      <c r="C98" s="43">
        <v>4017484</v>
      </c>
      <c r="D98" s="44" t="s">
        <v>178</v>
      </c>
      <c r="E98" s="44" t="s">
        <v>179</v>
      </c>
      <c r="F98" s="45"/>
      <c r="G98" s="45"/>
      <c r="H98" s="45"/>
      <c r="I98" s="45"/>
      <c r="J98" s="46">
        <f>IF(VLOOKUP($C98,REV!$C:$AA,8,0)-'TRADE IN'!$F98=0,"",(VLOOKUP($C98,REV!$C:$AA,8,0)-'TRADE IN'!$F98))</f>
        <v>8099</v>
      </c>
      <c r="K98" s="46">
        <f>IF(VLOOKUP($C98,REV!$C:$AA,9,0)-'TRADE IN'!$F98=0,"",(VLOOKUP($C98,REV!$C:$AA,9,0)-'TRADE IN'!$F98))</f>
        <v>8099</v>
      </c>
      <c r="L98" s="46">
        <f>IF(VLOOKUP($C98,REV!$C:$AA,10,0)-'TRADE IN'!$F98=0,"",(VLOOKUP($C98,REV!$C:$AA,10,0)-'TRADE IN'!$F98))</f>
        <v>8099</v>
      </c>
      <c r="M98" s="46">
        <f>IF(VLOOKUP($C98,REV!$C:$AA,11,0)-'TRADE IN'!$F98=0,"",(VLOOKUP($C98,REV!$C:$AA,11,0)-'TRADE IN'!$F98))</f>
        <v>8099</v>
      </c>
      <c r="N98" s="46">
        <f>IF(VLOOKUP($C98,REV!$C:$AA,12,0)-'TRADE IN'!$F98=0,"",(VLOOKUP($C98,REV!$C:$AA,12,0)-'TRADE IN'!$F98))</f>
        <v>8099</v>
      </c>
      <c r="O98" s="46">
        <f>IF(VLOOKUP($C98,REV!$C:$AA,13,0)-'TRADE IN'!$F98=0,"",(VLOOKUP($C98,REV!$C:$AA,13,0)-'TRADE IN'!$F98))</f>
        <v>7999</v>
      </c>
      <c r="P98" s="46">
        <f>IF(VLOOKUP($C98,REV!$C:$AA,14,0)-'TRADE IN'!$F98=0,"",(VLOOKUP($C98,REV!$C:$AA,14,0)-'TRADE IN'!$F98))</f>
        <v>7899</v>
      </c>
      <c r="Q98" s="46">
        <f>IF(VLOOKUP($C98,REV!$C:$AA,15,0)-'TRADE IN'!$F98=0,"",(VLOOKUP($C98,REV!$C:$AA,15,0)-'TRADE IN'!$F98))</f>
        <v>7799</v>
      </c>
      <c r="R98" s="46">
        <f>IF(VLOOKUP($C98,REV!$C:$AA,16,0)-'TRADE IN'!$F98=0,"",(VLOOKUP($C98,REV!$C:$AA,16,0)-'TRADE IN'!$F98))</f>
        <v>7999</v>
      </c>
      <c r="S98" s="46">
        <f>IF(VLOOKUP($C98,REV!$C:$AA,17,0)-'TRADE IN'!$F98=0,"",(VLOOKUP($C98,REV!$C:$AA,17,0)-'TRADE IN'!$F98))</f>
        <v>7899</v>
      </c>
      <c r="T98" s="46">
        <f>IF(VLOOKUP($C98,REV!$C:$AA,18,0)-'TRADE IN'!$F98=0,"",(VLOOKUP($C98,REV!$C:$AA,18,0)-'TRADE IN'!$F98))</f>
        <v>7799</v>
      </c>
      <c r="U98" s="46">
        <f>IF(VLOOKUP($C98,REV!$C:$AA,19,0)-'TRADE IN'!$F98=0,"",(VLOOKUP($C98,REV!$C:$AA,19,0)-'TRADE IN'!$F98))</f>
        <v>7799</v>
      </c>
      <c r="V98" s="46">
        <f>IF(VLOOKUP($C98,REV!$C:$AA,20,0)-'TRADE IN'!$F98=0,"",(VLOOKUP($C98,REV!$C:$AA,20,0)-'TRADE IN'!$F98))</f>
        <v>7799</v>
      </c>
      <c r="W98" s="46">
        <f>IF(VLOOKUP($C98,REV!$C:$AA,21,0)-'TRADE IN'!$F98=0,"",(VLOOKUP($C98,REV!$C:$AA,21,0)-'TRADE IN'!$F98))</f>
        <v>7799</v>
      </c>
      <c r="X98" s="46">
        <f>IF(VLOOKUP($C98,REV!$C:$AA,22,0)-'TRADE IN'!$F98=0,"",(VLOOKUP($C98,REV!$C:$AA,22,0)-'TRADE IN'!$F98))</f>
        <v>7699</v>
      </c>
      <c r="Y98" s="46">
        <f>IF(VLOOKUP($C98,REV!$C:$AA,23,0)-'TRADE IN'!$F98=0,"",(VLOOKUP($C98,REV!$C:$AA,23,0)-'TRADE IN'!$F98))</f>
        <v>7499</v>
      </c>
      <c r="Z98" s="46">
        <f>IF(VLOOKUP($C98,REV!$C:$AA,24,0)-'TRADE IN'!$F98=0,"",(VLOOKUP($C98,REV!$C:$AA,24,0)-'TRADE IN'!$F98))</f>
        <v>7499</v>
      </c>
      <c r="AA98" s="46">
        <f>IF(VLOOKUP($C98,REV!$C:$AA,25,0)-'TRADE IN'!$F98=0,"",(VLOOKUP($C98,REV!$C:$AA,25,0)-'TRADE IN'!$F98))</f>
        <v>7499</v>
      </c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7"/>
      <c r="AW98" s="48" t="str">
        <f>REV!AW98</f>
        <v>01.12.2026</v>
      </c>
      <c r="AX98" s="153" t="str">
        <f>VLOOKUP(C98,REV!C:AX,48,0)</f>
        <v>5G</v>
      </c>
    </row>
    <row r="99" spans="1:50" ht="22.5" customHeight="1">
      <c r="A99" s="41" t="s">
        <v>63</v>
      </c>
      <c r="B99" s="42" t="s">
        <v>64</v>
      </c>
      <c r="C99" s="43">
        <v>4017506</v>
      </c>
      <c r="D99" s="44" t="s">
        <v>178</v>
      </c>
      <c r="E99" s="44" t="s">
        <v>180</v>
      </c>
      <c r="F99" s="45"/>
      <c r="G99" s="45"/>
      <c r="H99" s="45"/>
      <c r="I99" s="45"/>
      <c r="J99" s="46">
        <f>IF(VLOOKUP($C99,REV!$C:$AA,8,0)-'TRADE IN'!$F99=0,"",(VLOOKUP($C99,REV!$C:$AA,8,0)-'TRADE IN'!$F99))</f>
        <v>8099</v>
      </c>
      <c r="K99" s="46">
        <f>IF(VLOOKUP($C99,REV!$C:$AA,9,0)-'TRADE IN'!$F99=0,"",(VLOOKUP($C99,REV!$C:$AA,9,0)-'TRADE IN'!$F99))</f>
        <v>8099</v>
      </c>
      <c r="L99" s="46">
        <f>IF(VLOOKUP($C99,REV!$C:$AA,10,0)-'TRADE IN'!$F99=0,"",(VLOOKUP($C99,REV!$C:$AA,10,0)-'TRADE IN'!$F99))</f>
        <v>8099</v>
      </c>
      <c r="M99" s="46">
        <f>IF(VLOOKUP($C99,REV!$C:$AA,11,0)-'TRADE IN'!$F99=0,"",(VLOOKUP($C99,REV!$C:$AA,11,0)-'TRADE IN'!$F99))</f>
        <v>8099</v>
      </c>
      <c r="N99" s="46">
        <f>IF(VLOOKUP($C99,REV!$C:$AA,12,0)-'TRADE IN'!$F99=0,"",(VLOOKUP($C99,REV!$C:$AA,12,0)-'TRADE IN'!$F99))</f>
        <v>8099</v>
      </c>
      <c r="O99" s="46">
        <f>IF(VLOOKUP($C99,REV!$C:$AA,13,0)-'TRADE IN'!$F99=0,"",(VLOOKUP($C99,REV!$C:$AA,13,0)-'TRADE IN'!$F99))</f>
        <v>7999</v>
      </c>
      <c r="P99" s="46">
        <f>IF(VLOOKUP($C99,REV!$C:$AA,14,0)-'TRADE IN'!$F99=0,"",(VLOOKUP($C99,REV!$C:$AA,14,0)-'TRADE IN'!$F99))</f>
        <v>7899</v>
      </c>
      <c r="Q99" s="46">
        <f>IF(VLOOKUP($C99,REV!$C:$AA,15,0)-'TRADE IN'!$F99=0,"",(VLOOKUP($C99,REV!$C:$AA,15,0)-'TRADE IN'!$F99))</f>
        <v>7799</v>
      </c>
      <c r="R99" s="46">
        <f>IF(VLOOKUP($C99,REV!$C:$AA,16,0)-'TRADE IN'!$F99=0,"",(VLOOKUP($C99,REV!$C:$AA,16,0)-'TRADE IN'!$F99))</f>
        <v>7999</v>
      </c>
      <c r="S99" s="46">
        <f>IF(VLOOKUP($C99,REV!$C:$AA,17,0)-'TRADE IN'!$F99=0,"",(VLOOKUP($C99,REV!$C:$AA,17,0)-'TRADE IN'!$F99))</f>
        <v>7899</v>
      </c>
      <c r="T99" s="46">
        <f>IF(VLOOKUP($C99,REV!$C:$AA,18,0)-'TRADE IN'!$F99=0,"",(VLOOKUP($C99,REV!$C:$AA,18,0)-'TRADE IN'!$F99))</f>
        <v>7799</v>
      </c>
      <c r="U99" s="46">
        <f>IF(VLOOKUP($C99,REV!$C:$AA,19,0)-'TRADE IN'!$F99=0,"",(VLOOKUP($C99,REV!$C:$AA,19,0)-'TRADE IN'!$F99))</f>
        <v>7799</v>
      </c>
      <c r="V99" s="46">
        <f>IF(VLOOKUP($C99,REV!$C:$AA,20,0)-'TRADE IN'!$F99=0,"",(VLOOKUP($C99,REV!$C:$AA,20,0)-'TRADE IN'!$F99))</f>
        <v>7799</v>
      </c>
      <c r="W99" s="46">
        <f>IF(VLOOKUP($C99,REV!$C:$AA,21,0)-'TRADE IN'!$F99=0,"",(VLOOKUP($C99,REV!$C:$AA,21,0)-'TRADE IN'!$F99))</f>
        <v>7799</v>
      </c>
      <c r="X99" s="46">
        <f>IF(VLOOKUP($C99,REV!$C:$AA,22,0)-'TRADE IN'!$F99=0,"",(VLOOKUP($C99,REV!$C:$AA,22,0)-'TRADE IN'!$F99))</f>
        <v>7699</v>
      </c>
      <c r="Y99" s="46">
        <f>IF(VLOOKUP($C99,REV!$C:$AA,23,0)-'TRADE IN'!$F99=0,"",(VLOOKUP($C99,REV!$C:$AA,23,0)-'TRADE IN'!$F99))</f>
        <v>7499</v>
      </c>
      <c r="Z99" s="46">
        <f>IF(VLOOKUP($C99,REV!$C:$AA,24,0)-'TRADE IN'!$F99=0,"",(VLOOKUP($C99,REV!$C:$AA,24,0)-'TRADE IN'!$F99))</f>
        <v>7499</v>
      </c>
      <c r="AA99" s="46">
        <f>IF(VLOOKUP($C99,REV!$C:$AA,25,0)-'TRADE IN'!$F99=0,"",(VLOOKUP($C99,REV!$C:$AA,25,0)-'TRADE IN'!$F99))</f>
        <v>7499</v>
      </c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7"/>
      <c r="AW99" s="48" t="str">
        <f>REV!AW99</f>
        <v>01.12.2026</v>
      </c>
      <c r="AX99" s="153" t="str">
        <f>VLOOKUP(C99,REV!C:AX,48,0)</f>
        <v>5G</v>
      </c>
    </row>
    <row r="100" spans="1:50" ht="22.5" customHeight="1">
      <c r="A100" s="41" t="s">
        <v>63</v>
      </c>
      <c r="B100" s="42" t="s">
        <v>64</v>
      </c>
      <c r="C100" s="43">
        <v>4017497</v>
      </c>
      <c r="D100" s="44" t="s">
        <v>181</v>
      </c>
      <c r="E100" s="44" t="s">
        <v>182</v>
      </c>
      <c r="F100" s="45">
        <v>1000</v>
      </c>
      <c r="G100" s="45"/>
      <c r="H100" s="45"/>
      <c r="I100" s="45"/>
      <c r="J100" s="46">
        <f>IF(VLOOKUP($C100,REV!$C:$AA,8,0)-'TRADE IN'!$F100=0,"",(VLOOKUP($C100,REV!$C:$AA,8,0)-'TRADE IN'!$F100))</f>
        <v>6699</v>
      </c>
      <c r="K100" s="46">
        <f>IF(VLOOKUP($C100,REV!$C:$AA,9,0)-'TRADE IN'!$F100=0,"",(VLOOKUP($C100,REV!$C:$AA,9,0)-'TRADE IN'!$F100))</f>
        <v>6699</v>
      </c>
      <c r="L100" s="46">
        <f>IF(VLOOKUP($C100,REV!$C:$AA,10,0)-'TRADE IN'!$F100=0,"",(VLOOKUP($C100,REV!$C:$AA,10,0)-'TRADE IN'!$F100))</f>
        <v>6699</v>
      </c>
      <c r="M100" s="46">
        <f>IF(VLOOKUP($C100,REV!$C:$AA,11,0)-'TRADE IN'!$F100=0,"",(VLOOKUP($C100,REV!$C:$AA,11,0)-'TRADE IN'!$F100))</f>
        <v>6699</v>
      </c>
      <c r="N100" s="46">
        <f>IF(VLOOKUP($C100,REV!$C:$AA,12,0)-'TRADE IN'!$F100=0,"",(VLOOKUP($C100,REV!$C:$AA,12,0)-'TRADE IN'!$F100))</f>
        <v>6699</v>
      </c>
      <c r="O100" s="46">
        <f>IF(VLOOKUP($C100,REV!$C:$AA,13,0)-'TRADE IN'!$F100=0,"",(VLOOKUP($C100,REV!$C:$AA,13,0)-'TRADE IN'!$F100))</f>
        <v>6599</v>
      </c>
      <c r="P100" s="46">
        <f>IF(VLOOKUP($C100,REV!$C:$AA,14,0)-'TRADE IN'!$F100=0,"",(VLOOKUP($C100,REV!$C:$AA,14,0)-'TRADE IN'!$F100))</f>
        <v>6499</v>
      </c>
      <c r="Q100" s="46">
        <f>IF(VLOOKUP($C100,REV!$C:$AA,15,0)-'TRADE IN'!$F100=0,"",(VLOOKUP($C100,REV!$C:$AA,15,0)-'TRADE IN'!$F100))</f>
        <v>6399</v>
      </c>
      <c r="R100" s="46">
        <f>IF(VLOOKUP($C100,REV!$C:$AA,16,0)-'TRADE IN'!$F100=0,"",(VLOOKUP($C100,REV!$C:$AA,16,0)-'TRADE IN'!$F100))</f>
        <v>6599</v>
      </c>
      <c r="S100" s="46">
        <f>IF(VLOOKUP($C100,REV!$C:$AA,17,0)-'TRADE IN'!$F100=0,"",(VLOOKUP($C100,REV!$C:$AA,17,0)-'TRADE IN'!$F100))</f>
        <v>6499</v>
      </c>
      <c r="T100" s="46">
        <f>IF(VLOOKUP($C100,REV!$C:$AA,18,0)-'TRADE IN'!$F100=0,"",(VLOOKUP($C100,REV!$C:$AA,18,0)-'TRADE IN'!$F100))</f>
        <v>6399</v>
      </c>
      <c r="U100" s="46">
        <f>IF(VLOOKUP($C100,REV!$C:$AA,19,0)-'TRADE IN'!$F100=0,"",(VLOOKUP($C100,REV!$C:$AA,19,0)-'TRADE IN'!$F100))</f>
        <v>6399</v>
      </c>
      <c r="V100" s="46">
        <f>IF(VLOOKUP($C100,REV!$C:$AA,20,0)-'TRADE IN'!$F100=0,"",(VLOOKUP($C100,REV!$C:$AA,20,0)-'TRADE IN'!$F100))</f>
        <v>6399</v>
      </c>
      <c r="W100" s="46">
        <f>IF(VLOOKUP($C100,REV!$C:$AA,21,0)-'TRADE IN'!$F100=0,"",(VLOOKUP($C100,REV!$C:$AA,21,0)-'TRADE IN'!$F100))</f>
        <v>6399</v>
      </c>
      <c r="X100" s="46">
        <f>IF(VLOOKUP($C100,REV!$C:$AA,22,0)-'TRADE IN'!$F100=0,"",(VLOOKUP($C100,REV!$C:$AA,22,0)-'TRADE IN'!$F100))</f>
        <v>6299</v>
      </c>
      <c r="Y100" s="46">
        <f>IF(VLOOKUP($C100,REV!$C:$AA,23,0)-'TRADE IN'!$F100=0,"",(VLOOKUP($C100,REV!$C:$AA,23,0)-'TRADE IN'!$F100))</f>
        <v>5499</v>
      </c>
      <c r="Z100" s="46">
        <f>IF(VLOOKUP($C100,REV!$C:$AA,24,0)-'TRADE IN'!$F100=0,"",(VLOOKUP($C100,REV!$C:$AA,24,0)-'TRADE IN'!$F100))</f>
        <v>5499</v>
      </c>
      <c r="AA100" s="46">
        <f>IF(VLOOKUP($C100,REV!$C:$AA,25,0)-'TRADE IN'!$F100=0,"",(VLOOKUP($C100,REV!$C:$AA,25,0)-'TRADE IN'!$F100))</f>
        <v>4499</v>
      </c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7"/>
      <c r="AW100" s="48" t="str">
        <f>REV!AW100</f>
        <v>01.12.2026</v>
      </c>
      <c r="AX100" s="153" t="str">
        <f>VLOOKUP(C100,REV!C:AX,48,0)</f>
        <v>5G</v>
      </c>
    </row>
    <row r="101" spans="1:50" ht="22.5" customHeight="1">
      <c r="A101" s="41" t="s">
        <v>63</v>
      </c>
      <c r="B101" s="42" t="s">
        <v>64</v>
      </c>
      <c r="C101" s="43">
        <v>4017498</v>
      </c>
      <c r="D101" s="44" t="s">
        <v>181</v>
      </c>
      <c r="E101" s="44" t="s">
        <v>183</v>
      </c>
      <c r="F101" s="45">
        <v>1000</v>
      </c>
      <c r="G101" s="45"/>
      <c r="H101" s="45"/>
      <c r="I101" s="45"/>
      <c r="J101" s="46">
        <f>IF(VLOOKUP($C101,REV!$C:$AA,8,0)-'TRADE IN'!$F101=0,"",(VLOOKUP($C101,REV!$C:$AA,8,0)-'TRADE IN'!$F101))</f>
        <v>6699</v>
      </c>
      <c r="K101" s="46">
        <f>IF(VLOOKUP($C101,REV!$C:$AA,9,0)-'TRADE IN'!$F101=0,"",(VLOOKUP($C101,REV!$C:$AA,9,0)-'TRADE IN'!$F101))</f>
        <v>6699</v>
      </c>
      <c r="L101" s="46">
        <f>IF(VLOOKUP($C101,REV!$C:$AA,10,0)-'TRADE IN'!$F101=0,"",(VLOOKUP($C101,REV!$C:$AA,10,0)-'TRADE IN'!$F101))</f>
        <v>6699</v>
      </c>
      <c r="M101" s="46">
        <f>IF(VLOOKUP($C101,REV!$C:$AA,11,0)-'TRADE IN'!$F101=0,"",(VLOOKUP($C101,REV!$C:$AA,11,0)-'TRADE IN'!$F101))</f>
        <v>6699</v>
      </c>
      <c r="N101" s="46">
        <f>IF(VLOOKUP($C101,REV!$C:$AA,12,0)-'TRADE IN'!$F101=0,"",(VLOOKUP($C101,REV!$C:$AA,12,0)-'TRADE IN'!$F101))</f>
        <v>6699</v>
      </c>
      <c r="O101" s="46">
        <f>IF(VLOOKUP($C101,REV!$C:$AA,13,0)-'TRADE IN'!$F101=0,"",(VLOOKUP($C101,REV!$C:$AA,13,0)-'TRADE IN'!$F101))</f>
        <v>6599</v>
      </c>
      <c r="P101" s="46">
        <f>IF(VLOOKUP($C101,REV!$C:$AA,14,0)-'TRADE IN'!$F101=0,"",(VLOOKUP($C101,REV!$C:$AA,14,0)-'TRADE IN'!$F101))</f>
        <v>6499</v>
      </c>
      <c r="Q101" s="46">
        <f>IF(VLOOKUP($C101,REV!$C:$AA,15,0)-'TRADE IN'!$F101=0,"",(VLOOKUP($C101,REV!$C:$AA,15,0)-'TRADE IN'!$F101))</f>
        <v>6399</v>
      </c>
      <c r="R101" s="46">
        <f>IF(VLOOKUP($C101,REV!$C:$AA,16,0)-'TRADE IN'!$F101=0,"",(VLOOKUP($C101,REV!$C:$AA,16,0)-'TRADE IN'!$F101))</f>
        <v>6599</v>
      </c>
      <c r="S101" s="46">
        <f>IF(VLOOKUP($C101,REV!$C:$AA,17,0)-'TRADE IN'!$F101=0,"",(VLOOKUP($C101,REV!$C:$AA,17,0)-'TRADE IN'!$F101))</f>
        <v>6499</v>
      </c>
      <c r="T101" s="46">
        <f>IF(VLOOKUP($C101,REV!$C:$AA,18,0)-'TRADE IN'!$F101=0,"",(VLOOKUP($C101,REV!$C:$AA,18,0)-'TRADE IN'!$F101))</f>
        <v>6399</v>
      </c>
      <c r="U101" s="46">
        <f>IF(VLOOKUP($C101,REV!$C:$AA,19,0)-'TRADE IN'!$F101=0,"",(VLOOKUP($C101,REV!$C:$AA,19,0)-'TRADE IN'!$F101))</f>
        <v>6399</v>
      </c>
      <c r="V101" s="46">
        <f>IF(VLOOKUP($C101,REV!$C:$AA,20,0)-'TRADE IN'!$F101=0,"",(VLOOKUP($C101,REV!$C:$AA,20,0)-'TRADE IN'!$F101))</f>
        <v>6399</v>
      </c>
      <c r="W101" s="46">
        <f>IF(VLOOKUP($C101,REV!$C:$AA,21,0)-'TRADE IN'!$F101=0,"",(VLOOKUP($C101,REV!$C:$AA,21,0)-'TRADE IN'!$F101))</f>
        <v>6399</v>
      </c>
      <c r="X101" s="46">
        <f>IF(VLOOKUP($C101,REV!$C:$AA,22,0)-'TRADE IN'!$F101=0,"",(VLOOKUP($C101,REV!$C:$AA,22,0)-'TRADE IN'!$F101))</f>
        <v>6299</v>
      </c>
      <c r="Y101" s="46">
        <f>IF(VLOOKUP($C101,REV!$C:$AA,23,0)-'TRADE IN'!$F101=0,"",(VLOOKUP($C101,REV!$C:$AA,23,0)-'TRADE IN'!$F101))</f>
        <v>5499</v>
      </c>
      <c r="Z101" s="46">
        <f>IF(VLOOKUP($C101,REV!$C:$AA,24,0)-'TRADE IN'!$F101=0,"",(VLOOKUP($C101,REV!$C:$AA,24,0)-'TRADE IN'!$F101))</f>
        <v>5499</v>
      </c>
      <c r="AA101" s="46">
        <f>IF(VLOOKUP($C101,REV!$C:$AA,25,0)-'TRADE IN'!$F101=0,"",(VLOOKUP($C101,REV!$C:$AA,25,0)-'TRADE IN'!$F101))</f>
        <v>4499</v>
      </c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7"/>
      <c r="AW101" s="48" t="str">
        <f>REV!AW101</f>
        <v>01.12.2026</v>
      </c>
      <c r="AX101" s="153" t="str">
        <f>VLOOKUP(C101,REV!C:AX,48,0)</f>
        <v>5G</v>
      </c>
    </row>
    <row r="102" spans="1:50" ht="22.5" customHeight="1">
      <c r="A102" s="41" t="s">
        <v>63</v>
      </c>
      <c r="B102" s="42" t="s">
        <v>64</v>
      </c>
      <c r="C102" s="43">
        <v>4017499</v>
      </c>
      <c r="D102" s="44" t="s">
        <v>181</v>
      </c>
      <c r="E102" s="44" t="s">
        <v>184</v>
      </c>
      <c r="F102" s="45">
        <v>1000</v>
      </c>
      <c r="G102" s="45"/>
      <c r="H102" s="45"/>
      <c r="I102" s="45"/>
      <c r="J102" s="46">
        <f>IF(VLOOKUP($C102,REV!$C:$AA,8,0)-'TRADE IN'!$F102=0,"",(VLOOKUP($C102,REV!$C:$AA,8,0)-'TRADE IN'!$F102))</f>
        <v>6699</v>
      </c>
      <c r="K102" s="46">
        <f>IF(VLOOKUP($C102,REV!$C:$AA,9,0)-'TRADE IN'!$F102=0,"",(VLOOKUP($C102,REV!$C:$AA,9,0)-'TRADE IN'!$F102))</f>
        <v>6699</v>
      </c>
      <c r="L102" s="46">
        <f>IF(VLOOKUP($C102,REV!$C:$AA,10,0)-'TRADE IN'!$F102=0,"",(VLOOKUP($C102,REV!$C:$AA,10,0)-'TRADE IN'!$F102))</f>
        <v>6699</v>
      </c>
      <c r="M102" s="46">
        <f>IF(VLOOKUP($C102,REV!$C:$AA,11,0)-'TRADE IN'!$F102=0,"",(VLOOKUP($C102,REV!$C:$AA,11,0)-'TRADE IN'!$F102))</f>
        <v>6699</v>
      </c>
      <c r="N102" s="46">
        <f>IF(VLOOKUP($C102,REV!$C:$AA,12,0)-'TRADE IN'!$F102=0,"",(VLOOKUP($C102,REV!$C:$AA,12,0)-'TRADE IN'!$F102))</f>
        <v>6699</v>
      </c>
      <c r="O102" s="46">
        <f>IF(VLOOKUP($C102,REV!$C:$AA,13,0)-'TRADE IN'!$F102=0,"",(VLOOKUP($C102,REV!$C:$AA,13,0)-'TRADE IN'!$F102))</f>
        <v>6599</v>
      </c>
      <c r="P102" s="46">
        <f>IF(VLOOKUP($C102,REV!$C:$AA,14,0)-'TRADE IN'!$F102=0,"",(VLOOKUP($C102,REV!$C:$AA,14,0)-'TRADE IN'!$F102))</f>
        <v>6499</v>
      </c>
      <c r="Q102" s="46">
        <f>IF(VLOOKUP($C102,REV!$C:$AA,15,0)-'TRADE IN'!$F102=0,"",(VLOOKUP($C102,REV!$C:$AA,15,0)-'TRADE IN'!$F102))</f>
        <v>6399</v>
      </c>
      <c r="R102" s="46">
        <f>IF(VLOOKUP($C102,REV!$C:$AA,16,0)-'TRADE IN'!$F102=0,"",(VLOOKUP($C102,REV!$C:$AA,16,0)-'TRADE IN'!$F102))</f>
        <v>6599</v>
      </c>
      <c r="S102" s="46">
        <f>IF(VLOOKUP($C102,REV!$C:$AA,17,0)-'TRADE IN'!$F102=0,"",(VLOOKUP($C102,REV!$C:$AA,17,0)-'TRADE IN'!$F102))</f>
        <v>6499</v>
      </c>
      <c r="T102" s="46">
        <f>IF(VLOOKUP($C102,REV!$C:$AA,18,0)-'TRADE IN'!$F102=0,"",(VLOOKUP($C102,REV!$C:$AA,18,0)-'TRADE IN'!$F102))</f>
        <v>6399</v>
      </c>
      <c r="U102" s="46">
        <f>IF(VLOOKUP($C102,REV!$C:$AA,19,0)-'TRADE IN'!$F102=0,"",(VLOOKUP($C102,REV!$C:$AA,19,0)-'TRADE IN'!$F102))</f>
        <v>6399</v>
      </c>
      <c r="V102" s="46">
        <f>IF(VLOOKUP($C102,REV!$C:$AA,20,0)-'TRADE IN'!$F102=0,"",(VLOOKUP($C102,REV!$C:$AA,20,0)-'TRADE IN'!$F102))</f>
        <v>6399</v>
      </c>
      <c r="W102" s="46">
        <f>IF(VLOOKUP($C102,REV!$C:$AA,21,0)-'TRADE IN'!$F102=0,"",(VLOOKUP($C102,REV!$C:$AA,21,0)-'TRADE IN'!$F102))</f>
        <v>6399</v>
      </c>
      <c r="X102" s="46">
        <f>IF(VLOOKUP($C102,REV!$C:$AA,22,0)-'TRADE IN'!$F102=0,"",(VLOOKUP($C102,REV!$C:$AA,22,0)-'TRADE IN'!$F102))</f>
        <v>6299</v>
      </c>
      <c r="Y102" s="46">
        <f>IF(VLOOKUP($C102,REV!$C:$AA,23,0)-'TRADE IN'!$F102=0,"",(VLOOKUP($C102,REV!$C:$AA,23,0)-'TRADE IN'!$F102))</f>
        <v>5499</v>
      </c>
      <c r="Z102" s="46">
        <f>IF(VLOOKUP($C102,REV!$C:$AA,24,0)-'TRADE IN'!$F102=0,"",(VLOOKUP($C102,REV!$C:$AA,24,0)-'TRADE IN'!$F102))</f>
        <v>5499</v>
      </c>
      <c r="AA102" s="46">
        <f>IF(VLOOKUP($C102,REV!$C:$AA,25,0)-'TRADE IN'!$F102=0,"",(VLOOKUP($C102,REV!$C:$AA,25,0)-'TRADE IN'!$F102))</f>
        <v>4499</v>
      </c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7"/>
      <c r="AW102" s="48" t="str">
        <f>REV!AW102</f>
        <v>01.12.2026</v>
      </c>
      <c r="AX102" s="153" t="str">
        <f>VLOOKUP(C102,REV!C:AX,48,0)</f>
        <v>5G</v>
      </c>
    </row>
    <row r="103" spans="1:50" ht="22.5" customHeight="1">
      <c r="A103" s="41" t="s">
        <v>63</v>
      </c>
      <c r="B103" s="42" t="s">
        <v>64</v>
      </c>
      <c r="C103" s="43">
        <v>4017521</v>
      </c>
      <c r="D103" s="44" t="s">
        <v>181</v>
      </c>
      <c r="E103" s="44" t="s">
        <v>185</v>
      </c>
      <c r="F103" s="45">
        <v>1000</v>
      </c>
      <c r="G103" s="45"/>
      <c r="H103" s="45"/>
      <c r="I103" s="45"/>
      <c r="J103" s="46">
        <f>IF(VLOOKUP($C103,REV!$C:$AA,8,0)-'TRADE IN'!$F103=0,"",(VLOOKUP($C103,REV!$C:$AA,8,0)-'TRADE IN'!$F103))</f>
        <v>6699</v>
      </c>
      <c r="K103" s="46">
        <f>IF(VLOOKUP($C103,REV!$C:$AA,9,0)-'TRADE IN'!$F103=0,"",(VLOOKUP($C103,REV!$C:$AA,9,0)-'TRADE IN'!$F103))</f>
        <v>6699</v>
      </c>
      <c r="L103" s="46">
        <f>IF(VLOOKUP($C103,REV!$C:$AA,10,0)-'TRADE IN'!$F103=0,"",(VLOOKUP($C103,REV!$C:$AA,10,0)-'TRADE IN'!$F103))</f>
        <v>6699</v>
      </c>
      <c r="M103" s="46">
        <f>IF(VLOOKUP($C103,REV!$C:$AA,11,0)-'TRADE IN'!$F103=0,"",(VLOOKUP($C103,REV!$C:$AA,11,0)-'TRADE IN'!$F103))</f>
        <v>6699</v>
      </c>
      <c r="N103" s="46">
        <f>IF(VLOOKUP($C103,REV!$C:$AA,12,0)-'TRADE IN'!$F103=0,"",(VLOOKUP($C103,REV!$C:$AA,12,0)-'TRADE IN'!$F103))</f>
        <v>6699</v>
      </c>
      <c r="O103" s="46">
        <f>IF(VLOOKUP($C103,REV!$C:$AA,13,0)-'TRADE IN'!$F103=0,"",(VLOOKUP($C103,REV!$C:$AA,13,0)-'TRADE IN'!$F103))</f>
        <v>6599</v>
      </c>
      <c r="P103" s="46">
        <f>IF(VLOOKUP($C103,REV!$C:$AA,14,0)-'TRADE IN'!$F103=0,"",(VLOOKUP($C103,REV!$C:$AA,14,0)-'TRADE IN'!$F103))</f>
        <v>6499</v>
      </c>
      <c r="Q103" s="46">
        <f>IF(VLOOKUP($C103,REV!$C:$AA,15,0)-'TRADE IN'!$F103=0,"",(VLOOKUP($C103,REV!$C:$AA,15,0)-'TRADE IN'!$F103))</f>
        <v>6399</v>
      </c>
      <c r="R103" s="46">
        <f>IF(VLOOKUP($C103,REV!$C:$AA,16,0)-'TRADE IN'!$F103=0,"",(VLOOKUP($C103,REV!$C:$AA,16,0)-'TRADE IN'!$F103))</f>
        <v>6599</v>
      </c>
      <c r="S103" s="46">
        <f>IF(VLOOKUP($C103,REV!$C:$AA,17,0)-'TRADE IN'!$F103=0,"",(VLOOKUP($C103,REV!$C:$AA,17,0)-'TRADE IN'!$F103))</f>
        <v>6499</v>
      </c>
      <c r="T103" s="46">
        <f>IF(VLOOKUP($C103,REV!$C:$AA,18,0)-'TRADE IN'!$F103=0,"",(VLOOKUP($C103,REV!$C:$AA,18,0)-'TRADE IN'!$F103))</f>
        <v>6399</v>
      </c>
      <c r="U103" s="46">
        <f>IF(VLOOKUP($C103,REV!$C:$AA,19,0)-'TRADE IN'!$F103=0,"",(VLOOKUP($C103,REV!$C:$AA,19,0)-'TRADE IN'!$F103))</f>
        <v>6399</v>
      </c>
      <c r="V103" s="46">
        <f>IF(VLOOKUP($C103,REV!$C:$AA,20,0)-'TRADE IN'!$F103=0,"",(VLOOKUP($C103,REV!$C:$AA,20,0)-'TRADE IN'!$F103))</f>
        <v>6399</v>
      </c>
      <c r="W103" s="46">
        <f>IF(VLOOKUP($C103,REV!$C:$AA,21,0)-'TRADE IN'!$F103=0,"",(VLOOKUP($C103,REV!$C:$AA,21,0)-'TRADE IN'!$F103))</f>
        <v>6399</v>
      </c>
      <c r="X103" s="46">
        <f>IF(VLOOKUP($C103,REV!$C:$AA,22,0)-'TRADE IN'!$F103=0,"",(VLOOKUP($C103,REV!$C:$AA,22,0)-'TRADE IN'!$F103))</f>
        <v>6299</v>
      </c>
      <c r="Y103" s="46">
        <f>IF(VLOOKUP($C103,REV!$C:$AA,23,0)-'TRADE IN'!$F103=0,"",(VLOOKUP($C103,REV!$C:$AA,23,0)-'TRADE IN'!$F103))</f>
        <v>5499</v>
      </c>
      <c r="Z103" s="46">
        <f>IF(VLOOKUP($C103,REV!$C:$AA,24,0)-'TRADE IN'!$F103=0,"",(VLOOKUP($C103,REV!$C:$AA,24,0)-'TRADE IN'!$F103))</f>
        <v>5499</v>
      </c>
      <c r="AA103" s="46">
        <f>IF(VLOOKUP($C103,REV!$C:$AA,25,0)-'TRADE IN'!$F103=0,"",(VLOOKUP($C103,REV!$C:$AA,25,0)-'TRADE IN'!$F103))</f>
        <v>4499</v>
      </c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7"/>
      <c r="AW103" s="48" t="str">
        <f>REV!AW103</f>
        <v>01.12.2026</v>
      </c>
      <c r="AX103" s="153" t="str">
        <f>VLOOKUP(C103,REV!C:AX,48,0)</f>
        <v>5G</v>
      </c>
    </row>
    <row r="104" spans="1:50" ht="22.5" customHeight="1">
      <c r="A104" s="41" t="s">
        <v>63</v>
      </c>
      <c r="B104" s="42" t="s">
        <v>64</v>
      </c>
      <c r="C104" s="43">
        <v>4017496</v>
      </c>
      <c r="D104" s="44" t="s">
        <v>186</v>
      </c>
      <c r="E104" s="44" t="s">
        <v>187</v>
      </c>
      <c r="F104" s="45">
        <v>1000</v>
      </c>
      <c r="G104" s="45"/>
      <c r="H104" s="45"/>
      <c r="I104" s="45"/>
      <c r="J104" s="46">
        <f>IF(VLOOKUP($C104,REV!$C:$AA,8,0)-'TRADE IN'!$F104=0,"",(VLOOKUP($C104,REV!$C:$AA,8,0)-'TRADE IN'!$F104))</f>
        <v>7999</v>
      </c>
      <c r="K104" s="46">
        <f>IF(VLOOKUP($C104,REV!$C:$AA,9,0)-'TRADE IN'!$F104=0,"",(VLOOKUP($C104,REV!$C:$AA,9,0)-'TRADE IN'!$F104))</f>
        <v>7999</v>
      </c>
      <c r="L104" s="46">
        <f>IF(VLOOKUP($C104,REV!$C:$AA,10,0)-'TRADE IN'!$F104=0,"",(VLOOKUP($C104,REV!$C:$AA,10,0)-'TRADE IN'!$F104))</f>
        <v>7999</v>
      </c>
      <c r="M104" s="46">
        <f>IF(VLOOKUP($C104,REV!$C:$AA,11,0)-'TRADE IN'!$F104=0,"",(VLOOKUP($C104,REV!$C:$AA,11,0)-'TRADE IN'!$F104))</f>
        <v>7999</v>
      </c>
      <c r="N104" s="46">
        <f>IF(VLOOKUP($C104,REV!$C:$AA,12,0)-'TRADE IN'!$F104=0,"",(VLOOKUP($C104,REV!$C:$AA,12,0)-'TRADE IN'!$F104))</f>
        <v>7999</v>
      </c>
      <c r="O104" s="46">
        <f>IF(VLOOKUP($C104,REV!$C:$AA,13,0)-'TRADE IN'!$F104=0,"",(VLOOKUP($C104,REV!$C:$AA,13,0)-'TRADE IN'!$F104))</f>
        <v>7899</v>
      </c>
      <c r="P104" s="46">
        <f>IF(VLOOKUP($C104,REV!$C:$AA,14,0)-'TRADE IN'!$F104=0,"",(VLOOKUP($C104,REV!$C:$AA,14,0)-'TRADE IN'!$F104))</f>
        <v>7799</v>
      </c>
      <c r="Q104" s="46">
        <f>IF(VLOOKUP($C104,REV!$C:$AA,15,0)-'TRADE IN'!$F104=0,"",(VLOOKUP($C104,REV!$C:$AA,15,0)-'TRADE IN'!$F104))</f>
        <v>7499</v>
      </c>
      <c r="R104" s="46">
        <f>IF(VLOOKUP($C104,REV!$C:$AA,16,0)-'TRADE IN'!$F104=0,"",(VLOOKUP($C104,REV!$C:$AA,16,0)-'TRADE IN'!$F104))</f>
        <v>7899</v>
      </c>
      <c r="S104" s="46">
        <f>IF(VLOOKUP($C104,REV!$C:$AA,17,0)-'TRADE IN'!$F104=0,"",(VLOOKUP($C104,REV!$C:$AA,17,0)-'TRADE IN'!$F104))</f>
        <v>7799</v>
      </c>
      <c r="T104" s="46">
        <f>IF(VLOOKUP($C104,REV!$C:$AA,18,0)-'TRADE IN'!$F104=0,"",(VLOOKUP($C104,REV!$C:$AA,18,0)-'TRADE IN'!$F104))</f>
        <v>7499</v>
      </c>
      <c r="U104" s="46">
        <f>IF(VLOOKUP($C104,REV!$C:$AA,19,0)-'TRADE IN'!$F104=0,"",(VLOOKUP($C104,REV!$C:$AA,19,0)-'TRADE IN'!$F104))</f>
        <v>7499</v>
      </c>
      <c r="V104" s="46">
        <f>IF(VLOOKUP($C104,REV!$C:$AA,20,0)-'TRADE IN'!$F104=0,"",(VLOOKUP($C104,REV!$C:$AA,20,0)-'TRADE IN'!$F104))</f>
        <v>7499</v>
      </c>
      <c r="W104" s="46">
        <f>IF(VLOOKUP($C104,REV!$C:$AA,21,0)-'TRADE IN'!$F104=0,"",(VLOOKUP($C104,REV!$C:$AA,21,0)-'TRADE IN'!$F104))</f>
        <v>7499</v>
      </c>
      <c r="X104" s="46">
        <f>IF(VLOOKUP($C104,REV!$C:$AA,22,0)-'TRADE IN'!$F104=0,"",(VLOOKUP($C104,REV!$C:$AA,22,0)-'TRADE IN'!$F104))</f>
        <v>7399</v>
      </c>
      <c r="Y104" s="46">
        <f>IF(VLOOKUP($C104,REV!$C:$AA,23,0)-'TRADE IN'!$F104=0,"",(VLOOKUP($C104,REV!$C:$AA,23,0)-'TRADE IN'!$F104))</f>
        <v>6799</v>
      </c>
      <c r="Z104" s="46">
        <f>IF(VLOOKUP($C104,REV!$C:$AA,24,0)-'TRADE IN'!$F104=0,"",(VLOOKUP($C104,REV!$C:$AA,24,0)-'TRADE IN'!$F104))</f>
        <v>6799</v>
      </c>
      <c r="AA104" s="46">
        <f>IF(VLOOKUP($C104,REV!$C:$AA,25,0)-'TRADE IN'!$F104=0,"",(VLOOKUP($C104,REV!$C:$AA,25,0)-'TRADE IN'!$F104))</f>
        <v>5799</v>
      </c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7"/>
      <c r="AW104" s="48" t="str">
        <f>REV!AW104</f>
        <v>01.12.2026</v>
      </c>
      <c r="AX104" s="153" t="str">
        <f>VLOOKUP(C104,REV!C:AX,48,0)</f>
        <v>5G</v>
      </c>
    </row>
    <row r="105" spans="1:50" ht="22.5" customHeight="1">
      <c r="A105" s="41" t="s">
        <v>63</v>
      </c>
      <c r="B105" s="42" t="s">
        <v>64</v>
      </c>
      <c r="C105" s="43">
        <v>4017519</v>
      </c>
      <c r="D105" s="44" t="s">
        <v>186</v>
      </c>
      <c r="E105" s="44" t="s">
        <v>188</v>
      </c>
      <c r="F105" s="45">
        <v>1000</v>
      </c>
      <c r="G105" s="45"/>
      <c r="H105" s="45"/>
      <c r="I105" s="45"/>
      <c r="J105" s="46">
        <f>IF(VLOOKUP($C105,REV!$C:$AA,8,0)-'TRADE IN'!$F105=0,"",(VLOOKUP($C105,REV!$C:$AA,8,0)-'TRADE IN'!$F105))</f>
        <v>7999</v>
      </c>
      <c r="K105" s="46">
        <f>IF(VLOOKUP($C105,REV!$C:$AA,9,0)-'TRADE IN'!$F105=0,"",(VLOOKUP($C105,REV!$C:$AA,9,0)-'TRADE IN'!$F105))</f>
        <v>7999</v>
      </c>
      <c r="L105" s="46">
        <f>IF(VLOOKUP($C105,REV!$C:$AA,10,0)-'TRADE IN'!$F105=0,"",(VLOOKUP($C105,REV!$C:$AA,10,0)-'TRADE IN'!$F105))</f>
        <v>7999</v>
      </c>
      <c r="M105" s="46">
        <f>IF(VLOOKUP($C105,REV!$C:$AA,11,0)-'TRADE IN'!$F105=0,"",(VLOOKUP($C105,REV!$C:$AA,11,0)-'TRADE IN'!$F105))</f>
        <v>7999</v>
      </c>
      <c r="N105" s="46">
        <f>IF(VLOOKUP($C105,REV!$C:$AA,12,0)-'TRADE IN'!$F105=0,"",(VLOOKUP($C105,REV!$C:$AA,12,0)-'TRADE IN'!$F105))</f>
        <v>7999</v>
      </c>
      <c r="O105" s="46">
        <f>IF(VLOOKUP($C105,REV!$C:$AA,13,0)-'TRADE IN'!$F105=0,"",(VLOOKUP($C105,REV!$C:$AA,13,0)-'TRADE IN'!$F105))</f>
        <v>7899</v>
      </c>
      <c r="P105" s="46">
        <f>IF(VLOOKUP($C105,REV!$C:$AA,14,0)-'TRADE IN'!$F105=0,"",(VLOOKUP($C105,REV!$C:$AA,14,0)-'TRADE IN'!$F105))</f>
        <v>7799</v>
      </c>
      <c r="Q105" s="46">
        <f>IF(VLOOKUP($C105,REV!$C:$AA,15,0)-'TRADE IN'!$F105=0,"",(VLOOKUP($C105,REV!$C:$AA,15,0)-'TRADE IN'!$F105))</f>
        <v>7499</v>
      </c>
      <c r="R105" s="46">
        <f>IF(VLOOKUP($C105,REV!$C:$AA,16,0)-'TRADE IN'!$F105=0,"",(VLOOKUP($C105,REV!$C:$AA,16,0)-'TRADE IN'!$F105))</f>
        <v>7899</v>
      </c>
      <c r="S105" s="46">
        <f>IF(VLOOKUP($C105,REV!$C:$AA,17,0)-'TRADE IN'!$F105=0,"",(VLOOKUP($C105,REV!$C:$AA,17,0)-'TRADE IN'!$F105))</f>
        <v>7799</v>
      </c>
      <c r="T105" s="46">
        <f>IF(VLOOKUP($C105,REV!$C:$AA,18,0)-'TRADE IN'!$F105=0,"",(VLOOKUP($C105,REV!$C:$AA,18,0)-'TRADE IN'!$F105))</f>
        <v>7499</v>
      </c>
      <c r="U105" s="46">
        <f>IF(VLOOKUP($C105,REV!$C:$AA,19,0)-'TRADE IN'!$F105=0,"",(VLOOKUP($C105,REV!$C:$AA,19,0)-'TRADE IN'!$F105))</f>
        <v>7499</v>
      </c>
      <c r="V105" s="46">
        <f>IF(VLOOKUP($C105,REV!$C:$AA,20,0)-'TRADE IN'!$F105=0,"",(VLOOKUP($C105,REV!$C:$AA,20,0)-'TRADE IN'!$F105))</f>
        <v>7499</v>
      </c>
      <c r="W105" s="46">
        <f>IF(VLOOKUP($C105,REV!$C:$AA,21,0)-'TRADE IN'!$F105=0,"",(VLOOKUP($C105,REV!$C:$AA,21,0)-'TRADE IN'!$F105))</f>
        <v>7499</v>
      </c>
      <c r="X105" s="46">
        <f>IF(VLOOKUP($C105,REV!$C:$AA,22,0)-'TRADE IN'!$F105=0,"",(VLOOKUP($C105,REV!$C:$AA,22,0)-'TRADE IN'!$F105))</f>
        <v>7399</v>
      </c>
      <c r="Y105" s="46">
        <f>IF(VLOOKUP($C105,REV!$C:$AA,23,0)-'TRADE IN'!$F105=0,"",(VLOOKUP($C105,REV!$C:$AA,23,0)-'TRADE IN'!$F105))</f>
        <v>6799</v>
      </c>
      <c r="Z105" s="46">
        <f>IF(VLOOKUP($C105,REV!$C:$AA,24,0)-'TRADE IN'!$F105=0,"",(VLOOKUP($C105,REV!$C:$AA,24,0)-'TRADE IN'!$F105))</f>
        <v>6799</v>
      </c>
      <c r="AA105" s="46">
        <f>IF(VLOOKUP($C105,REV!$C:$AA,25,0)-'TRADE IN'!$F105=0,"",(VLOOKUP($C105,REV!$C:$AA,25,0)-'TRADE IN'!$F105))</f>
        <v>5799</v>
      </c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7"/>
      <c r="AW105" s="48" t="str">
        <f>REV!AW105</f>
        <v>01.12.2026</v>
      </c>
      <c r="AX105" s="153" t="str">
        <f>VLOOKUP(C105,REV!C:AX,48,0)</f>
        <v>5G</v>
      </c>
    </row>
    <row r="106" spans="1:50" ht="22.5" customHeight="1">
      <c r="A106" s="41" t="s">
        <v>63</v>
      </c>
      <c r="B106" s="42" t="s">
        <v>64</v>
      </c>
      <c r="C106" s="43">
        <v>4017525</v>
      </c>
      <c r="D106" s="44" t="s">
        <v>186</v>
      </c>
      <c r="E106" s="44" t="s">
        <v>189</v>
      </c>
      <c r="F106" s="45">
        <v>1000</v>
      </c>
      <c r="G106" s="45"/>
      <c r="H106" s="45"/>
      <c r="I106" s="45"/>
      <c r="J106" s="46">
        <f>IF(VLOOKUP($C106,REV!$C:$AA,8,0)-'TRADE IN'!$F106=0,"",(VLOOKUP($C106,REV!$C:$AA,8,0)-'TRADE IN'!$F106))</f>
        <v>7999</v>
      </c>
      <c r="K106" s="46">
        <f>IF(VLOOKUP($C106,REV!$C:$AA,9,0)-'TRADE IN'!$F106=0,"",(VLOOKUP($C106,REV!$C:$AA,9,0)-'TRADE IN'!$F106))</f>
        <v>7999</v>
      </c>
      <c r="L106" s="46">
        <f>IF(VLOOKUP($C106,REV!$C:$AA,10,0)-'TRADE IN'!$F106=0,"",(VLOOKUP($C106,REV!$C:$AA,10,0)-'TRADE IN'!$F106))</f>
        <v>7999</v>
      </c>
      <c r="M106" s="46">
        <f>IF(VLOOKUP($C106,REV!$C:$AA,11,0)-'TRADE IN'!$F106=0,"",(VLOOKUP($C106,REV!$C:$AA,11,0)-'TRADE IN'!$F106))</f>
        <v>7999</v>
      </c>
      <c r="N106" s="46">
        <f>IF(VLOOKUP($C106,REV!$C:$AA,12,0)-'TRADE IN'!$F106=0,"",(VLOOKUP($C106,REV!$C:$AA,12,0)-'TRADE IN'!$F106))</f>
        <v>7999</v>
      </c>
      <c r="O106" s="46">
        <f>IF(VLOOKUP($C106,REV!$C:$AA,13,0)-'TRADE IN'!$F106=0,"",(VLOOKUP($C106,REV!$C:$AA,13,0)-'TRADE IN'!$F106))</f>
        <v>7899</v>
      </c>
      <c r="P106" s="46">
        <f>IF(VLOOKUP($C106,REV!$C:$AA,14,0)-'TRADE IN'!$F106=0,"",(VLOOKUP($C106,REV!$C:$AA,14,0)-'TRADE IN'!$F106))</f>
        <v>7799</v>
      </c>
      <c r="Q106" s="46">
        <f>IF(VLOOKUP($C106,REV!$C:$AA,15,0)-'TRADE IN'!$F106=0,"",(VLOOKUP($C106,REV!$C:$AA,15,0)-'TRADE IN'!$F106))</f>
        <v>7499</v>
      </c>
      <c r="R106" s="46">
        <f>IF(VLOOKUP($C106,REV!$C:$AA,16,0)-'TRADE IN'!$F106=0,"",(VLOOKUP($C106,REV!$C:$AA,16,0)-'TRADE IN'!$F106))</f>
        <v>7899</v>
      </c>
      <c r="S106" s="46">
        <f>IF(VLOOKUP($C106,REV!$C:$AA,17,0)-'TRADE IN'!$F106=0,"",(VLOOKUP($C106,REV!$C:$AA,17,0)-'TRADE IN'!$F106))</f>
        <v>7799</v>
      </c>
      <c r="T106" s="46">
        <f>IF(VLOOKUP($C106,REV!$C:$AA,18,0)-'TRADE IN'!$F106=0,"",(VLOOKUP($C106,REV!$C:$AA,18,0)-'TRADE IN'!$F106))</f>
        <v>7499</v>
      </c>
      <c r="U106" s="46">
        <f>IF(VLOOKUP($C106,REV!$C:$AA,19,0)-'TRADE IN'!$F106=0,"",(VLOOKUP($C106,REV!$C:$AA,19,0)-'TRADE IN'!$F106))</f>
        <v>7499</v>
      </c>
      <c r="V106" s="46">
        <f>IF(VLOOKUP($C106,REV!$C:$AA,20,0)-'TRADE IN'!$F106=0,"",(VLOOKUP($C106,REV!$C:$AA,20,0)-'TRADE IN'!$F106))</f>
        <v>7499</v>
      </c>
      <c r="W106" s="46">
        <f>IF(VLOOKUP($C106,REV!$C:$AA,21,0)-'TRADE IN'!$F106=0,"",(VLOOKUP($C106,REV!$C:$AA,21,0)-'TRADE IN'!$F106))</f>
        <v>7499</v>
      </c>
      <c r="X106" s="46">
        <f>IF(VLOOKUP($C106,REV!$C:$AA,22,0)-'TRADE IN'!$F106=0,"",(VLOOKUP($C106,REV!$C:$AA,22,0)-'TRADE IN'!$F106))</f>
        <v>7399</v>
      </c>
      <c r="Y106" s="46">
        <f>IF(VLOOKUP($C106,REV!$C:$AA,23,0)-'TRADE IN'!$F106=0,"",(VLOOKUP($C106,REV!$C:$AA,23,0)-'TRADE IN'!$F106))</f>
        <v>6799</v>
      </c>
      <c r="Z106" s="46">
        <f>IF(VLOOKUP($C106,REV!$C:$AA,24,0)-'TRADE IN'!$F106=0,"",(VLOOKUP($C106,REV!$C:$AA,24,0)-'TRADE IN'!$F106))</f>
        <v>6799</v>
      </c>
      <c r="AA106" s="46">
        <f>IF(VLOOKUP($C106,REV!$C:$AA,25,0)-'TRADE IN'!$F106=0,"",(VLOOKUP($C106,REV!$C:$AA,25,0)-'TRADE IN'!$F106))</f>
        <v>5799</v>
      </c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7"/>
      <c r="AW106" s="48" t="str">
        <f>REV!AW106</f>
        <v>01.12.2026</v>
      </c>
      <c r="AX106" s="153" t="str">
        <f>VLOOKUP(C106,REV!C:AX,48,0)</f>
        <v>5G</v>
      </c>
    </row>
    <row r="107" spans="1:50" ht="22.5" customHeight="1">
      <c r="A107" s="41" t="s">
        <v>63</v>
      </c>
      <c r="B107" s="42" t="s">
        <v>64</v>
      </c>
      <c r="C107" s="43">
        <v>4017518</v>
      </c>
      <c r="D107" s="44" t="s">
        <v>186</v>
      </c>
      <c r="E107" s="44" t="s">
        <v>190</v>
      </c>
      <c r="F107" s="45">
        <v>1000</v>
      </c>
      <c r="G107" s="45"/>
      <c r="H107" s="45"/>
      <c r="I107" s="45"/>
      <c r="J107" s="46">
        <f>IF(VLOOKUP($C107,REV!$C:$AA,8,0)-'TRADE IN'!$F107=0,"",(VLOOKUP($C107,REV!$C:$AA,8,0)-'TRADE IN'!$F107))</f>
        <v>7999</v>
      </c>
      <c r="K107" s="46">
        <f>IF(VLOOKUP($C107,REV!$C:$AA,9,0)-'TRADE IN'!$F107=0,"",(VLOOKUP($C107,REV!$C:$AA,9,0)-'TRADE IN'!$F107))</f>
        <v>7999</v>
      </c>
      <c r="L107" s="46">
        <f>IF(VLOOKUP($C107,REV!$C:$AA,10,0)-'TRADE IN'!$F107=0,"",(VLOOKUP($C107,REV!$C:$AA,10,0)-'TRADE IN'!$F107))</f>
        <v>7999</v>
      </c>
      <c r="M107" s="46">
        <f>IF(VLOOKUP($C107,REV!$C:$AA,11,0)-'TRADE IN'!$F107=0,"",(VLOOKUP($C107,REV!$C:$AA,11,0)-'TRADE IN'!$F107))</f>
        <v>7999</v>
      </c>
      <c r="N107" s="46">
        <f>IF(VLOOKUP($C107,REV!$C:$AA,12,0)-'TRADE IN'!$F107=0,"",(VLOOKUP($C107,REV!$C:$AA,12,0)-'TRADE IN'!$F107))</f>
        <v>7999</v>
      </c>
      <c r="O107" s="46">
        <f>IF(VLOOKUP($C107,REV!$C:$AA,13,0)-'TRADE IN'!$F107=0,"",(VLOOKUP($C107,REV!$C:$AA,13,0)-'TRADE IN'!$F107))</f>
        <v>7899</v>
      </c>
      <c r="P107" s="46">
        <f>IF(VLOOKUP($C107,REV!$C:$AA,14,0)-'TRADE IN'!$F107=0,"",(VLOOKUP($C107,REV!$C:$AA,14,0)-'TRADE IN'!$F107))</f>
        <v>7799</v>
      </c>
      <c r="Q107" s="46">
        <f>IF(VLOOKUP($C107,REV!$C:$AA,15,0)-'TRADE IN'!$F107=0,"",(VLOOKUP($C107,REV!$C:$AA,15,0)-'TRADE IN'!$F107))</f>
        <v>7499</v>
      </c>
      <c r="R107" s="46">
        <f>IF(VLOOKUP($C107,REV!$C:$AA,16,0)-'TRADE IN'!$F107=0,"",(VLOOKUP($C107,REV!$C:$AA,16,0)-'TRADE IN'!$F107))</f>
        <v>7899</v>
      </c>
      <c r="S107" s="46">
        <f>IF(VLOOKUP($C107,REV!$C:$AA,17,0)-'TRADE IN'!$F107=0,"",(VLOOKUP($C107,REV!$C:$AA,17,0)-'TRADE IN'!$F107))</f>
        <v>7799</v>
      </c>
      <c r="T107" s="46">
        <f>IF(VLOOKUP($C107,REV!$C:$AA,18,0)-'TRADE IN'!$F107=0,"",(VLOOKUP($C107,REV!$C:$AA,18,0)-'TRADE IN'!$F107))</f>
        <v>7499</v>
      </c>
      <c r="U107" s="46">
        <f>IF(VLOOKUP($C107,REV!$C:$AA,19,0)-'TRADE IN'!$F107=0,"",(VLOOKUP($C107,REV!$C:$AA,19,0)-'TRADE IN'!$F107))</f>
        <v>7499</v>
      </c>
      <c r="V107" s="46">
        <f>IF(VLOOKUP($C107,REV!$C:$AA,20,0)-'TRADE IN'!$F107=0,"",(VLOOKUP($C107,REV!$C:$AA,20,0)-'TRADE IN'!$F107))</f>
        <v>7499</v>
      </c>
      <c r="W107" s="46">
        <f>IF(VLOOKUP($C107,REV!$C:$AA,21,0)-'TRADE IN'!$F107=0,"",(VLOOKUP($C107,REV!$C:$AA,21,0)-'TRADE IN'!$F107))</f>
        <v>7499</v>
      </c>
      <c r="X107" s="46">
        <f>IF(VLOOKUP($C107,REV!$C:$AA,22,0)-'TRADE IN'!$F107=0,"",(VLOOKUP($C107,REV!$C:$AA,22,0)-'TRADE IN'!$F107))</f>
        <v>7399</v>
      </c>
      <c r="Y107" s="46">
        <f>IF(VLOOKUP($C107,REV!$C:$AA,23,0)-'TRADE IN'!$F107=0,"",(VLOOKUP($C107,REV!$C:$AA,23,0)-'TRADE IN'!$F107))</f>
        <v>6799</v>
      </c>
      <c r="Z107" s="46">
        <f>IF(VLOOKUP($C107,REV!$C:$AA,24,0)-'TRADE IN'!$F107=0,"",(VLOOKUP($C107,REV!$C:$AA,24,0)-'TRADE IN'!$F107))</f>
        <v>6799</v>
      </c>
      <c r="AA107" s="46">
        <f>IF(VLOOKUP($C107,REV!$C:$AA,25,0)-'TRADE IN'!$F107=0,"",(VLOOKUP($C107,REV!$C:$AA,25,0)-'TRADE IN'!$F107))</f>
        <v>5799</v>
      </c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7"/>
      <c r="AW107" s="48" t="str">
        <f>REV!AW107</f>
        <v>01.12.2026</v>
      </c>
      <c r="AX107" s="153" t="str">
        <f>VLOOKUP(C107,REV!C:AX,48,0)</f>
        <v>5G</v>
      </c>
    </row>
    <row r="108" spans="1:50" ht="22.5" customHeight="1">
      <c r="A108" s="41" t="s">
        <v>63</v>
      </c>
      <c r="B108" s="42" t="s">
        <v>64</v>
      </c>
      <c r="C108" s="43">
        <v>4017487</v>
      </c>
      <c r="D108" s="44" t="s">
        <v>191</v>
      </c>
      <c r="E108" s="44" t="s">
        <v>192</v>
      </c>
      <c r="F108" s="45"/>
      <c r="G108" s="45"/>
      <c r="H108" s="45"/>
      <c r="I108" s="45"/>
      <c r="J108" s="46">
        <f>IF(VLOOKUP($C108,REV!$C:$AA,8,0)-'TRADE IN'!$F108=0,"",(VLOOKUP($C108,REV!$C:$AA,8,0)-'TRADE IN'!$F108))</f>
        <v>10799</v>
      </c>
      <c r="K108" s="46">
        <f>IF(VLOOKUP($C108,REV!$C:$AA,9,0)-'TRADE IN'!$F108=0,"",(VLOOKUP($C108,REV!$C:$AA,9,0)-'TRADE IN'!$F108))</f>
        <v>10799</v>
      </c>
      <c r="L108" s="46">
        <f>IF(VLOOKUP($C108,REV!$C:$AA,10,0)-'TRADE IN'!$F108=0,"",(VLOOKUP($C108,REV!$C:$AA,10,0)-'TRADE IN'!$F108))</f>
        <v>10799</v>
      </c>
      <c r="M108" s="46">
        <f>IF(VLOOKUP($C108,REV!$C:$AA,11,0)-'TRADE IN'!$F108=0,"",(VLOOKUP($C108,REV!$C:$AA,11,0)-'TRADE IN'!$F108))</f>
        <v>10799</v>
      </c>
      <c r="N108" s="46">
        <f>IF(VLOOKUP($C108,REV!$C:$AA,12,0)-'TRADE IN'!$F108=0,"",(VLOOKUP($C108,REV!$C:$AA,12,0)-'TRADE IN'!$F108))</f>
        <v>10799</v>
      </c>
      <c r="O108" s="46">
        <f>IF(VLOOKUP($C108,REV!$C:$AA,13,0)-'TRADE IN'!$F108=0,"",(VLOOKUP($C108,REV!$C:$AA,13,0)-'TRADE IN'!$F108))</f>
        <v>10699</v>
      </c>
      <c r="P108" s="46">
        <f>IF(VLOOKUP($C108,REV!$C:$AA,14,0)-'TRADE IN'!$F108=0,"",(VLOOKUP($C108,REV!$C:$AA,14,0)-'TRADE IN'!$F108))</f>
        <v>10599</v>
      </c>
      <c r="Q108" s="46">
        <f>IF(VLOOKUP($C108,REV!$C:$AA,15,0)-'TRADE IN'!$F108=0,"",(VLOOKUP($C108,REV!$C:$AA,15,0)-'TRADE IN'!$F108))</f>
        <v>9799</v>
      </c>
      <c r="R108" s="46">
        <f>IF(VLOOKUP($C108,REV!$C:$AA,16,0)-'TRADE IN'!$F108=0,"",(VLOOKUP($C108,REV!$C:$AA,16,0)-'TRADE IN'!$F108))</f>
        <v>10699</v>
      </c>
      <c r="S108" s="46">
        <f>IF(VLOOKUP($C108,REV!$C:$AA,17,0)-'TRADE IN'!$F108=0,"",(VLOOKUP($C108,REV!$C:$AA,17,0)-'TRADE IN'!$F108))</f>
        <v>10599</v>
      </c>
      <c r="T108" s="46">
        <f>IF(VLOOKUP($C108,REV!$C:$AA,18,0)-'TRADE IN'!$F108=0,"",(VLOOKUP($C108,REV!$C:$AA,18,0)-'TRADE IN'!$F108))</f>
        <v>9799</v>
      </c>
      <c r="U108" s="46">
        <f>IF(VLOOKUP($C108,REV!$C:$AA,19,0)-'TRADE IN'!$F108=0,"",(VLOOKUP($C108,REV!$C:$AA,19,0)-'TRADE IN'!$F108))</f>
        <v>9799</v>
      </c>
      <c r="V108" s="46">
        <f>IF(VLOOKUP($C108,REV!$C:$AA,20,0)-'TRADE IN'!$F108=0,"",(VLOOKUP($C108,REV!$C:$AA,20,0)-'TRADE IN'!$F108))</f>
        <v>9799</v>
      </c>
      <c r="W108" s="46">
        <f>IF(VLOOKUP($C108,REV!$C:$AA,21,0)-'TRADE IN'!$F108=0,"",(VLOOKUP($C108,REV!$C:$AA,21,0)-'TRADE IN'!$F108))</f>
        <v>9699</v>
      </c>
      <c r="X108" s="46">
        <f>IF(VLOOKUP($C108,REV!$C:$AA,22,0)-'TRADE IN'!$F108=0,"",(VLOOKUP($C108,REV!$C:$AA,22,0)-'TRADE IN'!$F108))</f>
        <v>9699</v>
      </c>
      <c r="Y108" s="46">
        <f>IF(VLOOKUP($C108,REV!$C:$AA,23,0)-'TRADE IN'!$F108=0,"",(VLOOKUP($C108,REV!$C:$AA,23,0)-'TRADE IN'!$F108))</f>
        <v>8799</v>
      </c>
      <c r="Z108" s="46">
        <f>IF(VLOOKUP($C108,REV!$C:$AA,24,0)-'TRADE IN'!$F108=0,"",(VLOOKUP($C108,REV!$C:$AA,24,0)-'TRADE IN'!$F108))</f>
        <v>8799</v>
      </c>
      <c r="AA108" s="46">
        <f>IF(VLOOKUP($C108,REV!$C:$AA,25,0)-'TRADE IN'!$F108=0,"",(VLOOKUP($C108,REV!$C:$AA,25,0)-'TRADE IN'!$F108))</f>
        <v>8799</v>
      </c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7"/>
      <c r="AW108" s="48" t="str">
        <f>REV!AW108</f>
        <v>01.12.2026</v>
      </c>
      <c r="AX108" s="153" t="str">
        <f>VLOOKUP(C108,REV!C:AX,48,0)</f>
        <v>5G</v>
      </c>
    </row>
    <row r="109" spans="1:50" ht="22.5" customHeight="1">
      <c r="A109" s="41" t="s">
        <v>63</v>
      </c>
      <c r="B109" s="42" t="s">
        <v>64</v>
      </c>
      <c r="C109" s="43">
        <v>4017510</v>
      </c>
      <c r="D109" s="44" t="s">
        <v>191</v>
      </c>
      <c r="E109" s="44" t="s">
        <v>193</v>
      </c>
      <c r="F109" s="45"/>
      <c r="G109" s="45"/>
      <c r="H109" s="45"/>
      <c r="I109" s="45"/>
      <c r="J109" s="46">
        <f>IF(VLOOKUP($C109,REV!$C:$AA,8,0)-'TRADE IN'!$F109=0,"",(VLOOKUP($C109,REV!$C:$AA,8,0)-'TRADE IN'!$F109))</f>
        <v>10799</v>
      </c>
      <c r="K109" s="46">
        <f>IF(VLOOKUP($C109,REV!$C:$AA,9,0)-'TRADE IN'!$F109=0,"",(VLOOKUP($C109,REV!$C:$AA,9,0)-'TRADE IN'!$F109))</f>
        <v>10799</v>
      </c>
      <c r="L109" s="46">
        <f>IF(VLOOKUP($C109,REV!$C:$AA,10,0)-'TRADE IN'!$F109=0,"",(VLOOKUP($C109,REV!$C:$AA,10,0)-'TRADE IN'!$F109))</f>
        <v>10799</v>
      </c>
      <c r="M109" s="46">
        <f>IF(VLOOKUP($C109,REV!$C:$AA,11,0)-'TRADE IN'!$F109=0,"",(VLOOKUP($C109,REV!$C:$AA,11,0)-'TRADE IN'!$F109))</f>
        <v>10799</v>
      </c>
      <c r="N109" s="46">
        <f>IF(VLOOKUP($C109,REV!$C:$AA,12,0)-'TRADE IN'!$F109=0,"",(VLOOKUP($C109,REV!$C:$AA,12,0)-'TRADE IN'!$F109))</f>
        <v>10799</v>
      </c>
      <c r="O109" s="46">
        <f>IF(VLOOKUP($C109,REV!$C:$AA,13,0)-'TRADE IN'!$F109=0,"",(VLOOKUP($C109,REV!$C:$AA,13,0)-'TRADE IN'!$F109))</f>
        <v>10699</v>
      </c>
      <c r="P109" s="46">
        <f>IF(VLOOKUP($C109,REV!$C:$AA,14,0)-'TRADE IN'!$F109=0,"",(VLOOKUP($C109,REV!$C:$AA,14,0)-'TRADE IN'!$F109))</f>
        <v>10599</v>
      </c>
      <c r="Q109" s="46">
        <f>IF(VLOOKUP($C109,REV!$C:$AA,15,0)-'TRADE IN'!$F109=0,"",(VLOOKUP($C109,REV!$C:$AA,15,0)-'TRADE IN'!$F109))</f>
        <v>9799</v>
      </c>
      <c r="R109" s="46">
        <f>IF(VLOOKUP($C109,REV!$C:$AA,16,0)-'TRADE IN'!$F109=0,"",(VLOOKUP($C109,REV!$C:$AA,16,0)-'TRADE IN'!$F109))</f>
        <v>10699</v>
      </c>
      <c r="S109" s="46">
        <f>IF(VLOOKUP($C109,REV!$C:$AA,17,0)-'TRADE IN'!$F109=0,"",(VLOOKUP($C109,REV!$C:$AA,17,0)-'TRADE IN'!$F109))</f>
        <v>10599</v>
      </c>
      <c r="T109" s="46">
        <f>IF(VLOOKUP($C109,REV!$C:$AA,18,0)-'TRADE IN'!$F109=0,"",(VLOOKUP($C109,REV!$C:$AA,18,0)-'TRADE IN'!$F109))</f>
        <v>9799</v>
      </c>
      <c r="U109" s="46">
        <f>IF(VLOOKUP($C109,REV!$C:$AA,19,0)-'TRADE IN'!$F109=0,"",(VLOOKUP($C109,REV!$C:$AA,19,0)-'TRADE IN'!$F109))</f>
        <v>9799</v>
      </c>
      <c r="V109" s="46">
        <f>IF(VLOOKUP($C109,REV!$C:$AA,20,0)-'TRADE IN'!$F109=0,"",(VLOOKUP($C109,REV!$C:$AA,20,0)-'TRADE IN'!$F109))</f>
        <v>9799</v>
      </c>
      <c r="W109" s="46">
        <f>IF(VLOOKUP($C109,REV!$C:$AA,21,0)-'TRADE IN'!$F109=0,"",(VLOOKUP($C109,REV!$C:$AA,21,0)-'TRADE IN'!$F109))</f>
        <v>9699</v>
      </c>
      <c r="X109" s="46">
        <f>IF(VLOOKUP($C109,REV!$C:$AA,22,0)-'TRADE IN'!$F109=0,"",(VLOOKUP($C109,REV!$C:$AA,22,0)-'TRADE IN'!$F109))</f>
        <v>9699</v>
      </c>
      <c r="Y109" s="46">
        <f>IF(VLOOKUP($C109,REV!$C:$AA,23,0)-'TRADE IN'!$F109=0,"",(VLOOKUP($C109,REV!$C:$AA,23,0)-'TRADE IN'!$F109))</f>
        <v>8799</v>
      </c>
      <c r="Z109" s="46">
        <f>IF(VLOOKUP($C109,REV!$C:$AA,24,0)-'TRADE IN'!$F109=0,"",(VLOOKUP($C109,REV!$C:$AA,24,0)-'TRADE IN'!$F109))</f>
        <v>8799</v>
      </c>
      <c r="AA109" s="46">
        <f>IF(VLOOKUP($C109,REV!$C:$AA,25,0)-'TRADE IN'!$F109=0,"",(VLOOKUP($C109,REV!$C:$AA,25,0)-'TRADE IN'!$F109))</f>
        <v>8799</v>
      </c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7"/>
      <c r="AW109" s="48" t="str">
        <f>REV!AW109</f>
        <v>01.12.2026</v>
      </c>
      <c r="AX109" s="153" t="str">
        <f>VLOOKUP(C109,REV!C:AX,48,0)</f>
        <v>5G</v>
      </c>
    </row>
    <row r="110" spans="1:50" ht="22.5" customHeight="1">
      <c r="A110" s="41" t="s">
        <v>63</v>
      </c>
      <c r="B110" s="42" t="s">
        <v>64</v>
      </c>
      <c r="C110" s="43">
        <v>4017513</v>
      </c>
      <c r="D110" s="44" t="s">
        <v>191</v>
      </c>
      <c r="E110" s="44" t="s">
        <v>194</v>
      </c>
      <c r="F110" s="45"/>
      <c r="G110" s="45"/>
      <c r="H110" s="45"/>
      <c r="I110" s="45"/>
      <c r="J110" s="46">
        <f>IF(VLOOKUP($C110,REV!$C:$AA,8,0)-'TRADE IN'!$F110=0,"",(VLOOKUP($C110,REV!$C:$AA,8,0)-'TRADE IN'!$F110))</f>
        <v>10799</v>
      </c>
      <c r="K110" s="46">
        <f>IF(VLOOKUP($C110,REV!$C:$AA,9,0)-'TRADE IN'!$F110=0,"",(VLOOKUP($C110,REV!$C:$AA,9,0)-'TRADE IN'!$F110))</f>
        <v>10799</v>
      </c>
      <c r="L110" s="46">
        <f>IF(VLOOKUP($C110,REV!$C:$AA,10,0)-'TRADE IN'!$F110=0,"",(VLOOKUP($C110,REV!$C:$AA,10,0)-'TRADE IN'!$F110))</f>
        <v>10799</v>
      </c>
      <c r="M110" s="46">
        <f>IF(VLOOKUP($C110,REV!$C:$AA,11,0)-'TRADE IN'!$F110=0,"",(VLOOKUP($C110,REV!$C:$AA,11,0)-'TRADE IN'!$F110))</f>
        <v>10799</v>
      </c>
      <c r="N110" s="46">
        <f>IF(VLOOKUP($C110,REV!$C:$AA,12,0)-'TRADE IN'!$F110=0,"",(VLOOKUP($C110,REV!$C:$AA,12,0)-'TRADE IN'!$F110))</f>
        <v>10799</v>
      </c>
      <c r="O110" s="46">
        <f>IF(VLOOKUP($C110,REV!$C:$AA,13,0)-'TRADE IN'!$F110=0,"",(VLOOKUP($C110,REV!$C:$AA,13,0)-'TRADE IN'!$F110))</f>
        <v>10699</v>
      </c>
      <c r="P110" s="46">
        <f>IF(VLOOKUP($C110,REV!$C:$AA,14,0)-'TRADE IN'!$F110=0,"",(VLOOKUP($C110,REV!$C:$AA,14,0)-'TRADE IN'!$F110))</f>
        <v>10599</v>
      </c>
      <c r="Q110" s="46">
        <f>IF(VLOOKUP($C110,REV!$C:$AA,15,0)-'TRADE IN'!$F110=0,"",(VLOOKUP($C110,REV!$C:$AA,15,0)-'TRADE IN'!$F110))</f>
        <v>9799</v>
      </c>
      <c r="R110" s="46">
        <f>IF(VLOOKUP($C110,REV!$C:$AA,16,0)-'TRADE IN'!$F110=0,"",(VLOOKUP($C110,REV!$C:$AA,16,0)-'TRADE IN'!$F110))</f>
        <v>10699</v>
      </c>
      <c r="S110" s="46">
        <f>IF(VLOOKUP($C110,REV!$C:$AA,17,0)-'TRADE IN'!$F110=0,"",(VLOOKUP($C110,REV!$C:$AA,17,0)-'TRADE IN'!$F110))</f>
        <v>10599</v>
      </c>
      <c r="T110" s="46">
        <f>IF(VLOOKUP($C110,REV!$C:$AA,18,0)-'TRADE IN'!$F110=0,"",(VLOOKUP($C110,REV!$C:$AA,18,0)-'TRADE IN'!$F110))</f>
        <v>9799</v>
      </c>
      <c r="U110" s="46">
        <f>IF(VLOOKUP($C110,REV!$C:$AA,19,0)-'TRADE IN'!$F110=0,"",(VLOOKUP($C110,REV!$C:$AA,19,0)-'TRADE IN'!$F110))</f>
        <v>9799</v>
      </c>
      <c r="V110" s="46">
        <f>IF(VLOOKUP($C110,REV!$C:$AA,20,0)-'TRADE IN'!$F110=0,"",(VLOOKUP($C110,REV!$C:$AA,20,0)-'TRADE IN'!$F110))</f>
        <v>9799</v>
      </c>
      <c r="W110" s="46">
        <f>IF(VLOOKUP($C110,REV!$C:$AA,21,0)-'TRADE IN'!$F110=0,"",(VLOOKUP($C110,REV!$C:$AA,21,0)-'TRADE IN'!$F110))</f>
        <v>9699</v>
      </c>
      <c r="X110" s="46">
        <f>IF(VLOOKUP($C110,REV!$C:$AA,22,0)-'TRADE IN'!$F110=0,"",(VLOOKUP($C110,REV!$C:$AA,22,0)-'TRADE IN'!$F110))</f>
        <v>9699</v>
      </c>
      <c r="Y110" s="46">
        <f>IF(VLOOKUP($C110,REV!$C:$AA,23,0)-'TRADE IN'!$F110=0,"",(VLOOKUP($C110,REV!$C:$AA,23,0)-'TRADE IN'!$F110))</f>
        <v>8799</v>
      </c>
      <c r="Z110" s="46">
        <f>IF(VLOOKUP($C110,REV!$C:$AA,24,0)-'TRADE IN'!$F110=0,"",(VLOOKUP($C110,REV!$C:$AA,24,0)-'TRADE IN'!$F110))</f>
        <v>8799</v>
      </c>
      <c r="AA110" s="46">
        <f>IF(VLOOKUP($C110,REV!$C:$AA,25,0)-'TRADE IN'!$F110=0,"",(VLOOKUP($C110,REV!$C:$AA,25,0)-'TRADE IN'!$F110))</f>
        <v>8799</v>
      </c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7"/>
      <c r="AW110" s="48" t="str">
        <f>REV!AW110</f>
        <v>01.12.2026</v>
      </c>
      <c r="AX110" s="153" t="str">
        <f>VLOOKUP(C110,REV!C:AX,48,0)</f>
        <v>5G</v>
      </c>
    </row>
    <row r="111" spans="1:50" ht="22.5" customHeight="1">
      <c r="A111" s="41" t="s">
        <v>63</v>
      </c>
      <c r="B111" s="42" t="s">
        <v>64</v>
      </c>
      <c r="C111" s="43">
        <v>4017488</v>
      </c>
      <c r="D111" s="44" t="s">
        <v>195</v>
      </c>
      <c r="E111" s="44" t="s">
        <v>196</v>
      </c>
      <c r="F111" s="45"/>
      <c r="G111" s="45"/>
      <c r="H111" s="45"/>
      <c r="I111" s="45"/>
      <c r="J111" s="46">
        <f>IF(VLOOKUP($C111,REV!$C:$AA,8,0)-'TRADE IN'!$F111=0,"",(VLOOKUP($C111,REV!$C:$AA,8,0)-'TRADE IN'!$F111))</f>
        <v>12199</v>
      </c>
      <c r="K111" s="46">
        <f>IF(VLOOKUP($C111,REV!$C:$AA,9,0)-'TRADE IN'!$F111=0,"",(VLOOKUP($C111,REV!$C:$AA,9,0)-'TRADE IN'!$F111))</f>
        <v>12199</v>
      </c>
      <c r="L111" s="46">
        <f>IF(VLOOKUP($C111,REV!$C:$AA,10,0)-'TRADE IN'!$F111=0,"",(VLOOKUP($C111,REV!$C:$AA,10,0)-'TRADE IN'!$F111))</f>
        <v>12199</v>
      </c>
      <c r="M111" s="46">
        <f>IF(VLOOKUP($C111,REV!$C:$AA,11,0)-'TRADE IN'!$F111=0,"",(VLOOKUP($C111,REV!$C:$AA,11,0)-'TRADE IN'!$F111))</f>
        <v>12199</v>
      </c>
      <c r="N111" s="46">
        <f>IF(VLOOKUP($C111,REV!$C:$AA,12,0)-'TRADE IN'!$F111=0,"",(VLOOKUP($C111,REV!$C:$AA,12,0)-'TRADE IN'!$F111))</f>
        <v>12199</v>
      </c>
      <c r="O111" s="46">
        <f>IF(VLOOKUP($C111,REV!$C:$AA,13,0)-'TRADE IN'!$F111=0,"",(VLOOKUP($C111,REV!$C:$AA,13,0)-'TRADE IN'!$F111))</f>
        <v>12099</v>
      </c>
      <c r="P111" s="46">
        <f>IF(VLOOKUP($C111,REV!$C:$AA,14,0)-'TRADE IN'!$F111=0,"",(VLOOKUP($C111,REV!$C:$AA,14,0)-'TRADE IN'!$F111))</f>
        <v>11999</v>
      </c>
      <c r="Q111" s="46">
        <f>IF(VLOOKUP($C111,REV!$C:$AA,15,0)-'TRADE IN'!$F111=0,"",(VLOOKUP($C111,REV!$C:$AA,15,0)-'TRADE IN'!$F111))</f>
        <v>11199</v>
      </c>
      <c r="R111" s="46">
        <f>IF(VLOOKUP($C111,REV!$C:$AA,16,0)-'TRADE IN'!$F111=0,"",(VLOOKUP($C111,REV!$C:$AA,16,0)-'TRADE IN'!$F111))</f>
        <v>12099</v>
      </c>
      <c r="S111" s="46">
        <f>IF(VLOOKUP($C111,REV!$C:$AA,17,0)-'TRADE IN'!$F111=0,"",(VLOOKUP($C111,REV!$C:$AA,17,0)-'TRADE IN'!$F111))</f>
        <v>11999</v>
      </c>
      <c r="T111" s="46">
        <f>IF(VLOOKUP($C111,REV!$C:$AA,18,0)-'TRADE IN'!$F111=0,"",(VLOOKUP($C111,REV!$C:$AA,18,0)-'TRADE IN'!$F111))</f>
        <v>11199</v>
      </c>
      <c r="U111" s="46">
        <f>IF(VLOOKUP($C111,REV!$C:$AA,19,0)-'TRADE IN'!$F111=0,"",(VLOOKUP($C111,REV!$C:$AA,19,0)-'TRADE IN'!$F111))</f>
        <v>11199</v>
      </c>
      <c r="V111" s="46">
        <f>IF(VLOOKUP($C111,REV!$C:$AA,20,0)-'TRADE IN'!$F111=0,"",(VLOOKUP($C111,REV!$C:$AA,20,0)-'TRADE IN'!$F111))</f>
        <v>11199</v>
      </c>
      <c r="W111" s="46">
        <f>IF(VLOOKUP($C111,REV!$C:$AA,21,0)-'TRADE IN'!$F111=0,"",(VLOOKUP($C111,REV!$C:$AA,21,0)-'TRADE IN'!$F111))</f>
        <v>11099</v>
      </c>
      <c r="X111" s="46">
        <f>IF(VLOOKUP($C111,REV!$C:$AA,22,0)-'TRADE IN'!$F111=0,"",(VLOOKUP($C111,REV!$C:$AA,22,0)-'TRADE IN'!$F111))</f>
        <v>11099</v>
      </c>
      <c r="Y111" s="46">
        <f>IF(VLOOKUP($C111,REV!$C:$AA,23,0)-'TRADE IN'!$F111=0,"",(VLOOKUP($C111,REV!$C:$AA,23,0)-'TRADE IN'!$F111))</f>
        <v>9999</v>
      </c>
      <c r="Z111" s="46">
        <f>IF(VLOOKUP($C111,REV!$C:$AA,24,0)-'TRADE IN'!$F111=0,"",(VLOOKUP($C111,REV!$C:$AA,24,0)-'TRADE IN'!$F111))</f>
        <v>9999</v>
      </c>
      <c r="AA111" s="46">
        <f>IF(VLOOKUP($C111,REV!$C:$AA,25,0)-'TRADE IN'!$F111=0,"",(VLOOKUP($C111,REV!$C:$AA,25,0)-'TRADE IN'!$F111))</f>
        <v>9899</v>
      </c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7"/>
      <c r="AW111" s="48" t="str">
        <f>REV!AW111</f>
        <v>01.12.2026</v>
      </c>
      <c r="AX111" s="153" t="str">
        <f>VLOOKUP(C111,REV!C:AX,48,0)</f>
        <v>5G</v>
      </c>
    </row>
    <row r="112" spans="1:50" ht="22.5" customHeight="1">
      <c r="A112" s="41" t="s">
        <v>63</v>
      </c>
      <c r="B112" s="42" t="s">
        <v>64</v>
      </c>
      <c r="C112" s="43">
        <v>4017508</v>
      </c>
      <c r="D112" s="44" t="s">
        <v>195</v>
      </c>
      <c r="E112" s="44" t="s">
        <v>197</v>
      </c>
      <c r="F112" s="45"/>
      <c r="G112" s="45"/>
      <c r="H112" s="45"/>
      <c r="I112" s="45"/>
      <c r="J112" s="46">
        <f>IF(VLOOKUP($C112,REV!$C:$AA,8,0)-'TRADE IN'!$F112=0,"",(VLOOKUP($C112,REV!$C:$AA,8,0)-'TRADE IN'!$F112))</f>
        <v>12199</v>
      </c>
      <c r="K112" s="46">
        <f>IF(VLOOKUP($C112,REV!$C:$AA,9,0)-'TRADE IN'!$F112=0,"",(VLOOKUP($C112,REV!$C:$AA,9,0)-'TRADE IN'!$F112))</f>
        <v>12199</v>
      </c>
      <c r="L112" s="46">
        <f>IF(VLOOKUP($C112,REV!$C:$AA,10,0)-'TRADE IN'!$F112=0,"",(VLOOKUP($C112,REV!$C:$AA,10,0)-'TRADE IN'!$F112))</f>
        <v>12199</v>
      </c>
      <c r="M112" s="46">
        <f>IF(VLOOKUP($C112,REV!$C:$AA,11,0)-'TRADE IN'!$F112=0,"",(VLOOKUP($C112,REV!$C:$AA,11,0)-'TRADE IN'!$F112))</f>
        <v>12199</v>
      </c>
      <c r="N112" s="46">
        <f>IF(VLOOKUP($C112,REV!$C:$AA,12,0)-'TRADE IN'!$F112=0,"",(VLOOKUP($C112,REV!$C:$AA,12,0)-'TRADE IN'!$F112))</f>
        <v>12199</v>
      </c>
      <c r="O112" s="46">
        <f>IF(VLOOKUP($C112,REV!$C:$AA,13,0)-'TRADE IN'!$F112=0,"",(VLOOKUP($C112,REV!$C:$AA,13,0)-'TRADE IN'!$F112))</f>
        <v>12099</v>
      </c>
      <c r="P112" s="46">
        <f>IF(VLOOKUP($C112,REV!$C:$AA,14,0)-'TRADE IN'!$F112=0,"",(VLOOKUP($C112,REV!$C:$AA,14,0)-'TRADE IN'!$F112))</f>
        <v>11999</v>
      </c>
      <c r="Q112" s="46">
        <f>IF(VLOOKUP($C112,REV!$C:$AA,15,0)-'TRADE IN'!$F112=0,"",(VLOOKUP($C112,REV!$C:$AA,15,0)-'TRADE IN'!$F112))</f>
        <v>11199</v>
      </c>
      <c r="R112" s="46">
        <f>IF(VLOOKUP($C112,REV!$C:$AA,16,0)-'TRADE IN'!$F112=0,"",(VLOOKUP($C112,REV!$C:$AA,16,0)-'TRADE IN'!$F112))</f>
        <v>12099</v>
      </c>
      <c r="S112" s="46">
        <f>IF(VLOOKUP($C112,REV!$C:$AA,17,0)-'TRADE IN'!$F112=0,"",(VLOOKUP($C112,REV!$C:$AA,17,0)-'TRADE IN'!$F112))</f>
        <v>11999</v>
      </c>
      <c r="T112" s="46">
        <f>IF(VLOOKUP($C112,REV!$C:$AA,18,0)-'TRADE IN'!$F112=0,"",(VLOOKUP($C112,REV!$C:$AA,18,0)-'TRADE IN'!$F112))</f>
        <v>11199</v>
      </c>
      <c r="U112" s="46">
        <f>IF(VLOOKUP($C112,REV!$C:$AA,19,0)-'TRADE IN'!$F112=0,"",(VLOOKUP($C112,REV!$C:$AA,19,0)-'TRADE IN'!$F112))</f>
        <v>11199</v>
      </c>
      <c r="V112" s="46">
        <f>IF(VLOOKUP($C112,REV!$C:$AA,20,0)-'TRADE IN'!$F112=0,"",(VLOOKUP($C112,REV!$C:$AA,20,0)-'TRADE IN'!$F112))</f>
        <v>11199</v>
      </c>
      <c r="W112" s="46">
        <f>IF(VLOOKUP($C112,REV!$C:$AA,21,0)-'TRADE IN'!$F112=0,"",(VLOOKUP($C112,REV!$C:$AA,21,0)-'TRADE IN'!$F112))</f>
        <v>11099</v>
      </c>
      <c r="X112" s="46">
        <f>IF(VLOOKUP($C112,REV!$C:$AA,22,0)-'TRADE IN'!$F112=0,"",(VLOOKUP($C112,REV!$C:$AA,22,0)-'TRADE IN'!$F112))</f>
        <v>11099</v>
      </c>
      <c r="Y112" s="46">
        <f>IF(VLOOKUP($C112,REV!$C:$AA,23,0)-'TRADE IN'!$F112=0,"",(VLOOKUP($C112,REV!$C:$AA,23,0)-'TRADE IN'!$F112))</f>
        <v>9999</v>
      </c>
      <c r="Z112" s="46">
        <f>IF(VLOOKUP($C112,REV!$C:$AA,24,0)-'TRADE IN'!$F112=0,"",(VLOOKUP($C112,REV!$C:$AA,24,0)-'TRADE IN'!$F112))</f>
        <v>9999</v>
      </c>
      <c r="AA112" s="46">
        <f>IF(VLOOKUP($C112,REV!$C:$AA,25,0)-'TRADE IN'!$F112=0,"",(VLOOKUP($C112,REV!$C:$AA,25,0)-'TRADE IN'!$F112))</f>
        <v>9899</v>
      </c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7"/>
      <c r="AW112" s="48" t="str">
        <f>REV!AW112</f>
        <v>01.12.2026</v>
      </c>
      <c r="AX112" s="153" t="str">
        <f>VLOOKUP(C112,REV!C:AX,48,0)</f>
        <v>5G</v>
      </c>
    </row>
    <row r="113" spans="1:50" ht="22.5" customHeight="1">
      <c r="A113" s="41" t="s">
        <v>63</v>
      </c>
      <c r="B113" s="42" t="s">
        <v>64</v>
      </c>
      <c r="C113" s="43">
        <v>4017489</v>
      </c>
      <c r="D113" s="44" t="s">
        <v>195</v>
      </c>
      <c r="E113" s="44" t="s">
        <v>198</v>
      </c>
      <c r="F113" s="45"/>
      <c r="G113" s="45"/>
      <c r="H113" s="45"/>
      <c r="I113" s="45"/>
      <c r="J113" s="46">
        <f>IF(VLOOKUP($C113,REV!$C:$AA,8,0)-'TRADE IN'!$F113=0,"",(VLOOKUP($C113,REV!$C:$AA,8,0)-'TRADE IN'!$F113))</f>
        <v>12199</v>
      </c>
      <c r="K113" s="46">
        <f>IF(VLOOKUP($C113,REV!$C:$AA,9,0)-'TRADE IN'!$F113=0,"",(VLOOKUP($C113,REV!$C:$AA,9,0)-'TRADE IN'!$F113))</f>
        <v>12199</v>
      </c>
      <c r="L113" s="46">
        <f>IF(VLOOKUP($C113,REV!$C:$AA,10,0)-'TRADE IN'!$F113=0,"",(VLOOKUP($C113,REV!$C:$AA,10,0)-'TRADE IN'!$F113))</f>
        <v>12199</v>
      </c>
      <c r="M113" s="46">
        <f>IF(VLOOKUP($C113,REV!$C:$AA,11,0)-'TRADE IN'!$F113=0,"",(VLOOKUP($C113,REV!$C:$AA,11,0)-'TRADE IN'!$F113))</f>
        <v>12199</v>
      </c>
      <c r="N113" s="46">
        <f>IF(VLOOKUP($C113,REV!$C:$AA,12,0)-'TRADE IN'!$F113=0,"",(VLOOKUP($C113,REV!$C:$AA,12,0)-'TRADE IN'!$F113))</f>
        <v>12199</v>
      </c>
      <c r="O113" s="46">
        <f>IF(VLOOKUP($C113,REV!$C:$AA,13,0)-'TRADE IN'!$F113=0,"",(VLOOKUP($C113,REV!$C:$AA,13,0)-'TRADE IN'!$F113))</f>
        <v>12099</v>
      </c>
      <c r="P113" s="46">
        <f>IF(VLOOKUP($C113,REV!$C:$AA,14,0)-'TRADE IN'!$F113=0,"",(VLOOKUP($C113,REV!$C:$AA,14,0)-'TRADE IN'!$F113))</f>
        <v>11999</v>
      </c>
      <c r="Q113" s="46">
        <f>IF(VLOOKUP($C113,REV!$C:$AA,15,0)-'TRADE IN'!$F113=0,"",(VLOOKUP($C113,REV!$C:$AA,15,0)-'TRADE IN'!$F113))</f>
        <v>11199</v>
      </c>
      <c r="R113" s="46">
        <f>IF(VLOOKUP($C113,REV!$C:$AA,16,0)-'TRADE IN'!$F113=0,"",(VLOOKUP($C113,REV!$C:$AA,16,0)-'TRADE IN'!$F113))</f>
        <v>12099</v>
      </c>
      <c r="S113" s="46">
        <f>IF(VLOOKUP($C113,REV!$C:$AA,17,0)-'TRADE IN'!$F113=0,"",(VLOOKUP($C113,REV!$C:$AA,17,0)-'TRADE IN'!$F113))</f>
        <v>11999</v>
      </c>
      <c r="T113" s="46">
        <f>IF(VLOOKUP($C113,REV!$C:$AA,18,0)-'TRADE IN'!$F113=0,"",(VLOOKUP($C113,REV!$C:$AA,18,0)-'TRADE IN'!$F113))</f>
        <v>11199</v>
      </c>
      <c r="U113" s="46">
        <f>IF(VLOOKUP($C113,REV!$C:$AA,19,0)-'TRADE IN'!$F113=0,"",(VLOOKUP($C113,REV!$C:$AA,19,0)-'TRADE IN'!$F113))</f>
        <v>11199</v>
      </c>
      <c r="V113" s="46">
        <f>IF(VLOOKUP($C113,REV!$C:$AA,20,0)-'TRADE IN'!$F113=0,"",(VLOOKUP($C113,REV!$C:$AA,20,0)-'TRADE IN'!$F113))</f>
        <v>11199</v>
      </c>
      <c r="W113" s="46">
        <f>IF(VLOOKUP($C113,REV!$C:$AA,21,0)-'TRADE IN'!$F113=0,"",(VLOOKUP($C113,REV!$C:$AA,21,0)-'TRADE IN'!$F113))</f>
        <v>11099</v>
      </c>
      <c r="X113" s="46">
        <f>IF(VLOOKUP($C113,REV!$C:$AA,22,0)-'TRADE IN'!$F113=0,"",(VLOOKUP($C113,REV!$C:$AA,22,0)-'TRADE IN'!$F113))</f>
        <v>11099</v>
      </c>
      <c r="Y113" s="46">
        <f>IF(VLOOKUP($C113,REV!$C:$AA,23,0)-'TRADE IN'!$F113=0,"",(VLOOKUP($C113,REV!$C:$AA,23,0)-'TRADE IN'!$F113))</f>
        <v>9999</v>
      </c>
      <c r="Z113" s="46">
        <f>IF(VLOOKUP($C113,REV!$C:$AA,24,0)-'TRADE IN'!$F113=0,"",(VLOOKUP($C113,REV!$C:$AA,24,0)-'TRADE IN'!$F113))</f>
        <v>9999</v>
      </c>
      <c r="AA113" s="46">
        <f>IF(VLOOKUP($C113,REV!$C:$AA,25,0)-'TRADE IN'!$F113=0,"",(VLOOKUP($C113,REV!$C:$AA,25,0)-'TRADE IN'!$F113))</f>
        <v>9899</v>
      </c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7"/>
      <c r="AW113" s="48" t="str">
        <f>REV!AW113</f>
        <v>01.12.2026</v>
      </c>
      <c r="AX113" s="153" t="str">
        <f>VLOOKUP(C113,REV!C:AX,48,0)</f>
        <v>5G</v>
      </c>
    </row>
    <row r="114" spans="1:50" ht="22.5" customHeight="1">
      <c r="A114" s="41" t="s">
        <v>63</v>
      </c>
      <c r="B114" s="42" t="s">
        <v>64</v>
      </c>
      <c r="C114" s="43">
        <v>4017493</v>
      </c>
      <c r="D114" s="44" t="s">
        <v>199</v>
      </c>
      <c r="E114" s="44" t="s">
        <v>200</v>
      </c>
      <c r="F114" s="45"/>
      <c r="G114" s="45"/>
      <c r="H114" s="45"/>
      <c r="I114" s="45"/>
      <c r="J114" s="46">
        <f>IF(VLOOKUP($C114,REV!$C:$AA,8,0)-'TRADE IN'!$F114=0,"",(VLOOKUP($C114,REV!$C:$AA,8,0)-'TRADE IN'!$F114))</f>
        <v>11699</v>
      </c>
      <c r="K114" s="46">
        <f>IF(VLOOKUP($C114,REV!$C:$AA,9,0)-'TRADE IN'!$F114=0,"",(VLOOKUP($C114,REV!$C:$AA,9,0)-'TRADE IN'!$F114))</f>
        <v>11699</v>
      </c>
      <c r="L114" s="46">
        <f>IF(VLOOKUP($C114,REV!$C:$AA,10,0)-'TRADE IN'!$F114=0,"",(VLOOKUP($C114,REV!$C:$AA,10,0)-'TRADE IN'!$F114))</f>
        <v>11699</v>
      </c>
      <c r="M114" s="46">
        <f>IF(VLOOKUP($C114,REV!$C:$AA,11,0)-'TRADE IN'!$F114=0,"",(VLOOKUP($C114,REV!$C:$AA,11,0)-'TRADE IN'!$F114))</f>
        <v>11699</v>
      </c>
      <c r="N114" s="46">
        <f>IF(VLOOKUP($C114,REV!$C:$AA,12,0)-'TRADE IN'!$F114=0,"",(VLOOKUP($C114,REV!$C:$AA,12,0)-'TRADE IN'!$F114))</f>
        <v>11699</v>
      </c>
      <c r="O114" s="46">
        <f>IF(VLOOKUP($C114,REV!$C:$AA,13,0)-'TRADE IN'!$F114=0,"",(VLOOKUP($C114,REV!$C:$AA,13,0)-'TRADE IN'!$F114))</f>
        <v>11599</v>
      </c>
      <c r="P114" s="46">
        <f>IF(VLOOKUP($C114,REV!$C:$AA,14,0)-'TRADE IN'!$F114=0,"",(VLOOKUP($C114,REV!$C:$AA,14,0)-'TRADE IN'!$F114))</f>
        <v>11499</v>
      </c>
      <c r="Q114" s="46">
        <f>IF(VLOOKUP($C114,REV!$C:$AA,15,0)-'TRADE IN'!$F114=0,"",(VLOOKUP($C114,REV!$C:$AA,15,0)-'TRADE IN'!$F114))</f>
        <v>10699</v>
      </c>
      <c r="R114" s="46">
        <f>IF(VLOOKUP($C114,REV!$C:$AA,16,0)-'TRADE IN'!$F114=0,"",(VLOOKUP($C114,REV!$C:$AA,16,0)-'TRADE IN'!$F114))</f>
        <v>11599</v>
      </c>
      <c r="S114" s="46">
        <f>IF(VLOOKUP($C114,REV!$C:$AA,17,0)-'TRADE IN'!$F114=0,"",(VLOOKUP($C114,REV!$C:$AA,17,0)-'TRADE IN'!$F114))</f>
        <v>11499</v>
      </c>
      <c r="T114" s="46">
        <f>IF(VLOOKUP($C114,REV!$C:$AA,18,0)-'TRADE IN'!$F114=0,"",(VLOOKUP($C114,REV!$C:$AA,18,0)-'TRADE IN'!$F114))</f>
        <v>10699</v>
      </c>
      <c r="U114" s="46">
        <f>IF(VLOOKUP($C114,REV!$C:$AA,19,0)-'TRADE IN'!$F114=0,"",(VLOOKUP($C114,REV!$C:$AA,19,0)-'TRADE IN'!$F114))</f>
        <v>10699</v>
      </c>
      <c r="V114" s="46">
        <f>IF(VLOOKUP($C114,REV!$C:$AA,20,0)-'TRADE IN'!$F114=0,"",(VLOOKUP($C114,REV!$C:$AA,20,0)-'TRADE IN'!$F114))</f>
        <v>10699</v>
      </c>
      <c r="W114" s="46">
        <f>IF(VLOOKUP($C114,REV!$C:$AA,21,0)-'TRADE IN'!$F114=0,"",(VLOOKUP($C114,REV!$C:$AA,21,0)-'TRADE IN'!$F114))</f>
        <v>10599</v>
      </c>
      <c r="X114" s="46">
        <f>IF(VLOOKUP($C114,REV!$C:$AA,22,0)-'TRADE IN'!$F114=0,"",(VLOOKUP($C114,REV!$C:$AA,22,0)-'TRADE IN'!$F114))</f>
        <v>10599</v>
      </c>
      <c r="Y114" s="46">
        <f>IF(VLOOKUP($C114,REV!$C:$AA,23,0)-'TRADE IN'!$F114=0,"",(VLOOKUP($C114,REV!$C:$AA,23,0)-'TRADE IN'!$F114))</f>
        <v>9799</v>
      </c>
      <c r="Z114" s="46">
        <f>IF(VLOOKUP($C114,REV!$C:$AA,24,0)-'TRADE IN'!$F114=0,"",(VLOOKUP($C114,REV!$C:$AA,24,0)-'TRADE IN'!$F114))</f>
        <v>9799</v>
      </c>
      <c r="AA114" s="46">
        <f>IF(VLOOKUP($C114,REV!$C:$AA,25,0)-'TRADE IN'!$F114=0,"",(VLOOKUP($C114,REV!$C:$AA,25,0)-'TRADE IN'!$F114))</f>
        <v>9799</v>
      </c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7"/>
      <c r="AW114" s="48" t="str">
        <f>REV!AW114</f>
        <v>01.12.2026</v>
      </c>
      <c r="AX114" s="153" t="str">
        <f>VLOOKUP(C114,REV!C:AX,48,0)</f>
        <v>5G</v>
      </c>
    </row>
    <row r="115" spans="1:50" ht="22.5" customHeight="1">
      <c r="A115" s="41" t="s">
        <v>63</v>
      </c>
      <c r="B115" s="42" t="s">
        <v>64</v>
      </c>
      <c r="C115" s="43">
        <v>4017494</v>
      </c>
      <c r="D115" s="44" t="s">
        <v>199</v>
      </c>
      <c r="E115" s="44" t="s">
        <v>201</v>
      </c>
      <c r="F115" s="45"/>
      <c r="G115" s="45"/>
      <c r="H115" s="45"/>
      <c r="I115" s="45"/>
      <c r="J115" s="46">
        <f>IF(VLOOKUP($C115,REV!$C:$AA,8,0)-'TRADE IN'!$F115=0,"",(VLOOKUP($C115,REV!$C:$AA,8,0)-'TRADE IN'!$F115))</f>
        <v>11699</v>
      </c>
      <c r="K115" s="46">
        <f>IF(VLOOKUP($C115,REV!$C:$AA,9,0)-'TRADE IN'!$F115=0,"",(VLOOKUP($C115,REV!$C:$AA,9,0)-'TRADE IN'!$F115))</f>
        <v>11699</v>
      </c>
      <c r="L115" s="46">
        <f>IF(VLOOKUP($C115,REV!$C:$AA,10,0)-'TRADE IN'!$F115=0,"",(VLOOKUP($C115,REV!$C:$AA,10,0)-'TRADE IN'!$F115))</f>
        <v>11699</v>
      </c>
      <c r="M115" s="46">
        <f>IF(VLOOKUP($C115,REV!$C:$AA,11,0)-'TRADE IN'!$F115=0,"",(VLOOKUP($C115,REV!$C:$AA,11,0)-'TRADE IN'!$F115))</f>
        <v>11699</v>
      </c>
      <c r="N115" s="46">
        <f>IF(VLOOKUP($C115,REV!$C:$AA,12,0)-'TRADE IN'!$F115=0,"",(VLOOKUP($C115,REV!$C:$AA,12,0)-'TRADE IN'!$F115))</f>
        <v>11699</v>
      </c>
      <c r="O115" s="46">
        <f>IF(VLOOKUP($C115,REV!$C:$AA,13,0)-'TRADE IN'!$F115=0,"",(VLOOKUP($C115,REV!$C:$AA,13,0)-'TRADE IN'!$F115))</f>
        <v>11599</v>
      </c>
      <c r="P115" s="46">
        <f>IF(VLOOKUP($C115,REV!$C:$AA,14,0)-'TRADE IN'!$F115=0,"",(VLOOKUP($C115,REV!$C:$AA,14,0)-'TRADE IN'!$F115))</f>
        <v>11499</v>
      </c>
      <c r="Q115" s="46">
        <f>IF(VLOOKUP($C115,REV!$C:$AA,15,0)-'TRADE IN'!$F115=0,"",(VLOOKUP($C115,REV!$C:$AA,15,0)-'TRADE IN'!$F115))</f>
        <v>10699</v>
      </c>
      <c r="R115" s="46">
        <f>IF(VLOOKUP($C115,REV!$C:$AA,16,0)-'TRADE IN'!$F115=0,"",(VLOOKUP($C115,REV!$C:$AA,16,0)-'TRADE IN'!$F115))</f>
        <v>11599</v>
      </c>
      <c r="S115" s="46">
        <f>IF(VLOOKUP($C115,REV!$C:$AA,17,0)-'TRADE IN'!$F115=0,"",(VLOOKUP($C115,REV!$C:$AA,17,0)-'TRADE IN'!$F115))</f>
        <v>11499</v>
      </c>
      <c r="T115" s="46">
        <f>IF(VLOOKUP($C115,REV!$C:$AA,18,0)-'TRADE IN'!$F115=0,"",(VLOOKUP($C115,REV!$C:$AA,18,0)-'TRADE IN'!$F115))</f>
        <v>10699</v>
      </c>
      <c r="U115" s="46">
        <f>IF(VLOOKUP($C115,REV!$C:$AA,19,0)-'TRADE IN'!$F115=0,"",(VLOOKUP($C115,REV!$C:$AA,19,0)-'TRADE IN'!$F115))</f>
        <v>10699</v>
      </c>
      <c r="V115" s="46">
        <f>IF(VLOOKUP($C115,REV!$C:$AA,20,0)-'TRADE IN'!$F115=0,"",(VLOOKUP($C115,REV!$C:$AA,20,0)-'TRADE IN'!$F115))</f>
        <v>10699</v>
      </c>
      <c r="W115" s="46">
        <f>IF(VLOOKUP($C115,REV!$C:$AA,21,0)-'TRADE IN'!$F115=0,"",(VLOOKUP($C115,REV!$C:$AA,21,0)-'TRADE IN'!$F115))</f>
        <v>10599</v>
      </c>
      <c r="X115" s="46">
        <f>IF(VLOOKUP($C115,REV!$C:$AA,22,0)-'TRADE IN'!$F115=0,"",(VLOOKUP($C115,REV!$C:$AA,22,0)-'TRADE IN'!$F115))</f>
        <v>10599</v>
      </c>
      <c r="Y115" s="46">
        <f>IF(VLOOKUP($C115,REV!$C:$AA,23,0)-'TRADE IN'!$F115=0,"",(VLOOKUP($C115,REV!$C:$AA,23,0)-'TRADE IN'!$F115))</f>
        <v>9799</v>
      </c>
      <c r="Z115" s="46">
        <f>IF(VLOOKUP($C115,REV!$C:$AA,24,0)-'TRADE IN'!$F115=0,"",(VLOOKUP($C115,REV!$C:$AA,24,0)-'TRADE IN'!$F115))</f>
        <v>9799</v>
      </c>
      <c r="AA115" s="46">
        <f>IF(VLOOKUP($C115,REV!$C:$AA,25,0)-'TRADE IN'!$F115=0,"",(VLOOKUP($C115,REV!$C:$AA,25,0)-'TRADE IN'!$F115))</f>
        <v>9799</v>
      </c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7"/>
      <c r="AW115" s="48" t="str">
        <f>REV!AW115</f>
        <v>01.12.2026</v>
      </c>
      <c r="AX115" s="153" t="str">
        <f>VLOOKUP(C115,REV!C:AX,48,0)</f>
        <v>5G</v>
      </c>
    </row>
    <row r="116" spans="1:50" ht="22.5" customHeight="1">
      <c r="A116" s="41" t="s">
        <v>63</v>
      </c>
      <c r="B116" s="42" t="s">
        <v>64</v>
      </c>
      <c r="C116" s="43">
        <v>4017514</v>
      </c>
      <c r="D116" s="44" t="s">
        <v>199</v>
      </c>
      <c r="E116" s="44" t="s">
        <v>202</v>
      </c>
      <c r="F116" s="45"/>
      <c r="G116" s="45"/>
      <c r="H116" s="45"/>
      <c r="I116" s="45"/>
      <c r="J116" s="46">
        <f>IF(VLOOKUP($C116,REV!$C:$AA,8,0)-'TRADE IN'!$F116=0,"",(VLOOKUP($C116,REV!$C:$AA,8,0)-'TRADE IN'!$F116))</f>
        <v>11699</v>
      </c>
      <c r="K116" s="46">
        <f>IF(VLOOKUP($C116,REV!$C:$AA,9,0)-'TRADE IN'!$F116=0,"",(VLOOKUP($C116,REV!$C:$AA,9,0)-'TRADE IN'!$F116))</f>
        <v>11699</v>
      </c>
      <c r="L116" s="46">
        <f>IF(VLOOKUP($C116,REV!$C:$AA,10,0)-'TRADE IN'!$F116=0,"",(VLOOKUP($C116,REV!$C:$AA,10,0)-'TRADE IN'!$F116))</f>
        <v>11699</v>
      </c>
      <c r="M116" s="46">
        <f>IF(VLOOKUP($C116,REV!$C:$AA,11,0)-'TRADE IN'!$F116=0,"",(VLOOKUP($C116,REV!$C:$AA,11,0)-'TRADE IN'!$F116))</f>
        <v>11699</v>
      </c>
      <c r="N116" s="46">
        <f>IF(VLOOKUP($C116,REV!$C:$AA,12,0)-'TRADE IN'!$F116=0,"",(VLOOKUP($C116,REV!$C:$AA,12,0)-'TRADE IN'!$F116))</f>
        <v>11699</v>
      </c>
      <c r="O116" s="46">
        <f>IF(VLOOKUP($C116,REV!$C:$AA,13,0)-'TRADE IN'!$F116=0,"",(VLOOKUP($C116,REV!$C:$AA,13,0)-'TRADE IN'!$F116))</f>
        <v>11599</v>
      </c>
      <c r="P116" s="46">
        <f>IF(VLOOKUP($C116,REV!$C:$AA,14,0)-'TRADE IN'!$F116=0,"",(VLOOKUP($C116,REV!$C:$AA,14,0)-'TRADE IN'!$F116))</f>
        <v>11499</v>
      </c>
      <c r="Q116" s="46">
        <f>IF(VLOOKUP($C116,REV!$C:$AA,15,0)-'TRADE IN'!$F116=0,"",(VLOOKUP($C116,REV!$C:$AA,15,0)-'TRADE IN'!$F116))</f>
        <v>10699</v>
      </c>
      <c r="R116" s="46">
        <f>IF(VLOOKUP($C116,REV!$C:$AA,16,0)-'TRADE IN'!$F116=0,"",(VLOOKUP($C116,REV!$C:$AA,16,0)-'TRADE IN'!$F116))</f>
        <v>11599</v>
      </c>
      <c r="S116" s="46">
        <f>IF(VLOOKUP($C116,REV!$C:$AA,17,0)-'TRADE IN'!$F116=0,"",(VLOOKUP($C116,REV!$C:$AA,17,0)-'TRADE IN'!$F116))</f>
        <v>11499</v>
      </c>
      <c r="T116" s="46">
        <f>IF(VLOOKUP($C116,REV!$C:$AA,18,0)-'TRADE IN'!$F116=0,"",(VLOOKUP($C116,REV!$C:$AA,18,0)-'TRADE IN'!$F116))</f>
        <v>10699</v>
      </c>
      <c r="U116" s="46">
        <f>IF(VLOOKUP($C116,REV!$C:$AA,19,0)-'TRADE IN'!$F116=0,"",(VLOOKUP($C116,REV!$C:$AA,19,0)-'TRADE IN'!$F116))</f>
        <v>10699</v>
      </c>
      <c r="V116" s="46">
        <f>IF(VLOOKUP($C116,REV!$C:$AA,20,0)-'TRADE IN'!$F116=0,"",(VLOOKUP($C116,REV!$C:$AA,20,0)-'TRADE IN'!$F116))</f>
        <v>10699</v>
      </c>
      <c r="W116" s="46">
        <f>IF(VLOOKUP($C116,REV!$C:$AA,21,0)-'TRADE IN'!$F116=0,"",(VLOOKUP($C116,REV!$C:$AA,21,0)-'TRADE IN'!$F116))</f>
        <v>10599</v>
      </c>
      <c r="X116" s="46">
        <f>IF(VLOOKUP($C116,REV!$C:$AA,22,0)-'TRADE IN'!$F116=0,"",(VLOOKUP($C116,REV!$C:$AA,22,0)-'TRADE IN'!$F116))</f>
        <v>10599</v>
      </c>
      <c r="Y116" s="46">
        <f>IF(VLOOKUP($C116,REV!$C:$AA,23,0)-'TRADE IN'!$F116=0,"",(VLOOKUP($C116,REV!$C:$AA,23,0)-'TRADE IN'!$F116))</f>
        <v>9799</v>
      </c>
      <c r="Z116" s="46">
        <f>IF(VLOOKUP($C116,REV!$C:$AA,24,0)-'TRADE IN'!$F116=0,"",(VLOOKUP($C116,REV!$C:$AA,24,0)-'TRADE IN'!$F116))</f>
        <v>9799</v>
      </c>
      <c r="AA116" s="46">
        <f>IF(VLOOKUP($C116,REV!$C:$AA,25,0)-'TRADE IN'!$F116=0,"",(VLOOKUP($C116,REV!$C:$AA,25,0)-'TRADE IN'!$F116))</f>
        <v>9799</v>
      </c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7"/>
      <c r="AW116" s="48" t="str">
        <f>REV!AW116</f>
        <v>01.12.2026</v>
      </c>
      <c r="AX116" s="153" t="str">
        <f>VLOOKUP(C116,REV!C:AX,48,0)</f>
        <v>5G</v>
      </c>
    </row>
    <row r="117" spans="1:50" ht="22.5" customHeight="1">
      <c r="A117" s="41" t="s">
        <v>63</v>
      </c>
      <c r="B117" s="42" t="s">
        <v>64</v>
      </c>
      <c r="C117" s="43">
        <v>4017503</v>
      </c>
      <c r="D117" s="44" t="s">
        <v>203</v>
      </c>
      <c r="E117" s="44" t="s">
        <v>204</v>
      </c>
      <c r="F117" s="45"/>
      <c r="G117" s="45"/>
      <c r="H117" s="45"/>
      <c r="I117" s="45"/>
      <c r="J117" s="46">
        <f>IF(VLOOKUP($C117,REV!$C:$AA,8,0)-'TRADE IN'!$F117=0,"",(VLOOKUP($C117,REV!$C:$AA,8,0)-'TRADE IN'!$F117))</f>
        <v>13099</v>
      </c>
      <c r="K117" s="46">
        <f>IF(VLOOKUP($C117,REV!$C:$AA,9,0)-'TRADE IN'!$F117=0,"",(VLOOKUP($C117,REV!$C:$AA,9,0)-'TRADE IN'!$F117))</f>
        <v>13099</v>
      </c>
      <c r="L117" s="46">
        <f>IF(VLOOKUP($C117,REV!$C:$AA,10,0)-'TRADE IN'!$F117=0,"",(VLOOKUP($C117,REV!$C:$AA,10,0)-'TRADE IN'!$F117))</f>
        <v>13099</v>
      </c>
      <c r="M117" s="46">
        <f>IF(VLOOKUP($C117,REV!$C:$AA,11,0)-'TRADE IN'!$F117=0,"",(VLOOKUP($C117,REV!$C:$AA,11,0)-'TRADE IN'!$F117))</f>
        <v>13099</v>
      </c>
      <c r="N117" s="46">
        <f>IF(VLOOKUP($C117,REV!$C:$AA,12,0)-'TRADE IN'!$F117=0,"",(VLOOKUP($C117,REV!$C:$AA,12,0)-'TRADE IN'!$F117))</f>
        <v>13099</v>
      </c>
      <c r="O117" s="46">
        <f>IF(VLOOKUP($C117,REV!$C:$AA,13,0)-'TRADE IN'!$F117=0,"",(VLOOKUP($C117,REV!$C:$AA,13,0)-'TRADE IN'!$F117))</f>
        <v>12999</v>
      </c>
      <c r="P117" s="46">
        <f>IF(VLOOKUP($C117,REV!$C:$AA,14,0)-'TRADE IN'!$F117=0,"",(VLOOKUP($C117,REV!$C:$AA,14,0)-'TRADE IN'!$F117))</f>
        <v>12899</v>
      </c>
      <c r="Q117" s="46">
        <f>IF(VLOOKUP($C117,REV!$C:$AA,15,0)-'TRADE IN'!$F117=0,"",(VLOOKUP($C117,REV!$C:$AA,15,0)-'TRADE IN'!$F117))</f>
        <v>12099</v>
      </c>
      <c r="R117" s="46">
        <f>IF(VLOOKUP($C117,REV!$C:$AA,16,0)-'TRADE IN'!$F117=0,"",(VLOOKUP($C117,REV!$C:$AA,16,0)-'TRADE IN'!$F117))</f>
        <v>12999</v>
      </c>
      <c r="S117" s="46">
        <f>IF(VLOOKUP($C117,REV!$C:$AA,17,0)-'TRADE IN'!$F117=0,"",(VLOOKUP($C117,REV!$C:$AA,17,0)-'TRADE IN'!$F117))</f>
        <v>12899</v>
      </c>
      <c r="T117" s="46">
        <f>IF(VLOOKUP($C117,REV!$C:$AA,18,0)-'TRADE IN'!$F117=0,"",(VLOOKUP($C117,REV!$C:$AA,18,0)-'TRADE IN'!$F117))</f>
        <v>12099</v>
      </c>
      <c r="U117" s="46">
        <f>IF(VLOOKUP($C117,REV!$C:$AA,19,0)-'TRADE IN'!$F117=0,"",(VLOOKUP($C117,REV!$C:$AA,19,0)-'TRADE IN'!$F117))</f>
        <v>12099</v>
      </c>
      <c r="V117" s="46">
        <f>IF(VLOOKUP($C117,REV!$C:$AA,20,0)-'TRADE IN'!$F117=0,"",(VLOOKUP($C117,REV!$C:$AA,20,0)-'TRADE IN'!$F117))</f>
        <v>12099</v>
      </c>
      <c r="W117" s="46">
        <f>IF(VLOOKUP($C117,REV!$C:$AA,21,0)-'TRADE IN'!$F117=0,"",(VLOOKUP($C117,REV!$C:$AA,21,0)-'TRADE IN'!$F117))</f>
        <v>11999</v>
      </c>
      <c r="X117" s="46">
        <f>IF(VLOOKUP($C117,REV!$C:$AA,22,0)-'TRADE IN'!$F117=0,"",(VLOOKUP($C117,REV!$C:$AA,22,0)-'TRADE IN'!$F117))</f>
        <v>11999</v>
      </c>
      <c r="Y117" s="46">
        <f>IF(VLOOKUP($C117,REV!$C:$AA,23,0)-'TRADE IN'!$F117=0,"",(VLOOKUP($C117,REV!$C:$AA,23,0)-'TRADE IN'!$F117))</f>
        <v>10999</v>
      </c>
      <c r="Z117" s="46">
        <f>IF(VLOOKUP($C117,REV!$C:$AA,24,0)-'TRADE IN'!$F117=0,"",(VLOOKUP($C117,REV!$C:$AA,24,0)-'TRADE IN'!$F117))</f>
        <v>10999</v>
      </c>
      <c r="AA117" s="46">
        <f>IF(VLOOKUP($C117,REV!$C:$AA,25,0)-'TRADE IN'!$F117=0,"",(VLOOKUP($C117,REV!$C:$AA,25,0)-'TRADE IN'!$F117))</f>
        <v>10899</v>
      </c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7"/>
      <c r="AW117" s="48" t="str">
        <f>REV!AW117</f>
        <v>01.12.2026</v>
      </c>
      <c r="AX117" s="153" t="str">
        <f>VLOOKUP(C117,REV!C:AX,48,0)</f>
        <v>5G</v>
      </c>
    </row>
    <row r="118" spans="1:50" ht="22.5" customHeight="1">
      <c r="A118" s="41" t="s">
        <v>63</v>
      </c>
      <c r="B118" s="42" t="s">
        <v>64</v>
      </c>
      <c r="C118" s="43">
        <v>4017520</v>
      </c>
      <c r="D118" s="44" t="s">
        <v>203</v>
      </c>
      <c r="E118" s="44" t="s">
        <v>205</v>
      </c>
      <c r="F118" s="45"/>
      <c r="G118" s="45"/>
      <c r="H118" s="45"/>
      <c r="I118" s="45"/>
      <c r="J118" s="46">
        <f>IF(VLOOKUP($C118,REV!$C:$AA,8,0)-'TRADE IN'!$F118=0,"",(VLOOKUP($C118,REV!$C:$AA,8,0)-'TRADE IN'!$F118))</f>
        <v>13099</v>
      </c>
      <c r="K118" s="46">
        <f>IF(VLOOKUP($C118,REV!$C:$AA,9,0)-'TRADE IN'!$F118=0,"",(VLOOKUP($C118,REV!$C:$AA,9,0)-'TRADE IN'!$F118))</f>
        <v>13099</v>
      </c>
      <c r="L118" s="46">
        <f>IF(VLOOKUP($C118,REV!$C:$AA,10,0)-'TRADE IN'!$F118=0,"",(VLOOKUP($C118,REV!$C:$AA,10,0)-'TRADE IN'!$F118))</f>
        <v>13099</v>
      </c>
      <c r="M118" s="46">
        <f>IF(VLOOKUP($C118,REV!$C:$AA,11,0)-'TRADE IN'!$F118=0,"",(VLOOKUP($C118,REV!$C:$AA,11,0)-'TRADE IN'!$F118))</f>
        <v>13099</v>
      </c>
      <c r="N118" s="46">
        <f>IF(VLOOKUP($C118,REV!$C:$AA,12,0)-'TRADE IN'!$F118=0,"",(VLOOKUP($C118,REV!$C:$AA,12,0)-'TRADE IN'!$F118))</f>
        <v>13099</v>
      </c>
      <c r="O118" s="46">
        <f>IF(VLOOKUP($C118,REV!$C:$AA,13,0)-'TRADE IN'!$F118=0,"",(VLOOKUP($C118,REV!$C:$AA,13,0)-'TRADE IN'!$F118))</f>
        <v>12999</v>
      </c>
      <c r="P118" s="46">
        <f>IF(VLOOKUP($C118,REV!$C:$AA,14,0)-'TRADE IN'!$F118=0,"",(VLOOKUP($C118,REV!$C:$AA,14,0)-'TRADE IN'!$F118))</f>
        <v>12899</v>
      </c>
      <c r="Q118" s="46">
        <f>IF(VLOOKUP($C118,REV!$C:$AA,15,0)-'TRADE IN'!$F118=0,"",(VLOOKUP($C118,REV!$C:$AA,15,0)-'TRADE IN'!$F118))</f>
        <v>12099</v>
      </c>
      <c r="R118" s="46">
        <f>IF(VLOOKUP($C118,REV!$C:$AA,16,0)-'TRADE IN'!$F118=0,"",(VLOOKUP($C118,REV!$C:$AA,16,0)-'TRADE IN'!$F118))</f>
        <v>12999</v>
      </c>
      <c r="S118" s="46">
        <f>IF(VLOOKUP($C118,REV!$C:$AA,17,0)-'TRADE IN'!$F118=0,"",(VLOOKUP($C118,REV!$C:$AA,17,0)-'TRADE IN'!$F118))</f>
        <v>12899</v>
      </c>
      <c r="T118" s="46">
        <f>IF(VLOOKUP($C118,REV!$C:$AA,18,0)-'TRADE IN'!$F118=0,"",(VLOOKUP($C118,REV!$C:$AA,18,0)-'TRADE IN'!$F118))</f>
        <v>12099</v>
      </c>
      <c r="U118" s="46">
        <f>IF(VLOOKUP($C118,REV!$C:$AA,19,0)-'TRADE IN'!$F118=0,"",(VLOOKUP($C118,REV!$C:$AA,19,0)-'TRADE IN'!$F118))</f>
        <v>12099</v>
      </c>
      <c r="V118" s="46">
        <f>IF(VLOOKUP($C118,REV!$C:$AA,20,0)-'TRADE IN'!$F118=0,"",(VLOOKUP($C118,REV!$C:$AA,20,0)-'TRADE IN'!$F118))</f>
        <v>12099</v>
      </c>
      <c r="W118" s="46">
        <f>IF(VLOOKUP($C118,REV!$C:$AA,21,0)-'TRADE IN'!$F118=0,"",(VLOOKUP($C118,REV!$C:$AA,21,0)-'TRADE IN'!$F118))</f>
        <v>11999</v>
      </c>
      <c r="X118" s="46">
        <f>IF(VLOOKUP($C118,REV!$C:$AA,22,0)-'TRADE IN'!$F118=0,"",(VLOOKUP($C118,REV!$C:$AA,22,0)-'TRADE IN'!$F118))</f>
        <v>11999</v>
      </c>
      <c r="Y118" s="46">
        <f>IF(VLOOKUP($C118,REV!$C:$AA,23,0)-'TRADE IN'!$F118=0,"",(VLOOKUP($C118,REV!$C:$AA,23,0)-'TRADE IN'!$F118))</f>
        <v>10999</v>
      </c>
      <c r="Z118" s="46">
        <f>IF(VLOOKUP($C118,REV!$C:$AA,24,0)-'TRADE IN'!$F118=0,"",(VLOOKUP($C118,REV!$C:$AA,24,0)-'TRADE IN'!$F118))</f>
        <v>10999</v>
      </c>
      <c r="AA118" s="46">
        <f>IF(VLOOKUP($C118,REV!$C:$AA,25,0)-'TRADE IN'!$F118=0,"",(VLOOKUP($C118,REV!$C:$AA,25,0)-'TRADE IN'!$F118))</f>
        <v>10899</v>
      </c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7"/>
      <c r="AW118" s="48" t="str">
        <f>REV!AW118</f>
        <v>01.12.2026</v>
      </c>
      <c r="AX118" s="153" t="str">
        <f>VLOOKUP(C118,REV!C:AX,48,0)</f>
        <v>5G</v>
      </c>
    </row>
    <row r="119" spans="1:50" ht="22.5" customHeight="1">
      <c r="A119" s="41" t="s">
        <v>63</v>
      </c>
      <c r="B119" s="42" t="s">
        <v>64</v>
      </c>
      <c r="C119" s="43">
        <v>4017522</v>
      </c>
      <c r="D119" s="44" t="s">
        <v>203</v>
      </c>
      <c r="E119" s="44" t="s">
        <v>206</v>
      </c>
      <c r="F119" s="45"/>
      <c r="G119" s="45"/>
      <c r="H119" s="45"/>
      <c r="I119" s="45"/>
      <c r="J119" s="46">
        <f>IF(VLOOKUP($C119,REV!$C:$AA,8,0)-'TRADE IN'!$F119=0,"",(VLOOKUP($C119,REV!$C:$AA,8,0)-'TRADE IN'!$F119))</f>
        <v>13099</v>
      </c>
      <c r="K119" s="46">
        <f>IF(VLOOKUP($C119,REV!$C:$AA,9,0)-'TRADE IN'!$F119=0,"",(VLOOKUP($C119,REV!$C:$AA,9,0)-'TRADE IN'!$F119))</f>
        <v>13099</v>
      </c>
      <c r="L119" s="46">
        <f>IF(VLOOKUP($C119,REV!$C:$AA,10,0)-'TRADE IN'!$F119=0,"",(VLOOKUP($C119,REV!$C:$AA,10,0)-'TRADE IN'!$F119))</f>
        <v>13099</v>
      </c>
      <c r="M119" s="46">
        <f>IF(VLOOKUP($C119,REV!$C:$AA,11,0)-'TRADE IN'!$F119=0,"",(VLOOKUP($C119,REV!$C:$AA,11,0)-'TRADE IN'!$F119))</f>
        <v>13099</v>
      </c>
      <c r="N119" s="46">
        <f>IF(VLOOKUP($C119,REV!$C:$AA,12,0)-'TRADE IN'!$F119=0,"",(VLOOKUP($C119,REV!$C:$AA,12,0)-'TRADE IN'!$F119))</f>
        <v>13099</v>
      </c>
      <c r="O119" s="46">
        <f>IF(VLOOKUP($C119,REV!$C:$AA,13,0)-'TRADE IN'!$F119=0,"",(VLOOKUP($C119,REV!$C:$AA,13,0)-'TRADE IN'!$F119))</f>
        <v>12999</v>
      </c>
      <c r="P119" s="46">
        <f>IF(VLOOKUP($C119,REV!$C:$AA,14,0)-'TRADE IN'!$F119=0,"",(VLOOKUP($C119,REV!$C:$AA,14,0)-'TRADE IN'!$F119))</f>
        <v>12899</v>
      </c>
      <c r="Q119" s="46">
        <f>IF(VLOOKUP($C119,REV!$C:$AA,15,0)-'TRADE IN'!$F119=0,"",(VLOOKUP($C119,REV!$C:$AA,15,0)-'TRADE IN'!$F119))</f>
        <v>12099</v>
      </c>
      <c r="R119" s="46">
        <f>IF(VLOOKUP($C119,REV!$C:$AA,16,0)-'TRADE IN'!$F119=0,"",(VLOOKUP($C119,REV!$C:$AA,16,0)-'TRADE IN'!$F119))</f>
        <v>12999</v>
      </c>
      <c r="S119" s="46">
        <f>IF(VLOOKUP($C119,REV!$C:$AA,17,0)-'TRADE IN'!$F119=0,"",(VLOOKUP($C119,REV!$C:$AA,17,0)-'TRADE IN'!$F119))</f>
        <v>12899</v>
      </c>
      <c r="T119" s="46">
        <f>IF(VLOOKUP($C119,REV!$C:$AA,18,0)-'TRADE IN'!$F119=0,"",(VLOOKUP($C119,REV!$C:$AA,18,0)-'TRADE IN'!$F119))</f>
        <v>12099</v>
      </c>
      <c r="U119" s="46">
        <f>IF(VLOOKUP($C119,REV!$C:$AA,19,0)-'TRADE IN'!$F119=0,"",(VLOOKUP($C119,REV!$C:$AA,19,0)-'TRADE IN'!$F119))</f>
        <v>12099</v>
      </c>
      <c r="V119" s="46">
        <f>IF(VLOOKUP($C119,REV!$C:$AA,20,0)-'TRADE IN'!$F119=0,"",(VLOOKUP($C119,REV!$C:$AA,20,0)-'TRADE IN'!$F119))</f>
        <v>12099</v>
      </c>
      <c r="W119" s="46">
        <f>IF(VLOOKUP($C119,REV!$C:$AA,21,0)-'TRADE IN'!$F119=0,"",(VLOOKUP($C119,REV!$C:$AA,21,0)-'TRADE IN'!$F119))</f>
        <v>11999</v>
      </c>
      <c r="X119" s="46">
        <f>IF(VLOOKUP($C119,REV!$C:$AA,22,0)-'TRADE IN'!$F119=0,"",(VLOOKUP($C119,REV!$C:$AA,22,0)-'TRADE IN'!$F119))</f>
        <v>11999</v>
      </c>
      <c r="Y119" s="46">
        <f>IF(VLOOKUP($C119,REV!$C:$AA,23,0)-'TRADE IN'!$F119=0,"",(VLOOKUP($C119,REV!$C:$AA,23,0)-'TRADE IN'!$F119))</f>
        <v>10999</v>
      </c>
      <c r="Z119" s="46">
        <f>IF(VLOOKUP($C119,REV!$C:$AA,24,0)-'TRADE IN'!$F119=0,"",(VLOOKUP($C119,REV!$C:$AA,24,0)-'TRADE IN'!$F119))</f>
        <v>10999</v>
      </c>
      <c r="AA119" s="46">
        <f>IF(VLOOKUP($C119,REV!$C:$AA,25,0)-'TRADE IN'!$F119=0,"",(VLOOKUP($C119,REV!$C:$AA,25,0)-'TRADE IN'!$F119))</f>
        <v>10899</v>
      </c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7"/>
      <c r="AW119" s="48" t="str">
        <f>REV!AW119</f>
        <v>01.12.2026</v>
      </c>
      <c r="AX119" s="153" t="str">
        <f>VLOOKUP(C119,REV!C:AX,48,0)</f>
        <v>5G</v>
      </c>
    </row>
    <row r="120" spans="1:50" ht="22.5" customHeight="1">
      <c r="A120" s="41" t="s">
        <v>63</v>
      </c>
      <c r="B120" s="42" t="s">
        <v>64</v>
      </c>
      <c r="C120" s="43">
        <v>4017845</v>
      </c>
      <c r="D120" s="52" t="s">
        <v>207</v>
      </c>
      <c r="E120" s="44" t="s">
        <v>208</v>
      </c>
      <c r="F120" s="54"/>
      <c r="G120" s="45">
        <v>4899</v>
      </c>
      <c r="H120" s="45">
        <v>5399</v>
      </c>
      <c r="I120" s="45">
        <v>5399</v>
      </c>
      <c r="J120" s="46">
        <f>IF(VLOOKUP($C120,REV!$C:$AA,8,0)-'TRADE IN'!$F120=0,"",(VLOOKUP($C120,REV!$C:$AA,8,0)-'TRADE IN'!$F120))</f>
        <v>4999</v>
      </c>
      <c r="K120" s="46">
        <f>IF(VLOOKUP($C120,REV!$C:$AA,9,0)-'TRADE IN'!$F120=0,"",(VLOOKUP($C120,REV!$C:$AA,9,0)-'TRADE IN'!$F120))</f>
        <v>4999</v>
      </c>
      <c r="L120" s="46">
        <f>IF(VLOOKUP($C120,REV!$C:$AA,10,0)-'TRADE IN'!$F120=0,"",(VLOOKUP($C120,REV!$C:$AA,10,0)-'TRADE IN'!$F120))</f>
        <v>4999</v>
      </c>
      <c r="M120" s="46">
        <f>IF(VLOOKUP($C120,REV!$C:$AA,11,0)-'TRADE IN'!$F120=0,"",(VLOOKUP($C120,REV!$C:$AA,11,0)-'TRADE IN'!$F120))</f>
        <v>4999</v>
      </c>
      <c r="N120" s="46">
        <f>IF(VLOOKUP($C120,REV!$C:$AA,12,0)-'TRADE IN'!$F120=0,"",(VLOOKUP($C120,REV!$C:$AA,12,0)-'TRADE IN'!$F120))</f>
        <v>4999</v>
      </c>
      <c r="O120" s="46">
        <f>IF(VLOOKUP($C120,REV!$C:$AA,13,0)-'TRADE IN'!$F120=0,"",(VLOOKUP($C120,REV!$C:$AA,13,0)-'TRADE IN'!$F120))</f>
        <v>4899</v>
      </c>
      <c r="P120" s="46">
        <f>IF(VLOOKUP($C120,REV!$C:$AA,14,0)-'TRADE IN'!$F120=0,"",(VLOOKUP($C120,REV!$C:$AA,14,0)-'TRADE IN'!$F120))</f>
        <v>4799</v>
      </c>
      <c r="Q120" s="46">
        <f>IF(VLOOKUP($C120,REV!$C:$AA,15,0)-'TRADE IN'!$F120=0,"",(VLOOKUP($C120,REV!$C:$AA,15,0)-'TRADE IN'!$F120))</f>
        <v>3999</v>
      </c>
      <c r="R120" s="46">
        <f>IF(VLOOKUP($C120,REV!$C:$AA,16,0)-'TRADE IN'!$F120=0,"",(VLOOKUP($C120,REV!$C:$AA,16,0)-'TRADE IN'!$F120))</f>
        <v>4899</v>
      </c>
      <c r="S120" s="46">
        <f>IF(VLOOKUP($C120,REV!$C:$AA,17,0)-'TRADE IN'!$F120=0,"",(VLOOKUP($C120,REV!$C:$AA,17,0)-'TRADE IN'!$F120))</f>
        <v>4799</v>
      </c>
      <c r="T120" s="46">
        <f>IF(VLOOKUP($C120,REV!$C:$AA,18,0)-'TRADE IN'!$F120=0,"",(VLOOKUP($C120,REV!$C:$AA,18,0)-'TRADE IN'!$F120))</f>
        <v>3999</v>
      </c>
      <c r="U120" s="46">
        <f>IF(VLOOKUP($C120,REV!$C:$AA,19,0)-'TRADE IN'!$F120=0,"",(VLOOKUP($C120,REV!$C:$AA,19,0)-'TRADE IN'!$F120))</f>
        <v>3999</v>
      </c>
      <c r="V120" s="46">
        <f>IF(VLOOKUP($C120,REV!$C:$AA,20,0)-'TRADE IN'!$F120=0,"",(VLOOKUP($C120,REV!$C:$AA,20,0)-'TRADE IN'!$F120))</f>
        <v>3999</v>
      </c>
      <c r="W120" s="46">
        <f>IF(VLOOKUP($C120,REV!$C:$AA,21,0)-'TRADE IN'!$F120=0,"",(VLOOKUP($C120,REV!$C:$AA,21,0)-'TRADE IN'!$F120))</f>
        <v>3999</v>
      </c>
      <c r="X120" s="46">
        <f>IF(VLOOKUP($C120,REV!$C:$AA,22,0)-'TRADE IN'!$F120=0,"",(VLOOKUP($C120,REV!$C:$AA,22,0)-'TRADE IN'!$F120))</f>
        <v>3899</v>
      </c>
      <c r="Y120" s="46">
        <f>IF(VLOOKUP($C120,REV!$C:$AA,23,0)-'TRADE IN'!$F120=0,"",(VLOOKUP($C120,REV!$C:$AA,23,0)-'TRADE IN'!$F120))</f>
        <v>3099</v>
      </c>
      <c r="Z120" s="46">
        <f>IF(VLOOKUP($C120,REV!$C:$AA,24,0)-'TRADE IN'!$F120=0,"",(VLOOKUP($C120,REV!$C:$AA,24,0)-'TRADE IN'!$F120))</f>
        <v>3099</v>
      </c>
      <c r="AA120" s="46">
        <f>IF(VLOOKUP($C120,REV!$C:$AA,25,0)-'TRADE IN'!$F120=0,"",(VLOOKUP($C120,REV!$C:$AA,25,0)-'TRADE IN'!$F120))</f>
        <v>2999</v>
      </c>
      <c r="AB120" s="45">
        <f>IF(VLOOKUP($C120,REV!$C:$AL,27,0)-'TRADE IN'!$F120=0,"",(VLOOKUP($C120,REV!$C:$AL,27,0)-'TRADE IN'!$F120))</f>
        <v>4999</v>
      </c>
      <c r="AC120" s="45">
        <f>IF(VLOOKUP($C120,REV!$C:$AL,28,0)-'TRADE IN'!$F120=0,"",(VLOOKUP($C120,REV!$C:$AL,28,0)-'TRADE IN'!$F120))</f>
        <v>4999</v>
      </c>
      <c r="AD120" s="45">
        <f>IF(VLOOKUP($C120,REV!$C:$AL,29,0)-'TRADE IN'!$F120=0,"",(VLOOKUP($C120,REV!$C:$AL,29,0)-'TRADE IN'!$F120))</f>
        <v>4999</v>
      </c>
      <c r="AE120" s="45">
        <f>IF(VLOOKUP($C120,REV!$C:$AL,30,0)-'TRADE IN'!$F120=0,"",(VLOOKUP($C120,REV!$C:$AL,30,0)-'TRADE IN'!$F120))</f>
        <v>4899</v>
      </c>
      <c r="AF120" s="45">
        <f>IF(VLOOKUP($C120,REV!$C:$AL,31,0)-'TRADE IN'!$F120=0,"",(VLOOKUP($C120,REV!$C:$AL,31,0)-'TRADE IN'!$F120))</f>
        <v>4799</v>
      </c>
      <c r="AG120" s="45">
        <f>IF(VLOOKUP($C120,REV!$C:$AL,31,0)-'TRADE IN'!$F120=0,"",(VLOOKUP($C120,REV!$C:$AL,31,0)-'TRADE IN'!$F120))</f>
        <v>4799</v>
      </c>
      <c r="AH120" s="45">
        <f>IF(VLOOKUP($C120,REV!$C:$AL,32,0)-'TRADE IN'!$F120=0,"",(VLOOKUP($C120,REV!$C:$AL,32,0)-'TRADE IN'!$F120))</f>
        <v>3999</v>
      </c>
      <c r="AI120" s="45">
        <f>IF(VLOOKUP($C120,REV!$C:$AL,33,0)-'TRADE IN'!$F120=0,"",(VLOOKUP($C120,REV!$C:$AL,33,0)-'TRADE IN'!$F120))</f>
        <v>3999</v>
      </c>
      <c r="AJ120" s="45">
        <f>IF(VLOOKUP($C120,REV!$C:$AL,34,0)-'TRADE IN'!$F120=0,"",(VLOOKUP($C120,REV!$C:$AL,34,0)-'TRADE IN'!$F120))</f>
        <v>3999</v>
      </c>
      <c r="AK120" s="45">
        <f>IF(VLOOKUP($C120,REV!$C:$AL,35,0)-'TRADE IN'!$F120=0,"",(VLOOKUP($C120,REV!$C:$AL,35,0)-'TRADE IN'!$F120))</f>
        <v>3999</v>
      </c>
      <c r="AL120" s="45">
        <f>IF(VLOOKUP($C120,REV!$C:$AL,36,0)-'TRADE IN'!$F120=0,"",(VLOOKUP($C120,REV!$C:$AL,36,0)-'TRADE IN'!$F120))</f>
        <v>3099</v>
      </c>
      <c r="AM120" s="45"/>
      <c r="AN120" s="45"/>
      <c r="AO120" s="45"/>
      <c r="AP120" s="45"/>
      <c r="AQ120" s="45"/>
      <c r="AR120" s="45"/>
      <c r="AS120" s="45"/>
      <c r="AT120" s="45"/>
      <c r="AU120" s="45"/>
      <c r="AV120" s="47"/>
      <c r="AW120" s="48" t="str">
        <f>REV!AW120</f>
        <v>01.12.2026</v>
      </c>
      <c r="AX120" s="153" t="str">
        <f>VLOOKUP(C120,REV!C:AX,48,0)</f>
        <v>5G</v>
      </c>
    </row>
    <row r="121" spans="1:50" ht="22.5" customHeight="1">
      <c r="A121" s="41" t="s">
        <v>63</v>
      </c>
      <c r="B121" s="42" t="s">
        <v>64</v>
      </c>
      <c r="C121" s="43">
        <v>4017841</v>
      </c>
      <c r="D121" s="52" t="s">
        <v>207</v>
      </c>
      <c r="E121" s="44" t="s">
        <v>209</v>
      </c>
      <c r="F121" s="54"/>
      <c r="G121" s="45">
        <v>4899</v>
      </c>
      <c r="H121" s="45">
        <v>5399</v>
      </c>
      <c r="I121" s="45">
        <v>5399</v>
      </c>
      <c r="J121" s="46">
        <f>IF(VLOOKUP($C121,REV!$C:$AA,8,0)-'TRADE IN'!$F121=0,"",(VLOOKUP($C121,REV!$C:$AA,8,0)-'TRADE IN'!$F121))</f>
        <v>4999</v>
      </c>
      <c r="K121" s="46">
        <f>IF(VLOOKUP($C121,REV!$C:$AA,9,0)-'TRADE IN'!$F121=0,"",(VLOOKUP($C121,REV!$C:$AA,9,0)-'TRADE IN'!$F121))</f>
        <v>4999</v>
      </c>
      <c r="L121" s="46">
        <f>IF(VLOOKUP($C121,REV!$C:$AA,10,0)-'TRADE IN'!$F121=0,"",(VLOOKUP($C121,REV!$C:$AA,10,0)-'TRADE IN'!$F121))</f>
        <v>4999</v>
      </c>
      <c r="M121" s="46">
        <f>IF(VLOOKUP($C121,REV!$C:$AA,11,0)-'TRADE IN'!$F121=0,"",(VLOOKUP($C121,REV!$C:$AA,11,0)-'TRADE IN'!$F121))</f>
        <v>4999</v>
      </c>
      <c r="N121" s="46">
        <f>IF(VLOOKUP($C121,REV!$C:$AA,12,0)-'TRADE IN'!$F121=0,"",(VLOOKUP($C121,REV!$C:$AA,12,0)-'TRADE IN'!$F121))</f>
        <v>4999</v>
      </c>
      <c r="O121" s="46">
        <f>IF(VLOOKUP($C121,REV!$C:$AA,13,0)-'TRADE IN'!$F121=0,"",(VLOOKUP($C121,REV!$C:$AA,13,0)-'TRADE IN'!$F121))</f>
        <v>4899</v>
      </c>
      <c r="P121" s="46">
        <f>IF(VLOOKUP($C121,REV!$C:$AA,14,0)-'TRADE IN'!$F121=0,"",(VLOOKUP($C121,REV!$C:$AA,14,0)-'TRADE IN'!$F121))</f>
        <v>4799</v>
      </c>
      <c r="Q121" s="46">
        <f>IF(VLOOKUP($C121,REV!$C:$AA,15,0)-'TRADE IN'!$F121=0,"",(VLOOKUP($C121,REV!$C:$AA,15,0)-'TRADE IN'!$F121))</f>
        <v>3999</v>
      </c>
      <c r="R121" s="46">
        <f>IF(VLOOKUP($C121,REV!$C:$AA,16,0)-'TRADE IN'!$F121=0,"",(VLOOKUP($C121,REV!$C:$AA,16,0)-'TRADE IN'!$F121))</f>
        <v>4899</v>
      </c>
      <c r="S121" s="46">
        <f>IF(VLOOKUP($C121,REV!$C:$AA,17,0)-'TRADE IN'!$F121=0,"",(VLOOKUP($C121,REV!$C:$AA,17,0)-'TRADE IN'!$F121))</f>
        <v>4799</v>
      </c>
      <c r="T121" s="46">
        <f>IF(VLOOKUP($C121,REV!$C:$AA,18,0)-'TRADE IN'!$F121=0,"",(VLOOKUP($C121,REV!$C:$AA,18,0)-'TRADE IN'!$F121))</f>
        <v>3999</v>
      </c>
      <c r="U121" s="46">
        <f>IF(VLOOKUP($C121,REV!$C:$AA,19,0)-'TRADE IN'!$F121=0,"",(VLOOKUP($C121,REV!$C:$AA,19,0)-'TRADE IN'!$F121))</f>
        <v>3999</v>
      </c>
      <c r="V121" s="46">
        <f>IF(VLOOKUP($C121,REV!$C:$AA,20,0)-'TRADE IN'!$F121=0,"",(VLOOKUP($C121,REV!$C:$AA,20,0)-'TRADE IN'!$F121))</f>
        <v>3999</v>
      </c>
      <c r="W121" s="46">
        <f>IF(VLOOKUP($C121,REV!$C:$AA,21,0)-'TRADE IN'!$F121=0,"",(VLOOKUP($C121,REV!$C:$AA,21,0)-'TRADE IN'!$F121))</f>
        <v>3999</v>
      </c>
      <c r="X121" s="46">
        <f>IF(VLOOKUP($C121,REV!$C:$AA,22,0)-'TRADE IN'!$F121=0,"",(VLOOKUP($C121,REV!$C:$AA,22,0)-'TRADE IN'!$F121))</f>
        <v>3899</v>
      </c>
      <c r="Y121" s="46">
        <f>IF(VLOOKUP($C121,REV!$C:$AA,23,0)-'TRADE IN'!$F121=0,"",(VLOOKUP($C121,REV!$C:$AA,23,0)-'TRADE IN'!$F121))</f>
        <v>3099</v>
      </c>
      <c r="Z121" s="46">
        <f>IF(VLOOKUP($C121,REV!$C:$AA,24,0)-'TRADE IN'!$F121=0,"",(VLOOKUP($C121,REV!$C:$AA,24,0)-'TRADE IN'!$F121))</f>
        <v>3099</v>
      </c>
      <c r="AA121" s="46">
        <f>IF(VLOOKUP($C121,REV!$C:$AA,25,0)-'TRADE IN'!$F121=0,"",(VLOOKUP($C121,REV!$C:$AA,25,0)-'TRADE IN'!$F121))</f>
        <v>2999</v>
      </c>
      <c r="AB121" s="45">
        <f>IF(VLOOKUP($C121,REV!$C:$AL,27,0)-'TRADE IN'!$F121=0,"",(VLOOKUP($C121,REV!$C:$AL,27,0)-'TRADE IN'!$F121))</f>
        <v>4999</v>
      </c>
      <c r="AC121" s="45">
        <f>IF(VLOOKUP($C121,REV!$C:$AL,28,0)-'TRADE IN'!$F121=0,"",(VLOOKUP($C121,REV!$C:$AL,28,0)-'TRADE IN'!$F121))</f>
        <v>4999</v>
      </c>
      <c r="AD121" s="45">
        <f>IF(VLOOKUP($C121,REV!$C:$AL,29,0)-'TRADE IN'!$F121=0,"",(VLOOKUP($C121,REV!$C:$AL,29,0)-'TRADE IN'!$F121))</f>
        <v>4999</v>
      </c>
      <c r="AE121" s="45">
        <f>IF(VLOOKUP($C121,REV!$C:$AL,30,0)-'TRADE IN'!$F121=0,"",(VLOOKUP($C121,REV!$C:$AL,30,0)-'TRADE IN'!$F121))</f>
        <v>4899</v>
      </c>
      <c r="AF121" s="45">
        <f>IF(VLOOKUP($C121,REV!$C:$AL,31,0)-'TRADE IN'!$F121=0,"",(VLOOKUP($C121,REV!$C:$AL,31,0)-'TRADE IN'!$F121))</f>
        <v>4799</v>
      </c>
      <c r="AG121" s="45">
        <f>IF(VLOOKUP($C121,REV!$C:$AL,31,0)-'TRADE IN'!$F121=0,"",(VLOOKUP($C121,REV!$C:$AL,31,0)-'TRADE IN'!$F121))</f>
        <v>4799</v>
      </c>
      <c r="AH121" s="45">
        <f>IF(VLOOKUP($C121,REV!$C:$AL,32,0)-'TRADE IN'!$F121=0,"",(VLOOKUP($C121,REV!$C:$AL,32,0)-'TRADE IN'!$F121))</f>
        <v>3999</v>
      </c>
      <c r="AI121" s="45">
        <f>IF(VLOOKUP($C121,REV!$C:$AL,33,0)-'TRADE IN'!$F121=0,"",(VLOOKUP($C121,REV!$C:$AL,33,0)-'TRADE IN'!$F121))</f>
        <v>3999</v>
      </c>
      <c r="AJ121" s="45">
        <f>IF(VLOOKUP($C121,REV!$C:$AL,34,0)-'TRADE IN'!$F121=0,"",(VLOOKUP($C121,REV!$C:$AL,34,0)-'TRADE IN'!$F121))</f>
        <v>3999</v>
      </c>
      <c r="AK121" s="45">
        <f>IF(VLOOKUP($C121,REV!$C:$AL,35,0)-'TRADE IN'!$F121=0,"",(VLOOKUP($C121,REV!$C:$AL,35,0)-'TRADE IN'!$F121))</f>
        <v>3999</v>
      </c>
      <c r="AL121" s="45">
        <f>IF(VLOOKUP($C121,REV!$C:$AL,36,0)-'TRADE IN'!$F121=0,"",(VLOOKUP($C121,REV!$C:$AL,36,0)-'TRADE IN'!$F121))</f>
        <v>3099</v>
      </c>
      <c r="AM121" s="45"/>
      <c r="AN121" s="45"/>
      <c r="AO121" s="45"/>
      <c r="AP121" s="45"/>
      <c r="AQ121" s="45"/>
      <c r="AR121" s="45"/>
      <c r="AS121" s="45"/>
      <c r="AT121" s="45"/>
      <c r="AU121" s="45"/>
      <c r="AV121" s="47"/>
      <c r="AW121" s="48" t="str">
        <f>REV!AW121</f>
        <v>01.12.2026</v>
      </c>
      <c r="AX121" s="153" t="str">
        <f>VLOOKUP(C121,REV!C:AX,48,0)</f>
        <v>5G</v>
      </c>
    </row>
    <row r="122" spans="1:50" ht="22.5" customHeight="1">
      <c r="A122" s="41" t="s">
        <v>63</v>
      </c>
      <c r="B122" s="42" t="s">
        <v>64</v>
      </c>
      <c r="C122" s="43">
        <v>4017846</v>
      </c>
      <c r="D122" s="52" t="s">
        <v>207</v>
      </c>
      <c r="E122" s="44" t="s">
        <v>210</v>
      </c>
      <c r="F122" s="54"/>
      <c r="G122" s="45">
        <v>4899</v>
      </c>
      <c r="H122" s="45">
        <v>5399</v>
      </c>
      <c r="I122" s="45">
        <v>5399</v>
      </c>
      <c r="J122" s="46">
        <f>IF(VLOOKUP($C122,REV!$C:$AA,8,0)-'TRADE IN'!$F122=0,"",(VLOOKUP($C122,REV!$C:$AA,8,0)-'TRADE IN'!$F122))</f>
        <v>4999</v>
      </c>
      <c r="K122" s="46">
        <f>IF(VLOOKUP($C122,REV!$C:$AA,9,0)-'TRADE IN'!$F122=0,"",(VLOOKUP($C122,REV!$C:$AA,9,0)-'TRADE IN'!$F122))</f>
        <v>4999</v>
      </c>
      <c r="L122" s="46">
        <f>IF(VLOOKUP($C122,REV!$C:$AA,10,0)-'TRADE IN'!$F122=0,"",(VLOOKUP($C122,REV!$C:$AA,10,0)-'TRADE IN'!$F122))</f>
        <v>4999</v>
      </c>
      <c r="M122" s="46">
        <f>IF(VLOOKUP($C122,REV!$C:$AA,11,0)-'TRADE IN'!$F122=0,"",(VLOOKUP($C122,REV!$C:$AA,11,0)-'TRADE IN'!$F122))</f>
        <v>4999</v>
      </c>
      <c r="N122" s="46">
        <f>IF(VLOOKUP($C122,REV!$C:$AA,12,0)-'TRADE IN'!$F122=0,"",(VLOOKUP($C122,REV!$C:$AA,12,0)-'TRADE IN'!$F122))</f>
        <v>4999</v>
      </c>
      <c r="O122" s="46">
        <f>IF(VLOOKUP($C122,REV!$C:$AA,13,0)-'TRADE IN'!$F122=0,"",(VLOOKUP($C122,REV!$C:$AA,13,0)-'TRADE IN'!$F122))</f>
        <v>4899</v>
      </c>
      <c r="P122" s="46">
        <f>IF(VLOOKUP($C122,REV!$C:$AA,14,0)-'TRADE IN'!$F122=0,"",(VLOOKUP($C122,REV!$C:$AA,14,0)-'TRADE IN'!$F122))</f>
        <v>4799</v>
      </c>
      <c r="Q122" s="46">
        <f>IF(VLOOKUP($C122,REV!$C:$AA,15,0)-'TRADE IN'!$F122=0,"",(VLOOKUP($C122,REV!$C:$AA,15,0)-'TRADE IN'!$F122))</f>
        <v>3999</v>
      </c>
      <c r="R122" s="46">
        <f>IF(VLOOKUP($C122,REV!$C:$AA,16,0)-'TRADE IN'!$F122=0,"",(VLOOKUP($C122,REV!$C:$AA,16,0)-'TRADE IN'!$F122))</f>
        <v>4899</v>
      </c>
      <c r="S122" s="46">
        <f>IF(VLOOKUP($C122,REV!$C:$AA,17,0)-'TRADE IN'!$F122=0,"",(VLOOKUP($C122,REV!$C:$AA,17,0)-'TRADE IN'!$F122))</f>
        <v>4799</v>
      </c>
      <c r="T122" s="46">
        <f>IF(VLOOKUP($C122,REV!$C:$AA,18,0)-'TRADE IN'!$F122=0,"",(VLOOKUP($C122,REV!$C:$AA,18,0)-'TRADE IN'!$F122))</f>
        <v>3999</v>
      </c>
      <c r="U122" s="46">
        <f>IF(VLOOKUP($C122,REV!$C:$AA,19,0)-'TRADE IN'!$F122=0,"",(VLOOKUP($C122,REV!$C:$AA,19,0)-'TRADE IN'!$F122))</f>
        <v>3999</v>
      </c>
      <c r="V122" s="46">
        <f>IF(VLOOKUP($C122,REV!$C:$AA,20,0)-'TRADE IN'!$F122=0,"",(VLOOKUP($C122,REV!$C:$AA,20,0)-'TRADE IN'!$F122))</f>
        <v>3999</v>
      </c>
      <c r="W122" s="46">
        <f>IF(VLOOKUP($C122,REV!$C:$AA,21,0)-'TRADE IN'!$F122=0,"",(VLOOKUP($C122,REV!$C:$AA,21,0)-'TRADE IN'!$F122))</f>
        <v>3999</v>
      </c>
      <c r="X122" s="46">
        <f>IF(VLOOKUP($C122,REV!$C:$AA,22,0)-'TRADE IN'!$F122=0,"",(VLOOKUP($C122,REV!$C:$AA,22,0)-'TRADE IN'!$F122))</f>
        <v>3899</v>
      </c>
      <c r="Y122" s="46">
        <f>IF(VLOOKUP($C122,REV!$C:$AA,23,0)-'TRADE IN'!$F122=0,"",(VLOOKUP($C122,REV!$C:$AA,23,0)-'TRADE IN'!$F122))</f>
        <v>3099</v>
      </c>
      <c r="Z122" s="46">
        <f>IF(VLOOKUP($C122,REV!$C:$AA,24,0)-'TRADE IN'!$F122=0,"",(VLOOKUP($C122,REV!$C:$AA,24,0)-'TRADE IN'!$F122))</f>
        <v>3099</v>
      </c>
      <c r="AA122" s="46">
        <f>IF(VLOOKUP($C122,REV!$C:$AA,25,0)-'TRADE IN'!$F122=0,"",(VLOOKUP($C122,REV!$C:$AA,25,0)-'TRADE IN'!$F122))</f>
        <v>2999</v>
      </c>
      <c r="AB122" s="45">
        <f>IF(VLOOKUP($C122,REV!$C:$AL,27,0)-'TRADE IN'!$F122=0,"",(VLOOKUP($C122,REV!$C:$AL,27,0)-'TRADE IN'!$F122))</f>
        <v>4999</v>
      </c>
      <c r="AC122" s="45">
        <f>IF(VLOOKUP($C122,REV!$C:$AL,28,0)-'TRADE IN'!$F122=0,"",(VLOOKUP($C122,REV!$C:$AL,28,0)-'TRADE IN'!$F122))</f>
        <v>4999</v>
      </c>
      <c r="AD122" s="45">
        <f>IF(VLOOKUP($C122,REV!$C:$AL,29,0)-'TRADE IN'!$F122=0,"",(VLOOKUP($C122,REV!$C:$AL,29,0)-'TRADE IN'!$F122))</f>
        <v>4999</v>
      </c>
      <c r="AE122" s="45">
        <f>IF(VLOOKUP($C122,REV!$C:$AL,30,0)-'TRADE IN'!$F122=0,"",(VLOOKUP($C122,REV!$C:$AL,30,0)-'TRADE IN'!$F122))</f>
        <v>4899</v>
      </c>
      <c r="AF122" s="45">
        <f>IF(VLOOKUP($C122,REV!$C:$AL,31,0)-'TRADE IN'!$F122=0,"",(VLOOKUP($C122,REV!$C:$AL,31,0)-'TRADE IN'!$F122))</f>
        <v>4799</v>
      </c>
      <c r="AG122" s="45">
        <f>IF(VLOOKUP($C122,REV!$C:$AL,31,0)-'TRADE IN'!$F122=0,"",(VLOOKUP($C122,REV!$C:$AL,31,0)-'TRADE IN'!$F122))</f>
        <v>4799</v>
      </c>
      <c r="AH122" s="45">
        <f>IF(VLOOKUP($C122,REV!$C:$AL,32,0)-'TRADE IN'!$F122=0,"",(VLOOKUP($C122,REV!$C:$AL,32,0)-'TRADE IN'!$F122))</f>
        <v>3999</v>
      </c>
      <c r="AI122" s="45">
        <f>IF(VLOOKUP($C122,REV!$C:$AL,33,0)-'TRADE IN'!$F122=0,"",(VLOOKUP($C122,REV!$C:$AL,33,0)-'TRADE IN'!$F122))</f>
        <v>3999</v>
      </c>
      <c r="AJ122" s="45">
        <f>IF(VLOOKUP($C122,REV!$C:$AL,34,0)-'TRADE IN'!$F122=0,"",(VLOOKUP($C122,REV!$C:$AL,34,0)-'TRADE IN'!$F122))</f>
        <v>3999</v>
      </c>
      <c r="AK122" s="45">
        <f>IF(VLOOKUP($C122,REV!$C:$AL,35,0)-'TRADE IN'!$F122=0,"",(VLOOKUP($C122,REV!$C:$AL,35,0)-'TRADE IN'!$F122))</f>
        <v>3999</v>
      </c>
      <c r="AL122" s="45">
        <f>IF(VLOOKUP($C122,REV!$C:$AL,36,0)-'TRADE IN'!$F122=0,"",(VLOOKUP($C122,REV!$C:$AL,36,0)-'TRADE IN'!$F122))</f>
        <v>3099</v>
      </c>
      <c r="AM122" s="45"/>
      <c r="AN122" s="45"/>
      <c r="AO122" s="45"/>
      <c r="AP122" s="45"/>
      <c r="AQ122" s="45"/>
      <c r="AR122" s="45"/>
      <c r="AS122" s="45"/>
      <c r="AT122" s="45"/>
      <c r="AU122" s="45"/>
      <c r="AV122" s="47"/>
      <c r="AW122" s="48" t="str">
        <f>REV!AW122</f>
        <v>01.12.2026</v>
      </c>
      <c r="AX122" s="153" t="str">
        <f>VLOOKUP(C122,REV!C:AX,48,0)</f>
        <v>5G</v>
      </c>
    </row>
    <row r="123" spans="1:50" ht="22.5" customHeight="1">
      <c r="A123" s="41" t="s">
        <v>63</v>
      </c>
      <c r="B123" s="42" t="s">
        <v>64</v>
      </c>
      <c r="C123" s="43">
        <v>4017981</v>
      </c>
      <c r="D123" s="52" t="s">
        <v>207</v>
      </c>
      <c r="E123" s="44" t="s">
        <v>211</v>
      </c>
      <c r="F123" s="54"/>
      <c r="G123" s="45">
        <v>4899</v>
      </c>
      <c r="H123" s="45">
        <v>5399</v>
      </c>
      <c r="I123" s="45">
        <v>5399</v>
      </c>
      <c r="J123" s="46">
        <f>IF(VLOOKUP($C123,REV!$C:$AA,8,0)-'TRADE IN'!$F123=0,"",(VLOOKUP($C123,REV!$C:$AA,8,0)-'TRADE IN'!$F123))</f>
        <v>4999</v>
      </c>
      <c r="K123" s="46">
        <f>IF(VLOOKUP($C123,REV!$C:$AA,9,0)-'TRADE IN'!$F123=0,"",(VLOOKUP($C123,REV!$C:$AA,9,0)-'TRADE IN'!$F123))</f>
        <v>4999</v>
      </c>
      <c r="L123" s="46">
        <f>IF(VLOOKUP($C123,REV!$C:$AA,10,0)-'TRADE IN'!$F123=0,"",(VLOOKUP($C123,REV!$C:$AA,10,0)-'TRADE IN'!$F123))</f>
        <v>4999</v>
      </c>
      <c r="M123" s="46">
        <f>IF(VLOOKUP($C123,REV!$C:$AA,11,0)-'TRADE IN'!$F123=0,"",(VLOOKUP($C123,REV!$C:$AA,11,0)-'TRADE IN'!$F123))</f>
        <v>4999</v>
      </c>
      <c r="N123" s="46">
        <f>IF(VLOOKUP($C123,REV!$C:$AA,12,0)-'TRADE IN'!$F123=0,"",(VLOOKUP($C123,REV!$C:$AA,12,0)-'TRADE IN'!$F123))</f>
        <v>4999</v>
      </c>
      <c r="O123" s="46">
        <f>IF(VLOOKUP($C123,REV!$C:$AA,13,0)-'TRADE IN'!$F123=0,"",(VLOOKUP($C123,REV!$C:$AA,13,0)-'TRADE IN'!$F123))</f>
        <v>4899</v>
      </c>
      <c r="P123" s="46">
        <f>IF(VLOOKUP($C123,REV!$C:$AA,14,0)-'TRADE IN'!$F123=0,"",(VLOOKUP($C123,REV!$C:$AA,14,0)-'TRADE IN'!$F123))</f>
        <v>4799</v>
      </c>
      <c r="Q123" s="46">
        <f>IF(VLOOKUP($C123,REV!$C:$AA,15,0)-'TRADE IN'!$F123=0,"",(VLOOKUP($C123,REV!$C:$AA,15,0)-'TRADE IN'!$F123))</f>
        <v>3999</v>
      </c>
      <c r="R123" s="46">
        <f>IF(VLOOKUP($C123,REV!$C:$AA,16,0)-'TRADE IN'!$F123=0,"",(VLOOKUP($C123,REV!$C:$AA,16,0)-'TRADE IN'!$F123))</f>
        <v>4899</v>
      </c>
      <c r="S123" s="46">
        <f>IF(VLOOKUP($C123,REV!$C:$AA,17,0)-'TRADE IN'!$F123=0,"",(VLOOKUP($C123,REV!$C:$AA,17,0)-'TRADE IN'!$F123))</f>
        <v>4799</v>
      </c>
      <c r="T123" s="46">
        <f>IF(VLOOKUP($C123,REV!$C:$AA,18,0)-'TRADE IN'!$F123=0,"",(VLOOKUP($C123,REV!$C:$AA,18,0)-'TRADE IN'!$F123))</f>
        <v>3999</v>
      </c>
      <c r="U123" s="46">
        <f>IF(VLOOKUP($C123,REV!$C:$AA,19,0)-'TRADE IN'!$F123=0,"",(VLOOKUP($C123,REV!$C:$AA,19,0)-'TRADE IN'!$F123))</f>
        <v>3999</v>
      </c>
      <c r="V123" s="46">
        <f>IF(VLOOKUP($C123,REV!$C:$AA,20,0)-'TRADE IN'!$F123=0,"",(VLOOKUP($C123,REV!$C:$AA,20,0)-'TRADE IN'!$F123))</f>
        <v>3999</v>
      </c>
      <c r="W123" s="46">
        <f>IF(VLOOKUP($C123,REV!$C:$AA,21,0)-'TRADE IN'!$F123=0,"",(VLOOKUP($C123,REV!$C:$AA,21,0)-'TRADE IN'!$F123))</f>
        <v>3999</v>
      </c>
      <c r="X123" s="46">
        <f>IF(VLOOKUP($C123,REV!$C:$AA,22,0)-'TRADE IN'!$F123=0,"",(VLOOKUP($C123,REV!$C:$AA,22,0)-'TRADE IN'!$F123))</f>
        <v>3899</v>
      </c>
      <c r="Y123" s="46">
        <f>IF(VLOOKUP($C123,REV!$C:$AA,23,0)-'TRADE IN'!$F123=0,"",(VLOOKUP($C123,REV!$C:$AA,23,0)-'TRADE IN'!$F123))</f>
        <v>3099</v>
      </c>
      <c r="Z123" s="46">
        <f>IF(VLOOKUP($C123,REV!$C:$AA,24,0)-'TRADE IN'!$F123=0,"",(VLOOKUP($C123,REV!$C:$AA,24,0)-'TRADE IN'!$F123))</f>
        <v>3099</v>
      </c>
      <c r="AA123" s="46">
        <f>IF(VLOOKUP($C123,REV!$C:$AA,25,0)-'TRADE IN'!$F123=0,"",(VLOOKUP($C123,REV!$C:$AA,25,0)-'TRADE IN'!$F123))</f>
        <v>2999</v>
      </c>
      <c r="AB123" s="45">
        <f>IF(VLOOKUP($C123,REV!$C:$AL,27,0)-'TRADE IN'!$F123=0,"",(VLOOKUP($C123,REV!$C:$AL,27,0)-'TRADE IN'!$F123))</f>
        <v>4999</v>
      </c>
      <c r="AC123" s="45">
        <f>IF(VLOOKUP($C123,REV!$C:$AL,28,0)-'TRADE IN'!$F123=0,"",(VLOOKUP($C123,REV!$C:$AL,28,0)-'TRADE IN'!$F123))</f>
        <v>4999</v>
      </c>
      <c r="AD123" s="45">
        <f>IF(VLOOKUP($C123,REV!$C:$AL,29,0)-'TRADE IN'!$F123=0,"",(VLOOKUP($C123,REV!$C:$AL,29,0)-'TRADE IN'!$F123))</f>
        <v>4999</v>
      </c>
      <c r="AE123" s="45">
        <f>IF(VLOOKUP($C123,REV!$C:$AL,30,0)-'TRADE IN'!$F123=0,"",(VLOOKUP($C123,REV!$C:$AL,30,0)-'TRADE IN'!$F123))</f>
        <v>4899</v>
      </c>
      <c r="AF123" s="45">
        <f>IF(VLOOKUP($C123,REV!$C:$AL,31,0)-'TRADE IN'!$F123=0,"",(VLOOKUP($C123,REV!$C:$AL,31,0)-'TRADE IN'!$F123))</f>
        <v>4799</v>
      </c>
      <c r="AG123" s="45">
        <f>IF(VLOOKUP($C123,REV!$C:$AL,31,0)-'TRADE IN'!$F123=0,"",(VLOOKUP($C123,REV!$C:$AL,31,0)-'TRADE IN'!$F123))</f>
        <v>4799</v>
      </c>
      <c r="AH123" s="45">
        <f>IF(VLOOKUP($C123,REV!$C:$AL,32,0)-'TRADE IN'!$F123=0,"",(VLOOKUP($C123,REV!$C:$AL,32,0)-'TRADE IN'!$F123))</f>
        <v>3999</v>
      </c>
      <c r="AI123" s="45">
        <f>IF(VLOOKUP($C123,REV!$C:$AL,33,0)-'TRADE IN'!$F123=0,"",(VLOOKUP($C123,REV!$C:$AL,33,0)-'TRADE IN'!$F123))</f>
        <v>3999</v>
      </c>
      <c r="AJ123" s="45">
        <f>IF(VLOOKUP($C123,REV!$C:$AL,34,0)-'TRADE IN'!$F123=0,"",(VLOOKUP($C123,REV!$C:$AL,34,0)-'TRADE IN'!$F123))</f>
        <v>3999</v>
      </c>
      <c r="AK123" s="45">
        <f>IF(VLOOKUP($C123,REV!$C:$AL,35,0)-'TRADE IN'!$F123=0,"",(VLOOKUP($C123,REV!$C:$AL,35,0)-'TRADE IN'!$F123))</f>
        <v>3999</v>
      </c>
      <c r="AL123" s="45">
        <f>IF(VLOOKUP($C123,REV!$C:$AL,36,0)-'TRADE IN'!$F123=0,"",(VLOOKUP($C123,REV!$C:$AL,36,0)-'TRADE IN'!$F123))</f>
        <v>3099</v>
      </c>
      <c r="AM123" s="45"/>
      <c r="AN123" s="45"/>
      <c r="AO123" s="45"/>
      <c r="AP123" s="45"/>
      <c r="AQ123" s="45"/>
      <c r="AR123" s="45"/>
      <c r="AS123" s="45"/>
      <c r="AT123" s="45"/>
      <c r="AU123" s="45"/>
      <c r="AV123" s="47"/>
      <c r="AW123" s="48" t="str">
        <f>REV!AW123</f>
        <v>01.12.2026</v>
      </c>
      <c r="AX123" s="153" t="str">
        <f>VLOOKUP(C123,REV!C:AX,48,0)</f>
        <v>5G</v>
      </c>
    </row>
    <row r="124" spans="1:50" ht="22.5" customHeight="1">
      <c r="A124" s="41" t="s">
        <v>63</v>
      </c>
      <c r="B124" s="42" t="s">
        <v>64</v>
      </c>
      <c r="C124" s="43">
        <v>4017980</v>
      </c>
      <c r="D124" s="52" t="s">
        <v>207</v>
      </c>
      <c r="E124" s="44" t="s">
        <v>212</v>
      </c>
      <c r="F124" s="54"/>
      <c r="G124" s="45">
        <v>4899</v>
      </c>
      <c r="H124" s="45">
        <v>5399</v>
      </c>
      <c r="I124" s="45">
        <v>5399</v>
      </c>
      <c r="J124" s="46">
        <f>IF(VLOOKUP($C124,REV!$C:$AA,8,0)-'TRADE IN'!$F124=0,"",(VLOOKUP($C124,REV!$C:$AA,8,0)-'TRADE IN'!$F124))</f>
        <v>4999</v>
      </c>
      <c r="K124" s="46">
        <f>IF(VLOOKUP($C124,REV!$C:$AA,9,0)-'TRADE IN'!$F124=0,"",(VLOOKUP($C124,REV!$C:$AA,9,0)-'TRADE IN'!$F124))</f>
        <v>4999</v>
      </c>
      <c r="L124" s="46">
        <f>IF(VLOOKUP($C124,REV!$C:$AA,10,0)-'TRADE IN'!$F124=0,"",(VLOOKUP($C124,REV!$C:$AA,10,0)-'TRADE IN'!$F124))</f>
        <v>4999</v>
      </c>
      <c r="M124" s="46">
        <f>IF(VLOOKUP($C124,REV!$C:$AA,11,0)-'TRADE IN'!$F124=0,"",(VLOOKUP($C124,REV!$C:$AA,11,0)-'TRADE IN'!$F124))</f>
        <v>4999</v>
      </c>
      <c r="N124" s="46">
        <f>IF(VLOOKUP($C124,REV!$C:$AA,12,0)-'TRADE IN'!$F124=0,"",(VLOOKUP($C124,REV!$C:$AA,12,0)-'TRADE IN'!$F124))</f>
        <v>4999</v>
      </c>
      <c r="O124" s="46">
        <f>IF(VLOOKUP($C124,REV!$C:$AA,13,0)-'TRADE IN'!$F124=0,"",(VLOOKUP($C124,REV!$C:$AA,13,0)-'TRADE IN'!$F124))</f>
        <v>4899</v>
      </c>
      <c r="P124" s="46">
        <f>IF(VLOOKUP($C124,REV!$C:$AA,14,0)-'TRADE IN'!$F124=0,"",(VLOOKUP($C124,REV!$C:$AA,14,0)-'TRADE IN'!$F124))</f>
        <v>4799</v>
      </c>
      <c r="Q124" s="46">
        <f>IF(VLOOKUP($C124,REV!$C:$AA,15,0)-'TRADE IN'!$F124=0,"",(VLOOKUP($C124,REV!$C:$AA,15,0)-'TRADE IN'!$F124))</f>
        <v>3999</v>
      </c>
      <c r="R124" s="46">
        <f>IF(VLOOKUP($C124,REV!$C:$AA,16,0)-'TRADE IN'!$F124=0,"",(VLOOKUP($C124,REV!$C:$AA,16,0)-'TRADE IN'!$F124))</f>
        <v>4899</v>
      </c>
      <c r="S124" s="46">
        <f>IF(VLOOKUP($C124,REV!$C:$AA,17,0)-'TRADE IN'!$F124=0,"",(VLOOKUP($C124,REV!$C:$AA,17,0)-'TRADE IN'!$F124))</f>
        <v>4799</v>
      </c>
      <c r="T124" s="46">
        <f>IF(VLOOKUP($C124,REV!$C:$AA,18,0)-'TRADE IN'!$F124=0,"",(VLOOKUP($C124,REV!$C:$AA,18,0)-'TRADE IN'!$F124))</f>
        <v>3999</v>
      </c>
      <c r="U124" s="46">
        <f>IF(VLOOKUP($C124,REV!$C:$AA,19,0)-'TRADE IN'!$F124=0,"",(VLOOKUP($C124,REV!$C:$AA,19,0)-'TRADE IN'!$F124))</f>
        <v>3999</v>
      </c>
      <c r="V124" s="46">
        <f>IF(VLOOKUP($C124,REV!$C:$AA,20,0)-'TRADE IN'!$F124=0,"",(VLOOKUP($C124,REV!$C:$AA,20,0)-'TRADE IN'!$F124))</f>
        <v>3999</v>
      </c>
      <c r="W124" s="46">
        <f>IF(VLOOKUP($C124,REV!$C:$AA,21,0)-'TRADE IN'!$F124=0,"",(VLOOKUP($C124,REV!$C:$AA,21,0)-'TRADE IN'!$F124))</f>
        <v>3999</v>
      </c>
      <c r="X124" s="46">
        <f>IF(VLOOKUP($C124,REV!$C:$AA,22,0)-'TRADE IN'!$F124=0,"",(VLOOKUP($C124,REV!$C:$AA,22,0)-'TRADE IN'!$F124))</f>
        <v>3899</v>
      </c>
      <c r="Y124" s="46">
        <f>IF(VLOOKUP($C124,REV!$C:$AA,23,0)-'TRADE IN'!$F124=0,"",(VLOOKUP($C124,REV!$C:$AA,23,0)-'TRADE IN'!$F124))</f>
        <v>3099</v>
      </c>
      <c r="Z124" s="46">
        <f>IF(VLOOKUP($C124,REV!$C:$AA,24,0)-'TRADE IN'!$F124=0,"",(VLOOKUP($C124,REV!$C:$AA,24,0)-'TRADE IN'!$F124))</f>
        <v>3099</v>
      </c>
      <c r="AA124" s="46">
        <f>IF(VLOOKUP($C124,REV!$C:$AA,25,0)-'TRADE IN'!$F124=0,"",(VLOOKUP($C124,REV!$C:$AA,25,0)-'TRADE IN'!$F124))</f>
        <v>2999</v>
      </c>
      <c r="AB124" s="45">
        <f>IF(VLOOKUP($C124,REV!$C:$AL,27,0)-'TRADE IN'!$F124=0,"",(VLOOKUP($C124,REV!$C:$AL,27,0)-'TRADE IN'!$F124))</f>
        <v>4999</v>
      </c>
      <c r="AC124" s="45">
        <f>IF(VLOOKUP($C124,REV!$C:$AL,28,0)-'TRADE IN'!$F124=0,"",(VLOOKUP($C124,REV!$C:$AL,28,0)-'TRADE IN'!$F124))</f>
        <v>4999</v>
      </c>
      <c r="AD124" s="45">
        <f>IF(VLOOKUP($C124,REV!$C:$AL,29,0)-'TRADE IN'!$F124=0,"",(VLOOKUP($C124,REV!$C:$AL,29,0)-'TRADE IN'!$F124))</f>
        <v>4999</v>
      </c>
      <c r="AE124" s="45">
        <f>IF(VLOOKUP($C124,REV!$C:$AL,30,0)-'TRADE IN'!$F124=0,"",(VLOOKUP($C124,REV!$C:$AL,30,0)-'TRADE IN'!$F124))</f>
        <v>4899</v>
      </c>
      <c r="AF124" s="45">
        <f>IF(VLOOKUP($C124,REV!$C:$AL,31,0)-'TRADE IN'!$F124=0,"",(VLOOKUP($C124,REV!$C:$AL,31,0)-'TRADE IN'!$F124))</f>
        <v>4799</v>
      </c>
      <c r="AG124" s="45">
        <f>IF(VLOOKUP($C124,REV!$C:$AL,31,0)-'TRADE IN'!$F124=0,"",(VLOOKUP($C124,REV!$C:$AL,31,0)-'TRADE IN'!$F124))</f>
        <v>4799</v>
      </c>
      <c r="AH124" s="45">
        <f>IF(VLOOKUP($C124,REV!$C:$AL,32,0)-'TRADE IN'!$F124=0,"",(VLOOKUP($C124,REV!$C:$AL,32,0)-'TRADE IN'!$F124))</f>
        <v>3999</v>
      </c>
      <c r="AI124" s="45">
        <f>IF(VLOOKUP($C124,REV!$C:$AL,33,0)-'TRADE IN'!$F124=0,"",(VLOOKUP($C124,REV!$C:$AL,33,0)-'TRADE IN'!$F124))</f>
        <v>3999</v>
      </c>
      <c r="AJ124" s="45">
        <f>IF(VLOOKUP($C124,REV!$C:$AL,34,0)-'TRADE IN'!$F124=0,"",(VLOOKUP($C124,REV!$C:$AL,34,0)-'TRADE IN'!$F124))</f>
        <v>3999</v>
      </c>
      <c r="AK124" s="45">
        <f>IF(VLOOKUP($C124,REV!$C:$AL,35,0)-'TRADE IN'!$F124=0,"",(VLOOKUP($C124,REV!$C:$AL,35,0)-'TRADE IN'!$F124))</f>
        <v>3999</v>
      </c>
      <c r="AL124" s="45">
        <f>IF(VLOOKUP($C124,REV!$C:$AL,36,0)-'TRADE IN'!$F124=0,"",(VLOOKUP($C124,REV!$C:$AL,36,0)-'TRADE IN'!$F124))</f>
        <v>3099</v>
      </c>
      <c r="AM124" s="45"/>
      <c r="AN124" s="45"/>
      <c r="AO124" s="45"/>
      <c r="AP124" s="45"/>
      <c r="AQ124" s="45"/>
      <c r="AR124" s="45"/>
      <c r="AS124" s="45"/>
      <c r="AT124" s="45"/>
      <c r="AU124" s="45"/>
      <c r="AV124" s="47"/>
      <c r="AW124" s="48" t="str">
        <f>REV!AW124</f>
        <v>01.12.2026</v>
      </c>
      <c r="AX124" s="153" t="str">
        <f>VLOOKUP(C124,REV!C:AX,48,0)</f>
        <v>5G</v>
      </c>
    </row>
    <row r="125" spans="1:50" ht="22.5" customHeight="1">
      <c r="A125" s="41" t="s">
        <v>63</v>
      </c>
      <c r="B125" s="42" t="s">
        <v>64</v>
      </c>
      <c r="C125" s="43">
        <v>4017985</v>
      </c>
      <c r="D125" s="52" t="s">
        <v>207</v>
      </c>
      <c r="E125" s="44" t="s">
        <v>213</v>
      </c>
      <c r="F125" s="54"/>
      <c r="G125" s="45">
        <v>4899</v>
      </c>
      <c r="H125" s="45">
        <v>5399</v>
      </c>
      <c r="I125" s="45">
        <v>5399</v>
      </c>
      <c r="J125" s="46">
        <f>IF(VLOOKUP($C125,REV!$C:$AA,8,0)-'TRADE IN'!$F125=0,"",(VLOOKUP($C125,REV!$C:$AA,8,0)-'TRADE IN'!$F125))</f>
        <v>4999</v>
      </c>
      <c r="K125" s="46">
        <f>IF(VLOOKUP($C125,REV!$C:$AA,9,0)-'TRADE IN'!$F125=0,"",(VLOOKUP($C125,REV!$C:$AA,9,0)-'TRADE IN'!$F125))</f>
        <v>4999</v>
      </c>
      <c r="L125" s="46">
        <f>IF(VLOOKUP($C125,REV!$C:$AA,10,0)-'TRADE IN'!$F125=0,"",(VLOOKUP($C125,REV!$C:$AA,10,0)-'TRADE IN'!$F125))</f>
        <v>4999</v>
      </c>
      <c r="M125" s="46">
        <f>IF(VLOOKUP($C125,REV!$C:$AA,11,0)-'TRADE IN'!$F125=0,"",(VLOOKUP($C125,REV!$C:$AA,11,0)-'TRADE IN'!$F125))</f>
        <v>4999</v>
      </c>
      <c r="N125" s="46">
        <f>IF(VLOOKUP($C125,REV!$C:$AA,12,0)-'TRADE IN'!$F125=0,"",(VLOOKUP($C125,REV!$C:$AA,12,0)-'TRADE IN'!$F125))</f>
        <v>4999</v>
      </c>
      <c r="O125" s="46">
        <f>IF(VLOOKUP($C125,REV!$C:$AA,13,0)-'TRADE IN'!$F125=0,"",(VLOOKUP($C125,REV!$C:$AA,13,0)-'TRADE IN'!$F125))</f>
        <v>4899</v>
      </c>
      <c r="P125" s="46">
        <f>IF(VLOOKUP($C125,REV!$C:$AA,14,0)-'TRADE IN'!$F125=0,"",(VLOOKUP($C125,REV!$C:$AA,14,0)-'TRADE IN'!$F125))</f>
        <v>4799</v>
      </c>
      <c r="Q125" s="46">
        <f>IF(VLOOKUP($C125,REV!$C:$AA,15,0)-'TRADE IN'!$F125=0,"",(VLOOKUP($C125,REV!$C:$AA,15,0)-'TRADE IN'!$F125))</f>
        <v>3999</v>
      </c>
      <c r="R125" s="46">
        <f>IF(VLOOKUP($C125,REV!$C:$AA,16,0)-'TRADE IN'!$F125=0,"",(VLOOKUP($C125,REV!$C:$AA,16,0)-'TRADE IN'!$F125))</f>
        <v>4899</v>
      </c>
      <c r="S125" s="46">
        <f>IF(VLOOKUP($C125,REV!$C:$AA,17,0)-'TRADE IN'!$F125=0,"",(VLOOKUP($C125,REV!$C:$AA,17,0)-'TRADE IN'!$F125))</f>
        <v>4799</v>
      </c>
      <c r="T125" s="46">
        <f>IF(VLOOKUP($C125,REV!$C:$AA,18,0)-'TRADE IN'!$F125=0,"",(VLOOKUP($C125,REV!$C:$AA,18,0)-'TRADE IN'!$F125))</f>
        <v>3999</v>
      </c>
      <c r="U125" s="46">
        <f>IF(VLOOKUP($C125,REV!$C:$AA,19,0)-'TRADE IN'!$F125=0,"",(VLOOKUP($C125,REV!$C:$AA,19,0)-'TRADE IN'!$F125))</f>
        <v>3999</v>
      </c>
      <c r="V125" s="46">
        <f>IF(VLOOKUP($C125,REV!$C:$AA,20,0)-'TRADE IN'!$F125=0,"",(VLOOKUP($C125,REV!$C:$AA,20,0)-'TRADE IN'!$F125))</f>
        <v>3999</v>
      </c>
      <c r="W125" s="46">
        <f>IF(VLOOKUP($C125,REV!$C:$AA,21,0)-'TRADE IN'!$F125=0,"",(VLOOKUP($C125,REV!$C:$AA,21,0)-'TRADE IN'!$F125))</f>
        <v>3999</v>
      </c>
      <c r="X125" s="46">
        <f>IF(VLOOKUP($C125,REV!$C:$AA,22,0)-'TRADE IN'!$F125=0,"",(VLOOKUP($C125,REV!$C:$AA,22,0)-'TRADE IN'!$F125))</f>
        <v>3899</v>
      </c>
      <c r="Y125" s="46">
        <f>IF(VLOOKUP($C125,REV!$C:$AA,23,0)-'TRADE IN'!$F125=0,"",(VLOOKUP($C125,REV!$C:$AA,23,0)-'TRADE IN'!$F125))</f>
        <v>3099</v>
      </c>
      <c r="Z125" s="46">
        <f>IF(VLOOKUP($C125,REV!$C:$AA,24,0)-'TRADE IN'!$F125=0,"",(VLOOKUP($C125,REV!$C:$AA,24,0)-'TRADE IN'!$F125))</f>
        <v>3099</v>
      </c>
      <c r="AA125" s="46">
        <f>IF(VLOOKUP($C125,REV!$C:$AA,25,0)-'TRADE IN'!$F125=0,"",(VLOOKUP($C125,REV!$C:$AA,25,0)-'TRADE IN'!$F125))</f>
        <v>2999</v>
      </c>
      <c r="AB125" s="45">
        <f>IF(VLOOKUP($C125,REV!$C:$AL,27,0)-'TRADE IN'!$F125=0,"",(VLOOKUP($C125,REV!$C:$AL,27,0)-'TRADE IN'!$F125))</f>
        <v>4999</v>
      </c>
      <c r="AC125" s="45">
        <f>IF(VLOOKUP($C125,REV!$C:$AL,28,0)-'TRADE IN'!$F125=0,"",(VLOOKUP($C125,REV!$C:$AL,28,0)-'TRADE IN'!$F125))</f>
        <v>4999</v>
      </c>
      <c r="AD125" s="45">
        <f>IF(VLOOKUP($C125,REV!$C:$AL,29,0)-'TRADE IN'!$F125=0,"",(VLOOKUP($C125,REV!$C:$AL,29,0)-'TRADE IN'!$F125))</f>
        <v>4999</v>
      </c>
      <c r="AE125" s="45">
        <f>IF(VLOOKUP($C125,REV!$C:$AL,30,0)-'TRADE IN'!$F125=0,"",(VLOOKUP($C125,REV!$C:$AL,30,0)-'TRADE IN'!$F125))</f>
        <v>4899</v>
      </c>
      <c r="AF125" s="45">
        <f>IF(VLOOKUP($C125,REV!$C:$AL,31,0)-'TRADE IN'!$F125=0,"",(VLOOKUP($C125,REV!$C:$AL,31,0)-'TRADE IN'!$F125))</f>
        <v>4799</v>
      </c>
      <c r="AG125" s="45">
        <f>IF(VLOOKUP($C125,REV!$C:$AL,31,0)-'TRADE IN'!$F125=0,"",(VLOOKUP($C125,REV!$C:$AL,31,0)-'TRADE IN'!$F125))</f>
        <v>4799</v>
      </c>
      <c r="AH125" s="45">
        <f>IF(VLOOKUP($C125,REV!$C:$AL,32,0)-'TRADE IN'!$F125=0,"",(VLOOKUP($C125,REV!$C:$AL,32,0)-'TRADE IN'!$F125))</f>
        <v>3999</v>
      </c>
      <c r="AI125" s="45">
        <f>IF(VLOOKUP($C125,REV!$C:$AL,33,0)-'TRADE IN'!$F125=0,"",(VLOOKUP($C125,REV!$C:$AL,33,0)-'TRADE IN'!$F125))</f>
        <v>3999</v>
      </c>
      <c r="AJ125" s="45">
        <f>IF(VLOOKUP($C125,REV!$C:$AL,34,0)-'TRADE IN'!$F125=0,"",(VLOOKUP($C125,REV!$C:$AL,34,0)-'TRADE IN'!$F125))</f>
        <v>3999</v>
      </c>
      <c r="AK125" s="45">
        <f>IF(VLOOKUP($C125,REV!$C:$AL,35,0)-'TRADE IN'!$F125=0,"",(VLOOKUP($C125,REV!$C:$AL,35,0)-'TRADE IN'!$F125))</f>
        <v>3999</v>
      </c>
      <c r="AL125" s="45">
        <f>IF(VLOOKUP($C125,REV!$C:$AL,36,0)-'TRADE IN'!$F125=0,"",(VLOOKUP($C125,REV!$C:$AL,36,0)-'TRADE IN'!$F125))</f>
        <v>3099</v>
      </c>
      <c r="AM125" s="45"/>
      <c r="AN125" s="45"/>
      <c r="AO125" s="45"/>
      <c r="AP125" s="45"/>
      <c r="AQ125" s="45"/>
      <c r="AR125" s="45"/>
      <c r="AS125" s="45"/>
      <c r="AT125" s="45"/>
      <c r="AU125" s="45"/>
      <c r="AV125" s="47"/>
      <c r="AW125" s="48" t="str">
        <f>REV!AW125</f>
        <v>01.12.2026</v>
      </c>
      <c r="AX125" s="153" t="str">
        <f>VLOOKUP(C125,REV!C:AX,48,0)</f>
        <v>5G</v>
      </c>
    </row>
    <row r="126" spans="1:50" ht="22.5" customHeight="1">
      <c r="A126" s="41" t="s">
        <v>63</v>
      </c>
      <c r="B126" s="42" t="s">
        <v>64</v>
      </c>
      <c r="C126" s="43">
        <v>4018280</v>
      </c>
      <c r="D126" s="44" t="s">
        <v>214</v>
      </c>
      <c r="E126" s="44" t="s">
        <v>215</v>
      </c>
      <c r="F126" s="45"/>
      <c r="G126" s="45"/>
      <c r="H126" s="45"/>
      <c r="I126" s="45"/>
      <c r="J126" s="46">
        <f>IF(VLOOKUP($C126,REV!$C:$AA,8,0)-'TRADE IN'!$F126=0,"",(VLOOKUP($C126,REV!$C:$AA,8,0)-'TRADE IN'!$F126))</f>
        <v>10899</v>
      </c>
      <c r="K126" s="46">
        <f>IF(VLOOKUP($C126,REV!$C:$AA,9,0)-'TRADE IN'!$F126=0,"",(VLOOKUP($C126,REV!$C:$AA,9,0)-'TRADE IN'!$F126))</f>
        <v>10899</v>
      </c>
      <c r="L126" s="46">
        <f>IF(VLOOKUP($C126,REV!$C:$AA,10,0)-'TRADE IN'!$F126=0,"",(VLOOKUP($C126,REV!$C:$AA,10,0)-'TRADE IN'!$F126))</f>
        <v>10899</v>
      </c>
      <c r="M126" s="46">
        <f>IF(VLOOKUP($C126,REV!$C:$AA,11,0)-'TRADE IN'!$F126=0,"",(VLOOKUP($C126,REV!$C:$AA,11,0)-'TRADE IN'!$F126))</f>
        <v>10899</v>
      </c>
      <c r="N126" s="46">
        <f>IF(VLOOKUP($C126,REV!$C:$AA,12,0)-'TRADE IN'!$F126=0,"",(VLOOKUP($C126,REV!$C:$AA,12,0)-'TRADE IN'!$F126))</f>
        <v>10899</v>
      </c>
      <c r="O126" s="46">
        <f>IF(VLOOKUP($C126,REV!$C:$AA,13,0)-'TRADE IN'!$F126=0,"",(VLOOKUP($C126,REV!$C:$AA,13,0)-'TRADE IN'!$F126))</f>
        <v>10799</v>
      </c>
      <c r="P126" s="46">
        <f>IF(VLOOKUP($C126,REV!$C:$AA,14,0)-'TRADE IN'!$F126=0,"",(VLOOKUP($C126,REV!$C:$AA,14,0)-'TRADE IN'!$F126))</f>
        <v>10699</v>
      </c>
      <c r="Q126" s="46">
        <f>IF(VLOOKUP($C126,REV!$C:$AA,15,0)-'TRADE IN'!$F126=0,"",(VLOOKUP($C126,REV!$C:$AA,15,0)-'TRADE IN'!$F126))</f>
        <v>9999</v>
      </c>
      <c r="R126" s="46">
        <f>IF(VLOOKUP($C126,REV!$C:$AA,16,0)-'TRADE IN'!$F126=0,"",(VLOOKUP($C126,REV!$C:$AA,16,0)-'TRADE IN'!$F126))</f>
        <v>10799</v>
      </c>
      <c r="S126" s="46">
        <f>IF(VLOOKUP($C126,REV!$C:$AA,17,0)-'TRADE IN'!$F126=0,"",(VLOOKUP($C126,REV!$C:$AA,17,0)-'TRADE IN'!$F126))</f>
        <v>10699</v>
      </c>
      <c r="T126" s="46">
        <f>IF(VLOOKUP($C126,REV!$C:$AA,18,0)-'TRADE IN'!$F126=0,"",(VLOOKUP($C126,REV!$C:$AA,18,0)-'TRADE IN'!$F126))</f>
        <v>9999</v>
      </c>
      <c r="U126" s="46">
        <f>IF(VLOOKUP($C126,REV!$C:$AA,19,0)-'TRADE IN'!$F126=0,"",(VLOOKUP($C126,REV!$C:$AA,19,0)-'TRADE IN'!$F126))</f>
        <v>9999</v>
      </c>
      <c r="V126" s="46">
        <f>IF(VLOOKUP($C126,REV!$C:$AA,20,0)-'TRADE IN'!$F126=0,"",(VLOOKUP($C126,REV!$C:$AA,20,0)-'TRADE IN'!$F126))</f>
        <v>9999</v>
      </c>
      <c r="W126" s="46">
        <f>IF(VLOOKUP($C126,REV!$C:$AA,21,0)-'TRADE IN'!$F126=0,"",(VLOOKUP($C126,REV!$C:$AA,21,0)-'TRADE IN'!$F126))</f>
        <v>9999</v>
      </c>
      <c r="X126" s="46">
        <f>IF(VLOOKUP($C126,REV!$C:$AA,22,0)-'TRADE IN'!$F126=0,"",(VLOOKUP($C126,REV!$C:$AA,22,0)-'TRADE IN'!$F126))</f>
        <v>9899</v>
      </c>
      <c r="Y126" s="46">
        <f>IF(VLOOKUP($C126,REV!$C:$AA,23,0)-'TRADE IN'!$F126=0,"",(VLOOKUP($C126,REV!$C:$AA,23,0)-'TRADE IN'!$F126))</f>
        <v>9499</v>
      </c>
      <c r="Z126" s="46">
        <f>IF(VLOOKUP($C126,REV!$C:$AA,24,0)-'TRADE IN'!$F126=0,"",(VLOOKUP($C126,REV!$C:$AA,24,0)-'TRADE IN'!$F126))</f>
        <v>9499</v>
      </c>
      <c r="AA126" s="46">
        <f>IF(VLOOKUP($C126,REV!$C:$AA,25,0)-'TRADE IN'!$F126=0,"",(VLOOKUP($C126,REV!$C:$AA,25,0)-'TRADE IN'!$F126))</f>
        <v>9299</v>
      </c>
      <c r="AB126" s="45">
        <f>IF(VLOOKUP($C126,REV!$C:$AL,27,0)-'TRADE IN'!$F126=0,"",(VLOOKUP($C126,REV!$C:$AL,27,0)-'TRADE IN'!$F126))</f>
        <v>10899</v>
      </c>
      <c r="AC126" s="45">
        <f>IF(VLOOKUP($C126,REV!$C:$AL,28,0)-'TRADE IN'!$F126=0,"",(VLOOKUP($C126,REV!$C:$AL,28,0)-'TRADE IN'!$F126))</f>
        <v>10899</v>
      </c>
      <c r="AD126" s="45">
        <f>IF(VLOOKUP($C126,REV!$C:$AL,29,0)-'TRADE IN'!$F126=0,"",(VLOOKUP($C126,REV!$C:$AL,29,0)-'TRADE IN'!$F126))</f>
        <v>10899</v>
      </c>
      <c r="AE126" s="45">
        <f>IF(VLOOKUP($C126,REV!$C:$AL,30,0)-'TRADE IN'!$F126=0,"",(VLOOKUP($C126,REV!$C:$AL,30,0)-'TRADE IN'!$F126))</f>
        <v>10799</v>
      </c>
      <c r="AF126" s="45">
        <f>IF(VLOOKUP($C126,REV!$C:$AL,31,0)-'TRADE IN'!$F126=0,"",(VLOOKUP($C126,REV!$C:$AL,31,0)-'TRADE IN'!$F126))</f>
        <v>10699</v>
      </c>
      <c r="AG126" s="45">
        <f>IF(VLOOKUP($C126,REV!$C:$AL,31,0)-'TRADE IN'!$F126=0,"",(VLOOKUP($C126,REV!$C:$AL,31,0)-'TRADE IN'!$F126))</f>
        <v>10699</v>
      </c>
      <c r="AH126" s="45">
        <f>IF(VLOOKUP($C126,REV!$C:$AL,32,0)-'TRADE IN'!$F126=0,"",(VLOOKUP($C126,REV!$C:$AL,32,0)-'TRADE IN'!$F126))</f>
        <v>9999</v>
      </c>
      <c r="AI126" s="45">
        <f>IF(VLOOKUP($C126,REV!$C:$AL,33,0)-'TRADE IN'!$F126=0,"",(VLOOKUP($C126,REV!$C:$AL,33,0)-'TRADE IN'!$F126))</f>
        <v>9999</v>
      </c>
      <c r="AJ126" s="45">
        <f>IF(VLOOKUP($C126,REV!$C:$AL,34,0)-'TRADE IN'!$F126=0,"",(VLOOKUP($C126,REV!$C:$AL,34,0)-'TRADE IN'!$F126))</f>
        <v>9999</v>
      </c>
      <c r="AK126" s="45">
        <f>IF(VLOOKUP($C126,REV!$C:$AL,35,0)-'TRADE IN'!$F126=0,"",(VLOOKUP($C126,REV!$C:$AL,35,0)-'TRADE IN'!$F126))</f>
        <v>9999</v>
      </c>
      <c r="AL126" s="45">
        <f>IF(VLOOKUP($C126,REV!$C:$AL,36,0)-'TRADE IN'!$F126=0,"",(VLOOKUP($C126,REV!$C:$AL,36,0)-'TRADE IN'!$F126))</f>
        <v>9499</v>
      </c>
      <c r="AM126" s="45"/>
      <c r="AN126" s="45"/>
      <c r="AO126" s="45"/>
      <c r="AP126" s="45"/>
      <c r="AQ126" s="45"/>
      <c r="AR126" s="45"/>
      <c r="AS126" s="45"/>
      <c r="AT126" s="45"/>
      <c r="AU126" s="45"/>
      <c r="AV126" s="47"/>
      <c r="AW126" s="48" t="str">
        <f>REV!AW126</f>
        <v>01.12.2026</v>
      </c>
      <c r="AX126" s="153" t="str">
        <f>VLOOKUP(C126,REV!C:AX,48,0)</f>
        <v>5G</v>
      </c>
    </row>
    <row r="127" spans="1:50" ht="22.5" customHeight="1">
      <c r="A127" s="41" t="s">
        <v>63</v>
      </c>
      <c r="B127" s="42" t="s">
        <v>64</v>
      </c>
      <c r="C127" s="43">
        <v>4018283</v>
      </c>
      <c r="D127" s="44" t="s">
        <v>214</v>
      </c>
      <c r="E127" s="44" t="s">
        <v>216</v>
      </c>
      <c r="F127" s="45"/>
      <c r="G127" s="45"/>
      <c r="H127" s="45"/>
      <c r="I127" s="45"/>
      <c r="J127" s="46">
        <f>IF(VLOOKUP($C127,REV!$C:$AA,8,0)-'TRADE IN'!$F127=0,"",(VLOOKUP($C127,REV!$C:$AA,8,0)-'TRADE IN'!$F127))</f>
        <v>10899</v>
      </c>
      <c r="K127" s="46">
        <f>IF(VLOOKUP($C127,REV!$C:$AA,9,0)-'TRADE IN'!$F127=0,"",(VLOOKUP($C127,REV!$C:$AA,9,0)-'TRADE IN'!$F127))</f>
        <v>10899</v>
      </c>
      <c r="L127" s="46">
        <f>IF(VLOOKUP($C127,REV!$C:$AA,10,0)-'TRADE IN'!$F127=0,"",(VLOOKUP($C127,REV!$C:$AA,10,0)-'TRADE IN'!$F127))</f>
        <v>10899</v>
      </c>
      <c r="M127" s="46">
        <f>IF(VLOOKUP($C127,REV!$C:$AA,11,0)-'TRADE IN'!$F127=0,"",(VLOOKUP($C127,REV!$C:$AA,11,0)-'TRADE IN'!$F127))</f>
        <v>10899</v>
      </c>
      <c r="N127" s="46">
        <f>IF(VLOOKUP($C127,REV!$C:$AA,12,0)-'TRADE IN'!$F127=0,"",(VLOOKUP($C127,REV!$C:$AA,12,0)-'TRADE IN'!$F127))</f>
        <v>10899</v>
      </c>
      <c r="O127" s="46">
        <f>IF(VLOOKUP($C127,REV!$C:$AA,13,0)-'TRADE IN'!$F127=0,"",(VLOOKUP($C127,REV!$C:$AA,13,0)-'TRADE IN'!$F127))</f>
        <v>10799</v>
      </c>
      <c r="P127" s="46">
        <f>IF(VLOOKUP($C127,REV!$C:$AA,14,0)-'TRADE IN'!$F127=0,"",(VLOOKUP($C127,REV!$C:$AA,14,0)-'TRADE IN'!$F127))</f>
        <v>10699</v>
      </c>
      <c r="Q127" s="46">
        <f>IF(VLOOKUP($C127,REV!$C:$AA,15,0)-'TRADE IN'!$F127=0,"",(VLOOKUP($C127,REV!$C:$AA,15,0)-'TRADE IN'!$F127))</f>
        <v>9999</v>
      </c>
      <c r="R127" s="46">
        <f>IF(VLOOKUP($C127,REV!$C:$AA,16,0)-'TRADE IN'!$F127=0,"",(VLOOKUP($C127,REV!$C:$AA,16,0)-'TRADE IN'!$F127))</f>
        <v>10799</v>
      </c>
      <c r="S127" s="46">
        <f>IF(VLOOKUP($C127,REV!$C:$AA,17,0)-'TRADE IN'!$F127=0,"",(VLOOKUP($C127,REV!$C:$AA,17,0)-'TRADE IN'!$F127))</f>
        <v>10699</v>
      </c>
      <c r="T127" s="46">
        <f>IF(VLOOKUP($C127,REV!$C:$AA,18,0)-'TRADE IN'!$F127=0,"",(VLOOKUP($C127,REV!$C:$AA,18,0)-'TRADE IN'!$F127))</f>
        <v>9999</v>
      </c>
      <c r="U127" s="46">
        <f>IF(VLOOKUP($C127,REV!$C:$AA,19,0)-'TRADE IN'!$F127=0,"",(VLOOKUP($C127,REV!$C:$AA,19,0)-'TRADE IN'!$F127))</f>
        <v>9999</v>
      </c>
      <c r="V127" s="46">
        <f>IF(VLOOKUP($C127,REV!$C:$AA,20,0)-'TRADE IN'!$F127=0,"",(VLOOKUP($C127,REV!$C:$AA,20,0)-'TRADE IN'!$F127))</f>
        <v>9999</v>
      </c>
      <c r="W127" s="46">
        <f>IF(VLOOKUP($C127,REV!$C:$AA,21,0)-'TRADE IN'!$F127=0,"",(VLOOKUP($C127,REV!$C:$AA,21,0)-'TRADE IN'!$F127))</f>
        <v>9999</v>
      </c>
      <c r="X127" s="46">
        <f>IF(VLOOKUP($C127,REV!$C:$AA,22,0)-'TRADE IN'!$F127=0,"",(VLOOKUP($C127,REV!$C:$AA,22,0)-'TRADE IN'!$F127))</f>
        <v>9899</v>
      </c>
      <c r="Y127" s="46">
        <f>IF(VLOOKUP($C127,REV!$C:$AA,23,0)-'TRADE IN'!$F127=0,"",(VLOOKUP($C127,REV!$C:$AA,23,0)-'TRADE IN'!$F127))</f>
        <v>9499</v>
      </c>
      <c r="Z127" s="46">
        <f>IF(VLOOKUP($C127,REV!$C:$AA,24,0)-'TRADE IN'!$F127=0,"",(VLOOKUP($C127,REV!$C:$AA,24,0)-'TRADE IN'!$F127))</f>
        <v>9499</v>
      </c>
      <c r="AA127" s="46">
        <f>IF(VLOOKUP($C127,REV!$C:$AA,25,0)-'TRADE IN'!$F127=0,"",(VLOOKUP($C127,REV!$C:$AA,25,0)-'TRADE IN'!$F127))</f>
        <v>9299</v>
      </c>
      <c r="AB127" s="45">
        <f>IF(VLOOKUP($C127,REV!$C:$AL,27,0)-'TRADE IN'!$F127=0,"",(VLOOKUP($C127,REV!$C:$AL,27,0)-'TRADE IN'!$F127))</f>
        <v>10899</v>
      </c>
      <c r="AC127" s="45">
        <f>IF(VLOOKUP($C127,REV!$C:$AL,28,0)-'TRADE IN'!$F127=0,"",(VLOOKUP($C127,REV!$C:$AL,28,0)-'TRADE IN'!$F127))</f>
        <v>10899</v>
      </c>
      <c r="AD127" s="45">
        <f>IF(VLOOKUP($C127,REV!$C:$AL,29,0)-'TRADE IN'!$F127=0,"",(VLOOKUP($C127,REV!$C:$AL,29,0)-'TRADE IN'!$F127))</f>
        <v>10899</v>
      </c>
      <c r="AE127" s="45">
        <f>IF(VLOOKUP($C127,REV!$C:$AL,30,0)-'TRADE IN'!$F127=0,"",(VLOOKUP($C127,REV!$C:$AL,30,0)-'TRADE IN'!$F127))</f>
        <v>10799</v>
      </c>
      <c r="AF127" s="45">
        <f>IF(VLOOKUP($C127,REV!$C:$AL,31,0)-'TRADE IN'!$F127=0,"",(VLOOKUP($C127,REV!$C:$AL,31,0)-'TRADE IN'!$F127))</f>
        <v>10699</v>
      </c>
      <c r="AG127" s="45">
        <f>IF(VLOOKUP($C127,REV!$C:$AL,31,0)-'TRADE IN'!$F127=0,"",(VLOOKUP($C127,REV!$C:$AL,31,0)-'TRADE IN'!$F127))</f>
        <v>10699</v>
      </c>
      <c r="AH127" s="45">
        <f>IF(VLOOKUP($C127,REV!$C:$AL,32,0)-'TRADE IN'!$F127=0,"",(VLOOKUP($C127,REV!$C:$AL,32,0)-'TRADE IN'!$F127))</f>
        <v>9999</v>
      </c>
      <c r="AI127" s="45">
        <f>IF(VLOOKUP($C127,REV!$C:$AL,33,0)-'TRADE IN'!$F127=0,"",(VLOOKUP($C127,REV!$C:$AL,33,0)-'TRADE IN'!$F127))</f>
        <v>9999</v>
      </c>
      <c r="AJ127" s="45">
        <f>IF(VLOOKUP($C127,REV!$C:$AL,34,0)-'TRADE IN'!$F127=0,"",(VLOOKUP($C127,REV!$C:$AL,34,0)-'TRADE IN'!$F127))</f>
        <v>9999</v>
      </c>
      <c r="AK127" s="45">
        <f>IF(VLOOKUP($C127,REV!$C:$AL,35,0)-'TRADE IN'!$F127=0,"",(VLOOKUP($C127,REV!$C:$AL,35,0)-'TRADE IN'!$F127))</f>
        <v>9999</v>
      </c>
      <c r="AL127" s="45">
        <f>IF(VLOOKUP($C127,REV!$C:$AL,36,0)-'TRADE IN'!$F127=0,"",(VLOOKUP($C127,REV!$C:$AL,36,0)-'TRADE IN'!$F127))</f>
        <v>9499</v>
      </c>
      <c r="AM127" s="45"/>
      <c r="AN127" s="45"/>
      <c r="AO127" s="45"/>
      <c r="AP127" s="45"/>
      <c r="AQ127" s="45"/>
      <c r="AR127" s="45"/>
      <c r="AS127" s="45"/>
      <c r="AT127" s="45"/>
      <c r="AU127" s="45"/>
      <c r="AV127" s="47"/>
      <c r="AW127" s="48" t="str">
        <f>REV!AW127</f>
        <v>01.12.2026</v>
      </c>
      <c r="AX127" s="153" t="str">
        <f>VLOOKUP(C127,REV!C:AX,48,0)</f>
        <v>5G</v>
      </c>
    </row>
    <row r="128" spans="1:50" ht="22.5" customHeight="1">
      <c r="A128" s="41" t="s">
        <v>63</v>
      </c>
      <c r="B128" s="42" t="s">
        <v>64</v>
      </c>
      <c r="C128" s="43">
        <v>4018301</v>
      </c>
      <c r="D128" s="44" t="s">
        <v>214</v>
      </c>
      <c r="E128" s="44" t="s">
        <v>217</v>
      </c>
      <c r="F128" s="45"/>
      <c r="G128" s="45"/>
      <c r="H128" s="45"/>
      <c r="I128" s="45"/>
      <c r="J128" s="46">
        <f>IF(VLOOKUP($C128,REV!$C:$AA,8,0)-'TRADE IN'!$F128=0,"",(VLOOKUP($C128,REV!$C:$AA,8,0)-'TRADE IN'!$F128))</f>
        <v>10899</v>
      </c>
      <c r="K128" s="46">
        <f>IF(VLOOKUP($C128,REV!$C:$AA,9,0)-'TRADE IN'!$F128=0,"",(VLOOKUP($C128,REV!$C:$AA,9,0)-'TRADE IN'!$F128))</f>
        <v>10899</v>
      </c>
      <c r="L128" s="46">
        <f>IF(VLOOKUP($C128,REV!$C:$AA,10,0)-'TRADE IN'!$F128=0,"",(VLOOKUP($C128,REV!$C:$AA,10,0)-'TRADE IN'!$F128))</f>
        <v>10899</v>
      </c>
      <c r="M128" s="46">
        <f>IF(VLOOKUP($C128,REV!$C:$AA,11,0)-'TRADE IN'!$F128=0,"",(VLOOKUP($C128,REV!$C:$AA,11,0)-'TRADE IN'!$F128))</f>
        <v>10899</v>
      </c>
      <c r="N128" s="46">
        <f>IF(VLOOKUP($C128,REV!$C:$AA,12,0)-'TRADE IN'!$F128=0,"",(VLOOKUP($C128,REV!$C:$AA,12,0)-'TRADE IN'!$F128))</f>
        <v>10899</v>
      </c>
      <c r="O128" s="46">
        <f>IF(VLOOKUP($C128,REV!$C:$AA,13,0)-'TRADE IN'!$F128=0,"",(VLOOKUP($C128,REV!$C:$AA,13,0)-'TRADE IN'!$F128))</f>
        <v>10799</v>
      </c>
      <c r="P128" s="46">
        <f>IF(VLOOKUP($C128,REV!$C:$AA,14,0)-'TRADE IN'!$F128=0,"",(VLOOKUP($C128,REV!$C:$AA,14,0)-'TRADE IN'!$F128))</f>
        <v>10699</v>
      </c>
      <c r="Q128" s="46">
        <f>IF(VLOOKUP($C128,REV!$C:$AA,15,0)-'TRADE IN'!$F128=0,"",(VLOOKUP($C128,REV!$C:$AA,15,0)-'TRADE IN'!$F128))</f>
        <v>9999</v>
      </c>
      <c r="R128" s="46">
        <f>IF(VLOOKUP($C128,REV!$C:$AA,16,0)-'TRADE IN'!$F128=0,"",(VLOOKUP($C128,REV!$C:$AA,16,0)-'TRADE IN'!$F128))</f>
        <v>10799</v>
      </c>
      <c r="S128" s="46">
        <f>IF(VLOOKUP($C128,REV!$C:$AA,17,0)-'TRADE IN'!$F128=0,"",(VLOOKUP($C128,REV!$C:$AA,17,0)-'TRADE IN'!$F128))</f>
        <v>10699</v>
      </c>
      <c r="T128" s="46">
        <f>IF(VLOOKUP($C128,REV!$C:$AA,18,0)-'TRADE IN'!$F128=0,"",(VLOOKUP($C128,REV!$C:$AA,18,0)-'TRADE IN'!$F128))</f>
        <v>9999</v>
      </c>
      <c r="U128" s="46">
        <f>IF(VLOOKUP($C128,REV!$C:$AA,19,0)-'TRADE IN'!$F128=0,"",(VLOOKUP($C128,REV!$C:$AA,19,0)-'TRADE IN'!$F128))</f>
        <v>9999</v>
      </c>
      <c r="V128" s="46">
        <f>IF(VLOOKUP($C128,REV!$C:$AA,20,0)-'TRADE IN'!$F128=0,"",(VLOOKUP($C128,REV!$C:$AA,20,0)-'TRADE IN'!$F128))</f>
        <v>9999</v>
      </c>
      <c r="W128" s="46">
        <f>IF(VLOOKUP($C128,REV!$C:$AA,21,0)-'TRADE IN'!$F128=0,"",(VLOOKUP($C128,REV!$C:$AA,21,0)-'TRADE IN'!$F128))</f>
        <v>9999</v>
      </c>
      <c r="X128" s="46">
        <f>IF(VLOOKUP($C128,REV!$C:$AA,22,0)-'TRADE IN'!$F128=0,"",(VLOOKUP($C128,REV!$C:$AA,22,0)-'TRADE IN'!$F128))</f>
        <v>9899</v>
      </c>
      <c r="Y128" s="46">
        <f>IF(VLOOKUP($C128,REV!$C:$AA,23,0)-'TRADE IN'!$F128=0,"",(VLOOKUP($C128,REV!$C:$AA,23,0)-'TRADE IN'!$F128))</f>
        <v>9499</v>
      </c>
      <c r="Z128" s="46">
        <f>IF(VLOOKUP($C128,REV!$C:$AA,24,0)-'TRADE IN'!$F128=0,"",(VLOOKUP($C128,REV!$C:$AA,24,0)-'TRADE IN'!$F128))</f>
        <v>9499</v>
      </c>
      <c r="AA128" s="46">
        <f>IF(VLOOKUP($C128,REV!$C:$AA,25,0)-'TRADE IN'!$F128=0,"",(VLOOKUP($C128,REV!$C:$AA,25,0)-'TRADE IN'!$F128))</f>
        <v>9299</v>
      </c>
      <c r="AB128" s="45">
        <f>IF(VLOOKUP($C128,REV!$C:$AL,27,0)-'TRADE IN'!$F128=0,"",(VLOOKUP($C128,REV!$C:$AL,27,0)-'TRADE IN'!$F128))</f>
        <v>10899</v>
      </c>
      <c r="AC128" s="45">
        <f>IF(VLOOKUP($C128,REV!$C:$AL,28,0)-'TRADE IN'!$F128=0,"",(VLOOKUP($C128,REV!$C:$AL,28,0)-'TRADE IN'!$F128))</f>
        <v>10899</v>
      </c>
      <c r="AD128" s="45">
        <f>IF(VLOOKUP($C128,REV!$C:$AL,29,0)-'TRADE IN'!$F128=0,"",(VLOOKUP($C128,REV!$C:$AL,29,0)-'TRADE IN'!$F128))</f>
        <v>10899</v>
      </c>
      <c r="AE128" s="45">
        <f>IF(VLOOKUP($C128,REV!$C:$AL,30,0)-'TRADE IN'!$F128=0,"",(VLOOKUP($C128,REV!$C:$AL,30,0)-'TRADE IN'!$F128))</f>
        <v>10799</v>
      </c>
      <c r="AF128" s="45">
        <f>IF(VLOOKUP($C128,REV!$C:$AL,31,0)-'TRADE IN'!$F128=0,"",(VLOOKUP($C128,REV!$C:$AL,31,0)-'TRADE IN'!$F128))</f>
        <v>10699</v>
      </c>
      <c r="AG128" s="45">
        <f>IF(VLOOKUP($C128,REV!$C:$AL,31,0)-'TRADE IN'!$F128=0,"",(VLOOKUP($C128,REV!$C:$AL,31,0)-'TRADE IN'!$F128))</f>
        <v>10699</v>
      </c>
      <c r="AH128" s="45">
        <f>IF(VLOOKUP($C128,REV!$C:$AL,32,0)-'TRADE IN'!$F128=0,"",(VLOOKUP($C128,REV!$C:$AL,32,0)-'TRADE IN'!$F128))</f>
        <v>9999</v>
      </c>
      <c r="AI128" s="45">
        <f>IF(VLOOKUP($C128,REV!$C:$AL,33,0)-'TRADE IN'!$F128=0,"",(VLOOKUP($C128,REV!$C:$AL,33,0)-'TRADE IN'!$F128))</f>
        <v>9999</v>
      </c>
      <c r="AJ128" s="45">
        <f>IF(VLOOKUP($C128,REV!$C:$AL,34,0)-'TRADE IN'!$F128=0,"",(VLOOKUP($C128,REV!$C:$AL,34,0)-'TRADE IN'!$F128))</f>
        <v>9999</v>
      </c>
      <c r="AK128" s="45">
        <f>IF(VLOOKUP($C128,REV!$C:$AL,35,0)-'TRADE IN'!$F128=0,"",(VLOOKUP($C128,REV!$C:$AL,35,0)-'TRADE IN'!$F128))</f>
        <v>9999</v>
      </c>
      <c r="AL128" s="45">
        <f>IF(VLOOKUP($C128,REV!$C:$AL,36,0)-'TRADE IN'!$F128=0,"",(VLOOKUP($C128,REV!$C:$AL,36,0)-'TRADE IN'!$F128))</f>
        <v>9499</v>
      </c>
      <c r="AM128" s="45"/>
      <c r="AN128" s="45"/>
      <c r="AO128" s="45"/>
      <c r="AP128" s="45"/>
      <c r="AQ128" s="45"/>
      <c r="AR128" s="45"/>
      <c r="AS128" s="45"/>
      <c r="AT128" s="45"/>
      <c r="AU128" s="45"/>
      <c r="AV128" s="47"/>
      <c r="AW128" s="48" t="str">
        <f>REV!AW128</f>
        <v>01.12.2026</v>
      </c>
      <c r="AX128" s="153" t="str">
        <f>VLOOKUP(C128,REV!C:AX,48,0)</f>
        <v>5G</v>
      </c>
    </row>
    <row r="129" spans="1:50" ht="22.5" customHeight="1">
      <c r="A129" s="41" t="s">
        <v>63</v>
      </c>
      <c r="B129" s="42" t="s">
        <v>64</v>
      </c>
      <c r="C129" s="43">
        <v>4018282</v>
      </c>
      <c r="D129" s="44" t="s">
        <v>218</v>
      </c>
      <c r="E129" s="44" t="s">
        <v>219</v>
      </c>
      <c r="F129" s="45"/>
      <c r="G129" s="45"/>
      <c r="H129" s="45"/>
      <c r="I129" s="45"/>
      <c r="J129" s="46">
        <f>IF(VLOOKUP($C129,REV!$C:$AA,8,0)-'TRADE IN'!$F129=0,"",(VLOOKUP($C129,REV!$C:$AA,8,0)-'TRADE IN'!$F129))</f>
        <v>12299</v>
      </c>
      <c r="K129" s="46">
        <f>IF(VLOOKUP($C129,REV!$C:$AA,9,0)-'TRADE IN'!$F129=0,"",(VLOOKUP($C129,REV!$C:$AA,9,0)-'TRADE IN'!$F129))</f>
        <v>12299</v>
      </c>
      <c r="L129" s="46">
        <f>IF(VLOOKUP($C129,REV!$C:$AA,10,0)-'TRADE IN'!$F129=0,"",(VLOOKUP($C129,REV!$C:$AA,10,0)-'TRADE IN'!$F129))</f>
        <v>12299</v>
      </c>
      <c r="M129" s="46">
        <f>IF(VLOOKUP($C129,REV!$C:$AA,11,0)-'TRADE IN'!$F129=0,"",(VLOOKUP($C129,REV!$C:$AA,11,0)-'TRADE IN'!$F129))</f>
        <v>12299</v>
      </c>
      <c r="N129" s="46">
        <f>IF(VLOOKUP($C129,REV!$C:$AA,12,0)-'TRADE IN'!$F129=0,"",(VLOOKUP($C129,REV!$C:$AA,12,0)-'TRADE IN'!$F129))</f>
        <v>12299</v>
      </c>
      <c r="O129" s="46">
        <f>IF(VLOOKUP($C129,REV!$C:$AA,13,0)-'TRADE IN'!$F129=0,"",(VLOOKUP($C129,REV!$C:$AA,13,0)-'TRADE IN'!$F129))</f>
        <v>12199</v>
      </c>
      <c r="P129" s="46">
        <f>IF(VLOOKUP($C129,REV!$C:$AA,14,0)-'TRADE IN'!$F129=0,"",(VLOOKUP($C129,REV!$C:$AA,14,0)-'TRADE IN'!$F129))</f>
        <v>12099</v>
      </c>
      <c r="Q129" s="46">
        <f>IF(VLOOKUP($C129,REV!$C:$AA,15,0)-'TRADE IN'!$F129=0,"",(VLOOKUP($C129,REV!$C:$AA,15,0)-'TRADE IN'!$F129))</f>
        <v>11399</v>
      </c>
      <c r="R129" s="46">
        <f>IF(VLOOKUP($C129,REV!$C:$AA,16,0)-'TRADE IN'!$F129=0,"",(VLOOKUP($C129,REV!$C:$AA,16,0)-'TRADE IN'!$F129))</f>
        <v>12199</v>
      </c>
      <c r="S129" s="46">
        <f>IF(VLOOKUP($C129,REV!$C:$AA,17,0)-'TRADE IN'!$F129=0,"",(VLOOKUP($C129,REV!$C:$AA,17,0)-'TRADE IN'!$F129))</f>
        <v>12099</v>
      </c>
      <c r="T129" s="46">
        <f>IF(VLOOKUP($C129,REV!$C:$AA,18,0)-'TRADE IN'!$F129=0,"",(VLOOKUP($C129,REV!$C:$AA,18,0)-'TRADE IN'!$F129))</f>
        <v>11399</v>
      </c>
      <c r="U129" s="46">
        <f>IF(VLOOKUP($C129,REV!$C:$AA,19,0)-'TRADE IN'!$F129=0,"",(VLOOKUP($C129,REV!$C:$AA,19,0)-'TRADE IN'!$F129))</f>
        <v>11399</v>
      </c>
      <c r="V129" s="46">
        <f>IF(VLOOKUP($C129,REV!$C:$AA,20,0)-'TRADE IN'!$F129=0,"",(VLOOKUP($C129,REV!$C:$AA,20,0)-'TRADE IN'!$F129))</f>
        <v>11399</v>
      </c>
      <c r="W129" s="46">
        <f>IF(VLOOKUP($C129,REV!$C:$AA,21,0)-'TRADE IN'!$F129=0,"",(VLOOKUP($C129,REV!$C:$AA,21,0)-'TRADE IN'!$F129))</f>
        <v>11399</v>
      </c>
      <c r="X129" s="46">
        <f>IF(VLOOKUP($C129,REV!$C:$AA,22,0)-'TRADE IN'!$F129=0,"",(VLOOKUP($C129,REV!$C:$AA,22,0)-'TRADE IN'!$F129))</f>
        <v>11299</v>
      </c>
      <c r="Y129" s="46">
        <f>IF(VLOOKUP($C129,REV!$C:$AA,23,0)-'TRADE IN'!$F129=0,"",(VLOOKUP($C129,REV!$C:$AA,23,0)-'TRADE IN'!$F129))</f>
        <v>10799</v>
      </c>
      <c r="Z129" s="46">
        <f>IF(VLOOKUP($C129,REV!$C:$AA,24,0)-'TRADE IN'!$F129=0,"",(VLOOKUP($C129,REV!$C:$AA,24,0)-'TRADE IN'!$F129))</f>
        <v>10799</v>
      </c>
      <c r="AA129" s="46">
        <f>IF(VLOOKUP($C129,REV!$C:$AA,25,0)-'TRADE IN'!$F129=0,"",(VLOOKUP($C129,REV!$C:$AA,25,0)-'TRADE IN'!$F129))</f>
        <v>10499</v>
      </c>
      <c r="AB129" s="45">
        <f>IF(VLOOKUP($C129,REV!$C:$AL,27,0)-'TRADE IN'!$F129=0,"",(VLOOKUP($C129,REV!$C:$AL,27,0)-'TRADE IN'!$F129))</f>
        <v>12299</v>
      </c>
      <c r="AC129" s="45">
        <f>IF(VLOOKUP($C129,REV!$C:$AL,28,0)-'TRADE IN'!$F129=0,"",(VLOOKUP($C129,REV!$C:$AL,28,0)-'TRADE IN'!$F129))</f>
        <v>12299</v>
      </c>
      <c r="AD129" s="45">
        <f>IF(VLOOKUP($C129,REV!$C:$AL,29,0)-'TRADE IN'!$F129=0,"",(VLOOKUP($C129,REV!$C:$AL,29,0)-'TRADE IN'!$F129))</f>
        <v>12299</v>
      </c>
      <c r="AE129" s="45">
        <f>IF(VLOOKUP($C129,REV!$C:$AL,30,0)-'TRADE IN'!$F129=0,"",(VLOOKUP($C129,REV!$C:$AL,30,0)-'TRADE IN'!$F129))</f>
        <v>12199</v>
      </c>
      <c r="AF129" s="45">
        <f>IF(VLOOKUP($C129,REV!$C:$AL,31,0)-'TRADE IN'!$F129=0,"",(VLOOKUP($C129,REV!$C:$AL,31,0)-'TRADE IN'!$F129))</f>
        <v>12099</v>
      </c>
      <c r="AG129" s="45">
        <f>IF(VLOOKUP($C129,REV!$C:$AL,31,0)-'TRADE IN'!$F129=0,"",(VLOOKUP($C129,REV!$C:$AL,31,0)-'TRADE IN'!$F129))</f>
        <v>12099</v>
      </c>
      <c r="AH129" s="45">
        <f>IF(VLOOKUP($C129,REV!$C:$AL,32,0)-'TRADE IN'!$F129=0,"",(VLOOKUP($C129,REV!$C:$AL,32,0)-'TRADE IN'!$F129))</f>
        <v>11399</v>
      </c>
      <c r="AI129" s="45">
        <f>IF(VLOOKUP($C129,REV!$C:$AL,33,0)-'TRADE IN'!$F129=0,"",(VLOOKUP($C129,REV!$C:$AL,33,0)-'TRADE IN'!$F129))</f>
        <v>11399</v>
      </c>
      <c r="AJ129" s="45">
        <f>IF(VLOOKUP($C129,REV!$C:$AL,34,0)-'TRADE IN'!$F129=0,"",(VLOOKUP($C129,REV!$C:$AL,34,0)-'TRADE IN'!$F129))</f>
        <v>11399</v>
      </c>
      <c r="AK129" s="45">
        <f>IF(VLOOKUP($C129,REV!$C:$AL,35,0)-'TRADE IN'!$F129=0,"",(VLOOKUP($C129,REV!$C:$AL,35,0)-'TRADE IN'!$F129))</f>
        <v>11399</v>
      </c>
      <c r="AL129" s="45">
        <f>IF(VLOOKUP($C129,REV!$C:$AL,36,0)-'TRADE IN'!$F129=0,"",(VLOOKUP($C129,REV!$C:$AL,36,0)-'TRADE IN'!$F129))</f>
        <v>10799</v>
      </c>
      <c r="AM129" s="45"/>
      <c r="AN129" s="45"/>
      <c r="AO129" s="45"/>
      <c r="AP129" s="45"/>
      <c r="AQ129" s="45"/>
      <c r="AR129" s="45"/>
      <c r="AS129" s="45"/>
      <c r="AT129" s="45"/>
      <c r="AU129" s="45"/>
      <c r="AV129" s="47"/>
      <c r="AW129" s="48" t="str">
        <f>REV!AW129</f>
        <v>01.12.2026</v>
      </c>
      <c r="AX129" s="153" t="str">
        <f>VLOOKUP(C129,REV!C:AX,48,0)</f>
        <v>5G</v>
      </c>
    </row>
    <row r="130" spans="1:50" ht="22.5" customHeight="1">
      <c r="A130" s="41" t="s">
        <v>63</v>
      </c>
      <c r="B130" s="42" t="s">
        <v>64</v>
      </c>
      <c r="C130" s="43">
        <v>4018281</v>
      </c>
      <c r="D130" s="44" t="s">
        <v>218</v>
      </c>
      <c r="E130" s="44" t="s">
        <v>220</v>
      </c>
      <c r="F130" s="45"/>
      <c r="G130" s="45"/>
      <c r="H130" s="45"/>
      <c r="I130" s="45"/>
      <c r="J130" s="46">
        <f>IF(VLOOKUP($C130,REV!$C:$AA,8,0)-'TRADE IN'!$F130=0,"",(VLOOKUP($C130,REV!$C:$AA,8,0)-'TRADE IN'!$F130))</f>
        <v>12299</v>
      </c>
      <c r="K130" s="46">
        <f>IF(VLOOKUP($C130,REV!$C:$AA,9,0)-'TRADE IN'!$F130=0,"",(VLOOKUP($C130,REV!$C:$AA,9,0)-'TRADE IN'!$F130))</f>
        <v>12299</v>
      </c>
      <c r="L130" s="46">
        <f>IF(VLOOKUP($C130,REV!$C:$AA,10,0)-'TRADE IN'!$F130=0,"",(VLOOKUP($C130,REV!$C:$AA,10,0)-'TRADE IN'!$F130))</f>
        <v>12299</v>
      </c>
      <c r="M130" s="46">
        <f>IF(VLOOKUP($C130,REV!$C:$AA,11,0)-'TRADE IN'!$F130=0,"",(VLOOKUP($C130,REV!$C:$AA,11,0)-'TRADE IN'!$F130))</f>
        <v>12299</v>
      </c>
      <c r="N130" s="46">
        <f>IF(VLOOKUP($C130,REV!$C:$AA,12,0)-'TRADE IN'!$F130=0,"",(VLOOKUP($C130,REV!$C:$AA,12,0)-'TRADE IN'!$F130))</f>
        <v>12299</v>
      </c>
      <c r="O130" s="46">
        <f>IF(VLOOKUP($C130,REV!$C:$AA,13,0)-'TRADE IN'!$F130=0,"",(VLOOKUP($C130,REV!$C:$AA,13,0)-'TRADE IN'!$F130))</f>
        <v>12199</v>
      </c>
      <c r="P130" s="46">
        <f>IF(VLOOKUP($C130,REV!$C:$AA,14,0)-'TRADE IN'!$F130=0,"",(VLOOKUP($C130,REV!$C:$AA,14,0)-'TRADE IN'!$F130))</f>
        <v>12099</v>
      </c>
      <c r="Q130" s="46">
        <f>IF(VLOOKUP($C130,REV!$C:$AA,15,0)-'TRADE IN'!$F130=0,"",(VLOOKUP($C130,REV!$C:$AA,15,0)-'TRADE IN'!$F130))</f>
        <v>11399</v>
      </c>
      <c r="R130" s="46">
        <f>IF(VLOOKUP($C130,REV!$C:$AA,16,0)-'TRADE IN'!$F130=0,"",(VLOOKUP($C130,REV!$C:$AA,16,0)-'TRADE IN'!$F130))</f>
        <v>12199</v>
      </c>
      <c r="S130" s="46">
        <f>IF(VLOOKUP($C130,REV!$C:$AA,17,0)-'TRADE IN'!$F130=0,"",(VLOOKUP($C130,REV!$C:$AA,17,0)-'TRADE IN'!$F130))</f>
        <v>12099</v>
      </c>
      <c r="T130" s="46">
        <f>IF(VLOOKUP($C130,REV!$C:$AA,18,0)-'TRADE IN'!$F130=0,"",(VLOOKUP($C130,REV!$C:$AA,18,0)-'TRADE IN'!$F130))</f>
        <v>11399</v>
      </c>
      <c r="U130" s="46">
        <f>IF(VLOOKUP($C130,REV!$C:$AA,19,0)-'TRADE IN'!$F130=0,"",(VLOOKUP($C130,REV!$C:$AA,19,0)-'TRADE IN'!$F130))</f>
        <v>11399</v>
      </c>
      <c r="V130" s="46">
        <f>IF(VLOOKUP($C130,REV!$C:$AA,20,0)-'TRADE IN'!$F130=0,"",(VLOOKUP($C130,REV!$C:$AA,20,0)-'TRADE IN'!$F130))</f>
        <v>11399</v>
      </c>
      <c r="W130" s="46">
        <f>IF(VLOOKUP($C130,REV!$C:$AA,21,0)-'TRADE IN'!$F130=0,"",(VLOOKUP($C130,REV!$C:$AA,21,0)-'TRADE IN'!$F130))</f>
        <v>11399</v>
      </c>
      <c r="X130" s="46">
        <f>IF(VLOOKUP($C130,REV!$C:$AA,22,0)-'TRADE IN'!$F130=0,"",(VLOOKUP($C130,REV!$C:$AA,22,0)-'TRADE IN'!$F130))</f>
        <v>11299</v>
      </c>
      <c r="Y130" s="46">
        <f>IF(VLOOKUP($C130,REV!$C:$AA,23,0)-'TRADE IN'!$F130=0,"",(VLOOKUP($C130,REV!$C:$AA,23,0)-'TRADE IN'!$F130))</f>
        <v>10799</v>
      </c>
      <c r="Z130" s="46">
        <f>IF(VLOOKUP($C130,REV!$C:$AA,24,0)-'TRADE IN'!$F130=0,"",(VLOOKUP($C130,REV!$C:$AA,24,0)-'TRADE IN'!$F130))</f>
        <v>10799</v>
      </c>
      <c r="AA130" s="46">
        <f>IF(VLOOKUP($C130,REV!$C:$AA,25,0)-'TRADE IN'!$F130=0,"",(VLOOKUP($C130,REV!$C:$AA,25,0)-'TRADE IN'!$F130))</f>
        <v>10499</v>
      </c>
      <c r="AB130" s="45">
        <f>IF(VLOOKUP($C130,REV!$C:$AL,27,0)-'TRADE IN'!$F130=0,"",(VLOOKUP($C130,REV!$C:$AL,27,0)-'TRADE IN'!$F130))</f>
        <v>12299</v>
      </c>
      <c r="AC130" s="45">
        <f>IF(VLOOKUP($C130,REV!$C:$AL,28,0)-'TRADE IN'!$F130=0,"",(VLOOKUP($C130,REV!$C:$AL,28,0)-'TRADE IN'!$F130))</f>
        <v>12299</v>
      </c>
      <c r="AD130" s="45">
        <f>IF(VLOOKUP($C130,REV!$C:$AL,29,0)-'TRADE IN'!$F130=0,"",(VLOOKUP($C130,REV!$C:$AL,29,0)-'TRADE IN'!$F130))</f>
        <v>12299</v>
      </c>
      <c r="AE130" s="45">
        <f>IF(VLOOKUP($C130,REV!$C:$AL,30,0)-'TRADE IN'!$F130=0,"",(VLOOKUP($C130,REV!$C:$AL,30,0)-'TRADE IN'!$F130))</f>
        <v>12199</v>
      </c>
      <c r="AF130" s="45">
        <f>IF(VLOOKUP($C130,REV!$C:$AL,31,0)-'TRADE IN'!$F130=0,"",(VLOOKUP($C130,REV!$C:$AL,31,0)-'TRADE IN'!$F130))</f>
        <v>12099</v>
      </c>
      <c r="AG130" s="45">
        <f>IF(VLOOKUP($C130,REV!$C:$AL,31,0)-'TRADE IN'!$F130=0,"",(VLOOKUP($C130,REV!$C:$AL,31,0)-'TRADE IN'!$F130))</f>
        <v>12099</v>
      </c>
      <c r="AH130" s="45">
        <f>IF(VLOOKUP($C130,REV!$C:$AL,32,0)-'TRADE IN'!$F130=0,"",(VLOOKUP($C130,REV!$C:$AL,32,0)-'TRADE IN'!$F130))</f>
        <v>11399</v>
      </c>
      <c r="AI130" s="45">
        <f>IF(VLOOKUP($C130,REV!$C:$AL,33,0)-'TRADE IN'!$F130=0,"",(VLOOKUP($C130,REV!$C:$AL,33,0)-'TRADE IN'!$F130))</f>
        <v>11399</v>
      </c>
      <c r="AJ130" s="45">
        <f>IF(VLOOKUP($C130,REV!$C:$AL,34,0)-'TRADE IN'!$F130=0,"",(VLOOKUP($C130,REV!$C:$AL,34,0)-'TRADE IN'!$F130))</f>
        <v>11399</v>
      </c>
      <c r="AK130" s="45">
        <f>IF(VLOOKUP($C130,REV!$C:$AL,35,0)-'TRADE IN'!$F130=0,"",(VLOOKUP($C130,REV!$C:$AL,35,0)-'TRADE IN'!$F130))</f>
        <v>11399</v>
      </c>
      <c r="AL130" s="45">
        <f>IF(VLOOKUP($C130,REV!$C:$AL,36,0)-'TRADE IN'!$F130=0,"",(VLOOKUP($C130,REV!$C:$AL,36,0)-'TRADE IN'!$F130))</f>
        <v>10799</v>
      </c>
      <c r="AM130" s="45"/>
      <c r="AN130" s="45"/>
      <c r="AO130" s="45"/>
      <c r="AP130" s="45"/>
      <c r="AQ130" s="45"/>
      <c r="AR130" s="45"/>
      <c r="AS130" s="45"/>
      <c r="AT130" s="45"/>
      <c r="AU130" s="45"/>
      <c r="AV130" s="47"/>
      <c r="AW130" s="48" t="str">
        <f>REV!AW130</f>
        <v>01.12.2026</v>
      </c>
      <c r="AX130" s="153" t="str">
        <f>VLOOKUP(C130,REV!C:AX,48,0)</f>
        <v>5G</v>
      </c>
    </row>
    <row r="131" spans="1:50" ht="22.5" customHeight="1">
      <c r="A131" s="41" t="s">
        <v>63</v>
      </c>
      <c r="B131" s="42" t="s">
        <v>64</v>
      </c>
      <c r="C131" s="43">
        <v>4018300</v>
      </c>
      <c r="D131" s="44" t="s">
        <v>218</v>
      </c>
      <c r="E131" s="44" t="s">
        <v>221</v>
      </c>
      <c r="F131" s="45"/>
      <c r="G131" s="45"/>
      <c r="H131" s="45"/>
      <c r="I131" s="45"/>
      <c r="J131" s="46">
        <f>IF(VLOOKUP($C131,REV!$C:$AA,8,0)-'TRADE IN'!$F131=0,"",(VLOOKUP($C131,REV!$C:$AA,8,0)-'TRADE IN'!$F131))</f>
        <v>12299</v>
      </c>
      <c r="K131" s="46">
        <f>IF(VLOOKUP($C131,REV!$C:$AA,9,0)-'TRADE IN'!$F131=0,"",(VLOOKUP($C131,REV!$C:$AA,9,0)-'TRADE IN'!$F131))</f>
        <v>12299</v>
      </c>
      <c r="L131" s="46">
        <f>IF(VLOOKUP($C131,REV!$C:$AA,10,0)-'TRADE IN'!$F131=0,"",(VLOOKUP($C131,REV!$C:$AA,10,0)-'TRADE IN'!$F131))</f>
        <v>12299</v>
      </c>
      <c r="M131" s="46">
        <f>IF(VLOOKUP($C131,REV!$C:$AA,11,0)-'TRADE IN'!$F131=0,"",(VLOOKUP($C131,REV!$C:$AA,11,0)-'TRADE IN'!$F131))</f>
        <v>12299</v>
      </c>
      <c r="N131" s="46">
        <f>IF(VLOOKUP($C131,REV!$C:$AA,12,0)-'TRADE IN'!$F131=0,"",(VLOOKUP($C131,REV!$C:$AA,12,0)-'TRADE IN'!$F131))</f>
        <v>12299</v>
      </c>
      <c r="O131" s="46">
        <f>IF(VLOOKUP($C131,REV!$C:$AA,13,0)-'TRADE IN'!$F131=0,"",(VLOOKUP($C131,REV!$C:$AA,13,0)-'TRADE IN'!$F131))</f>
        <v>12199</v>
      </c>
      <c r="P131" s="46">
        <f>IF(VLOOKUP($C131,REV!$C:$AA,14,0)-'TRADE IN'!$F131=0,"",(VLOOKUP($C131,REV!$C:$AA,14,0)-'TRADE IN'!$F131))</f>
        <v>12099</v>
      </c>
      <c r="Q131" s="46">
        <f>IF(VLOOKUP($C131,REV!$C:$AA,15,0)-'TRADE IN'!$F131=0,"",(VLOOKUP($C131,REV!$C:$AA,15,0)-'TRADE IN'!$F131))</f>
        <v>11399</v>
      </c>
      <c r="R131" s="46">
        <f>IF(VLOOKUP($C131,REV!$C:$AA,16,0)-'TRADE IN'!$F131=0,"",(VLOOKUP($C131,REV!$C:$AA,16,0)-'TRADE IN'!$F131))</f>
        <v>12199</v>
      </c>
      <c r="S131" s="46">
        <f>IF(VLOOKUP($C131,REV!$C:$AA,17,0)-'TRADE IN'!$F131=0,"",(VLOOKUP($C131,REV!$C:$AA,17,0)-'TRADE IN'!$F131))</f>
        <v>12099</v>
      </c>
      <c r="T131" s="46">
        <f>IF(VLOOKUP($C131,REV!$C:$AA,18,0)-'TRADE IN'!$F131=0,"",(VLOOKUP($C131,REV!$C:$AA,18,0)-'TRADE IN'!$F131))</f>
        <v>11399</v>
      </c>
      <c r="U131" s="46">
        <f>IF(VLOOKUP($C131,REV!$C:$AA,19,0)-'TRADE IN'!$F131=0,"",(VLOOKUP($C131,REV!$C:$AA,19,0)-'TRADE IN'!$F131))</f>
        <v>11399</v>
      </c>
      <c r="V131" s="46">
        <f>IF(VLOOKUP($C131,REV!$C:$AA,20,0)-'TRADE IN'!$F131=0,"",(VLOOKUP($C131,REV!$C:$AA,20,0)-'TRADE IN'!$F131))</f>
        <v>11399</v>
      </c>
      <c r="W131" s="46">
        <f>IF(VLOOKUP($C131,REV!$C:$AA,21,0)-'TRADE IN'!$F131=0,"",(VLOOKUP($C131,REV!$C:$AA,21,0)-'TRADE IN'!$F131))</f>
        <v>11399</v>
      </c>
      <c r="X131" s="46">
        <f>IF(VLOOKUP($C131,REV!$C:$AA,22,0)-'TRADE IN'!$F131=0,"",(VLOOKUP($C131,REV!$C:$AA,22,0)-'TRADE IN'!$F131))</f>
        <v>11299</v>
      </c>
      <c r="Y131" s="46">
        <f>IF(VLOOKUP($C131,REV!$C:$AA,23,0)-'TRADE IN'!$F131=0,"",(VLOOKUP($C131,REV!$C:$AA,23,0)-'TRADE IN'!$F131))</f>
        <v>10799</v>
      </c>
      <c r="Z131" s="46">
        <f>IF(VLOOKUP($C131,REV!$C:$AA,24,0)-'TRADE IN'!$F131=0,"",(VLOOKUP($C131,REV!$C:$AA,24,0)-'TRADE IN'!$F131))</f>
        <v>10799</v>
      </c>
      <c r="AA131" s="46">
        <f>IF(VLOOKUP($C131,REV!$C:$AA,25,0)-'TRADE IN'!$F131=0,"",(VLOOKUP($C131,REV!$C:$AA,25,0)-'TRADE IN'!$F131))</f>
        <v>10499</v>
      </c>
      <c r="AB131" s="45">
        <f>IF(VLOOKUP($C131,REV!$C:$AL,27,0)-'TRADE IN'!$F131=0,"",(VLOOKUP($C131,REV!$C:$AL,27,0)-'TRADE IN'!$F131))</f>
        <v>12299</v>
      </c>
      <c r="AC131" s="45">
        <f>IF(VLOOKUP($C131,REV!$C:$AL,28,0)-'TRADE IN'!$F131=0,"",(VLOOKUP($C131,REV!$C:$AL,28,0)-'TRADE IN'!$F131))</f>
        <v>12299</v>
      </c>
      <c r="AD131" s="45">
        <f>IF(VLOOKUP($C131,REV!$C:$AL,29,0)-'TRADE IN'!$F131=0,"",(VLOOKUP($C131,REV!$C:$AL,29,0)-'TRADE IN'!$F131))</f>
        <v>12299</v>
      </c>
      <c r="AE131" s="45">
        <f>IF(VLOOKUP($C131,REV!$C:$AL,30,0)-'TRADE IN'!$F131=0,"",(VLOOKUP($C131,REV!$C:$AL,30,0)-'TRADE IN'!$F131))</f>
        <v>12199</v>
      </c>
      <c r="AF131" s="45">
        <f>IF(VLOOKUP($C131,REV!$C:$AL,31,0)-'TRADE IN'!$F131=0,"",(VLOOKUP($C131,REV!$C:$AL,31,0)-'TRADE IN'!$F131))</f>
        <v>12099</v>
      </c>
      <c r="AG131" s="45">
        <f>IF(VLOOKUP($C131,REV!$C:$AL,31,0)-'TRADE IN'!$F131=0,"",(VLOOKUP($C131,REV!$C:$AL,31,0)-'TRADE IN'!$F131))</f>
        <v>12099</v>
      </c>
      <c r="AH131" s="45">
        <f>IF(VLOOKUP($C131,REV!$C:$AL,32,0)-'TRADE IN'!$F131=0,"",(VLOOKUP($C131,REV!$C:$AL,32,0)-'TRADE IN'!$F131))</f>
        <v>11399</v>
      </c>
      <c r="AI131" s="45">
        <f>IF(VLOOKUP($C131,REV!$C:$AL,33,0)-'TRADE IN'!$F131=0,"",(VLOOKUP($C131,REV!$C:$AL,33,0)-'TRADE IN'!$F131))</f>
        <v>11399</v>
      </c>
      <c r="AJ131" s="45">
        <f>IF(VLOOKUP($C131,REV!$C:$AL,34,0)-'TRADE IN'!$F131=0,"",(VLOOKUP($C131,REV!$C:$AL,34,0)-'TRADE IN'!$F131))</f>
        <v>11399</v>
      </c>
      <c r="AK131" s="45">
        <f>IF(VLOOKUP($C131,REV!$C:$AL,35,0)-'TRADE IN'!$F131=0,"",(VLOOKUP($C131,REV!$C:$AL,35,0)-'TRADE IN'!$F131))</f>
        <v>11399</v>
      </c>
      <c r="AL131" s="45">
        <f>IF(VLOOKUP($C131,REV!$C:$AL,36,0)-'TRADE IN'!$F131=0,"",(VLOOKUP($C131,REV!$C:$AL,36,0)-'TRADE IN'!$F131))</f>
        <v>10799</v>
      </c>
      <c r="AM131" s="45"/>
      <c r="AN131" s="45"/>
      <c r="AO131" s="45"/>
      <c r="AP131" s="45"/>
      <c r="AQ131" s="45"/>
      <c r="AR131" s="45"/>
      <c r="AS131" s="45"/>
      <c r="AT131" s="45"/>
      <c r="AU131" s="45"/>
      <c r="AV131" s="47"/>
      <c r="AW131" s="48" t="str">
        <f>REV!AW131</f>
        <v>01.12.2026</v>
      </c>
      <c r="AX131" s="153" t="str">
        <f>VLOOKUP(C131,REV!C:AX,48,0)</f>
        <v>5G</v>
      </c>
    </row>
    <row r="132" spans="1:50" ht="22.5" customHeight="1">
      <c r="A132" s="41" t="s">
        <v>63</v>
      </c>
      <c r="B132" s="42" t="s">
        <v>64</v>
      </c>
      <c r="C132" s="43">
        <v>4018289</v>
      </c>
      <c r="D132" s="44" t="s">
        <v>222</v>
      </c>
      <c r="E132" s="44" t="s">
        <v>223</v>
      </c>
      <c r="F132" s="45"/>
      <c r="G132" s="45"/>
      <c r="H132" s="45"/>
      <c r="I132" s="45"/>
      <c r="J132" s="46">
        <f>IF(VLOOKUP($C132,REV!$C:$AA,8,0)-'TRADE IN'!$F132=0,"",(VLOOKUP($C132,REV!$C:$AA,8,0)-'TRADE IN'!$F132))</f>
        <v>11899</v>
      </c>
      <c r="K132" s="46">
        <f>IF(VLOOKUP($C132,REV!$C:$AA,9,0)-'TRADE IN'!$F132=0,"",(VLOOKUP($C132,REV!$C:$AA,9,0)-'TRADE IN'!$F132))</f>
        <v>11899</v>
      </c>
      <c r="L132" s="46">
        <f>IF(VLOOKUP($C132,REV!$C:$AA,10,0)-'TRADE IN'!$F132=0,"",(VLOOKUP($C132,REV!$C:$AA,10,0)-'TRADE IN'!$F132))</f>
        <v>11899</v>
      </c>
      <c r="M132" s="46">
        <f>IF(VLOOKUP($C132,REV!$C:$AA,11,0)-'TRADE IN'!$F132=0,"",(VLOOKUP($C132,REV!$C:$AA,11,0)-'TRADE IN'!$F132))</f>
        <v>11899</v>
      </c>
      <c r="N132" s="46">
        <f>IF(VLOOKUP($C132,REV!$C:$AA,12,0)-'TRADE IN'!$F132=0,"",(VLOOKUP($C132,REV!$C:$AA,12,0)-'TRADE IN'!$F132))</f>
        <v>11899</v>
      </c>
      <c r="O132" s="46">
        <f>IF(VLOOKUP($C132,REV!$C:$AA,13,0)-'TRADE IN'!$F132=0,"",(VLOOKUP($C132,REV!$C:$AA,13,0)-'TRADE IN'!$F132))</f>
        <v>11799</v>
      </c>
      <c r="P132" s="46">
        <f>IF(VLOOKUP($C132,REV!$C:$AA,14,0)-'TRADE IN'!$F132=0,"",(VLOOKUP($C132,REV!$C:$AA,14,0)-'TRADE IN'!$F132))</f>
        <v>11699</v>
      </c>
      <c r="Q132" s="46">
        <f>IF(VLOOKUP($C132,REV!$C:$AA,15,0)-'TRADE IN'!$F132=0,"",(VLOOKUP($C132,REV!$C:$AA,15,0)-'TRADE IN'!$F132))</f>
        <v>10999</v>
      </c>
      <c r="R132" s="46">
        <f>IF(VLOOKUP($C132,REV!$C:$AA,16,0)-'TRADE IN'!$F132=0,"",(VLOOKUP($C132,REV!$C:$AA,16,0)-'TRADE IN'!$F132))</f>
        <v>11799</v>
      </c>
      <c r="S132" s="46">
        <f>IF(VLOOKUP($C132,REV!$C:$AA,17,0)-'TRADE IN'!$F132=0,"",(VLOOKUP($C132,REV!$C:$AA,17,0)-'TRADE IN'!$F132))</f>
        <v>11699</v>
      </c>
      <c r="T132" s="46">
        <f>IF(VLOOKUP($C132,REV!$C:$AA,18,0)-'TRADE IN'!$F132=0,"",(VLOOKUP($C132,REV!$C:$AA,18,0)-'TRADE IN'!$F132))</f>
        <v>10999</v>
      </c>
      <c r="U132" s="46">
        <f>IF(VLOOKUP($C132,REV!$C:$AA,19,0)-'TRADE IN'!$F132=0,"",(VLOOKUP($C132,REV!$C:$AA,19,0)-'TRADE IN'!$F132))</f>
        <v>10999</v>
      </c>
      <c r="V132" s="46">
        <f>IF(VLOOKUP($C132,REV!$C:$AA,20,0)-'TRADE IN'!$F132=0,"",(VLOOKUP($C132,REV!$C:$AA,20,0)-'TRADE IN'!$F132))</f>
        <v>10999</v>
      </c>
      <c r="W132" s="46">
        <f>IF(VLOOKUP($C132,REV!$C:$AA,21,0)-'TRADE IN'!$F132=0,"",(VLOOKUP($C132,REV!$C:$AA,21,0)-'TRADE IN'!$F132))</f>
        <v>10999</v>
      </c>
      <c r="X132" s="46">
        <f>IF(VLOOKUP($C132,REV!$C:$AA,22,0)-'TRADE IN'!$F132=0,"",(VLOOKUP($C132,REV!$C:$AA,22,0)-'TRADE IN'!$F132))</f>
        <v>10899</v>
      </c>
      <c r="Y132" s="46">
        <f>IF(VLOOKUP($C132,REV!$C:$AA,23,0)-'TRADE IN'!$F132=0,"",(VLOOKUP($C132,REV!$C:$AA,23,0)-'TRADE IN'!$F132))</f>
        <v>10499</v>
      </c>
      <c r="Z132" s="46">
        <f>IF(VLOOKUP($C132,REV!$C:$AA,24,0)-'TRADE IN'!$F132=0,"",(VLOOKUP($C132,REV!$C:$AA,24,0)-'TRADE IN'!$F132))</f>
        <v>10499</v>
      </c>
      <c r="AA132" s="46">
        <f>IF(VLOOKUP($C132,REV!$C:$AA,25,0)-'TRADE IN'!$F132=0,"",(VLOOKUP($C132,REV!$C:$AA,25,0)-'TRADE IN'!$F132))</f>
        <v>10299</v>
      </c>
      <c r="AB132" s="45">
        <f>IF(VLOOKUP($C132,REV!$C:$AL,27,0)-'TRADE IN'!$F132=0,"",(VLOOKUP($C132,REV!$C:$AL,27,0)-'TRADE IN'!$F132))</f>
        <v>11899</v>
      </c>
      <c r="AC132" s="45">
        <f>IF(VLOOKUP($C132,REV!$C:$AL,28,0)-'TRADE IN'!$F132=0,"",(VLOOKUP($C132,REV!$C:$AL,28,0)-'TRADE IN'!$F132))</f>
        <v>11899</v>
      </c>
      <c r="AD132" s="45">
        <f>IF(VLOOKUP($C132,REV!$C:$AL,29,0)-'TRADE IN'!$F132=0,"",(VLOOKUP($C132,REV!$C:$AL,29,0)-'TRADE IN'!$F132))</f>
        <v>11899</v>
      </c>
      <c r="AE132" s="45">
        <f>IF(VLOOKUP($C132,REV!$C:$AL,30,0)-'TRADE IN'!$F132=0,"",(VLOOKUP($C132,REV!$C:$AL,30,0)-'TRADE IN'!$F132))</f>
        <v>11799</v>
      </c>
      <c r="AF132" s="45">
        <f>IF(VLOOKUP($C132,REV!$C:$AL,31,0)-'TRADE IN'!$F132=0,"",(VLOOKUP($C132,REV!$C:$AL,31,0)-'TRADE IN'!$F132))</f>
        <v>11699</v>
      </c>
      <c r="AG132" s="45">
        <f>IF(VLOOKUP($C132,REV!$C:$AL,31,0)-'TRADE IN'!$F132=0,"",(VLOOKUP($C132,REV!$C:$AL,31,0)-'TRADE IN'!$F132))</f>
        <v>11699</v>
      </c>
      <c r="AH132" s="45">
        <f>IF(VLOOKUP($C132,REV!$C:$AL,32,0)-'TRADE IN'!$F132=0,"",(VLOOKUP($C132,REV!$C:$AL,32,0)-'TRADE IN'!$F132))</f>
        <v>10999</v>
      </c>
      <c r="AI132" s="45">
        <f>IF(VLOOKUP($C132,REV!$C:$AL,33,0)-'TRADE IN'!$F132=0,"",(VLOOKUP($C132,REV!$C:$AL,33,0)-'TRADE IN'!$F132))</f>
        <v>10999</v>
      </c>
      <c r="AJ132" s="45">
        <f>IF(VLOOKUP($C132,REV!$C:$AL,34,0)-'TRADE IN'!$F132=0,"",(VLOOKUP($C132,REV!$C:$AL,34,0)-'TRADE IN'!$F132))</f>
        <v>10999</v>
      </c>
      <c r="AK132" s="45">
        <f>IF(VLOOKUP($C132,REV!$C:$AL,35,0)-'TRADE IN'!$F132=0,"",(VLOOKUP($C132,REV!$C:$AL,35,0)-'TRADE IN'!$F132))</f>
        <v>10999</v>
      </c>
      <c r="AL132" s="45">
        <f>IF(VLOOKUP($C132,REV!$C:$AL,36,0)-'TRADE IN'!$F132=0,"",(VLOOKUP($C132,REV!$C:$AL,36,0)-'TRADE IN'!$F132))</f>
        <v>10499</v>
      </c>
      <c r="AM132" s="45"/>
      <c r="AN132" s="45"/>
      <c r="AO132" s="45"/>
      <c r="AP132" s="45"/>
      <c r="AQ132" s="45"/>
      <c r="AR132" s="45"/>
      <c r="AS132" s="45"/>
      <c r="AT132" s="45"/>
      <c r="AU132" s="45"/>
      <c r="AV132" s="47"/>
      <c r="AW132" s="48" t="str">
        <f>REV!AW132</f>
        <v>01.12.2026</v>
      </c>
      <c r="AX132" s="153" t="str">
        <f>VLOOKUP(C132,REV!C:AX,48,0)</f>
        <v>5G</v>
      </c>
    </row>
    <row r="133" spans="1:50" ht="22.5" customHeight="1">
      <c r="A133" s="41" t="s">
        <v>63</v>
      </c>
      <c r="B133" s="42" t="s">
        <v>64</v>
      </c>
      <c r="C133" s="43">
        <v>4018307</v>
      </c>
      <c r="D133" s="44" t="s">
        <v>222</v>
      </c>
      <c r="E133" s="44" t="s">
        <v>224</v>
      </c>
      <c r="F133" s="45"/>
      <c r="G133" s="45"/>
      <c r="H133" s="45"/>
      <c r="I133" s="45"/>
      <c r="J133" s="46">
        <f>IF(VLOOKUP($C133,REV!$C:$AA,8,0)-'TRADE IN'!$F133=0,"",(VLOOKUP($C133,REV!$C:$AA,8,0)-'TRADE IN'!$F133))</f>
        <v>11899</v>
      </c>
      <c r="K133" s="46">
        <f>IF(VLOOKUP($C133,REV!$C:$AA,9,0)-'TRADE IN'!$F133=0,"",(VLOOKUP($C133,REV!$C:$AA,9,0)-'TRADE IN'!$F133))</f>
        <v>11899</v>
      </c>
      <c r="L133" s="46">
        <f>IF(VLOOKUP($C133,REV!$C:$AA,10,0)-'TRADE IN'!$F133=0,"",(VLOOKUP($C133,REV!$C:$AA,10,0)-'TRADE IN'!$F133))</f>
        <v>11899</v>
      </c>
      <c r="M133" s="46">
        <f>IF(VLOOKUP($C133,REV!$C:$AA,11,0)-'TRADE IN'!$F133=0,"",(VLOOKUP($C133,REV!$C:$AA,11,0)-'TRADE IN'!$F133))</f>
        <v>11899</v>
      </c>
      <c r="N133" s="46">
        <f>IF(VLOOKUP($C133,REV!$C:$AA,12,0)-'TRADE IN'!$F133=0,"",(VLOOKUP($C133,REV!$C:$AA,12,0)-'TRADE IN'!$F133))</f>
        <v>11899</v>
      </c>
      <c r="O133" s="46">
        <f>IF(VLOOKUP($C133,REV!$C:$AA,13,0)-'TRADE IN'!$F133=0,"",(VLOOKUP($C133,REV!$C:$AA,13,0)-'TRADE IN'!$F133))</f>
        <v>11799</v>
      </c>
      <c r="P133" s="46">
        <f>IF(VLOOKUP($C133,REV!$C:$AA,14,0)-'TRADE IN'!$F133=0,"",(VLOOKUP($C133,REV!$C:$AA,14,0)-'TRADE IN'!$F133))</f>
        <v>11699</v>
      </c>
      <c r="Q133" s="46">
        <f>IF(VLOOKUP($C133,REV!$C:$AA,15,0)-'TRADE IN'!$F133=0,"",(VLOOKUP($C133,REV!$C:$AA,15,0)-'TRADE IN'!$F133))</f>
        <v>10999</v>
      </c>
      <c r="R133" s="46">
        <f>IF(VLOOKUP($C133,REV!$C:$AA,16,0)-'TRADE IN'!$F133=0,"",(VLOOKUP($C133,REV!$C:$AA,16,0)-'TRADE IN'!$F133))</f>
        <v>11799</v>
      </c>
      <c r="S133" s="46">
        <f>IF(VLOOKUP($C133,REV!$C:$AA,17,0)-'TRADE IN'!$F133=0,"",(VLOOKUP($C133,REV!$C:$AA,17,0)-'TRADE IN'!$F133))</f>
        <v>11699</v>
      </c>
      <c r="T133" s="46">
        <f>IF(VLOOKUP($C133,REV!$C:$AA,18,0)-'TRADE IN'!$F133=0,"",(VLOOKUP($C133,REV!$C:$AA,18,0)-'TRADE IN'!$F133))</f>
        <v>10999</v>
      </c>
      <c r="U133" s="46">
        <f>IF(VLOOKUP($C133,REV!$C:$AA,19,0)-'TRADE IN'!$F133=0,"",(VLOOKUP($C133,REV!$C:$AA,19,0)-'TRADE IN'!$F133))</f>
        <v>10999</v>
      </c>
      <c r="V133" s="46">
        <f>IF(VLOOKUP($C133,REV!$C:$AA,20,0)-'TRADE IN'!$F133=0,"",(VLOOKUP($C133,REV!$C:$AA,20,0)-'TRADE IN'!$F133))</f>
        <v>10999</v>
      </c>
      <c r="W133" s="46">
        <f>IF(VLOOKUP($C133,REV!$C:$AA,21,0)-'TRADE IN'!$F133=0,"",(VLOOKUP($C133,REV!$C:$AA,21,0)-'TRADE IN'!$F133))</f>
        <v>10999</v>
      </c>
      <c r="X133" s="46">
        <f>IF(VLOOKUP($C133,REV!$C:$AA,22,0)-'TRADE IN'!$F133=0,"",(VLOOKUP($C133,REV!$C:$AA,22,0)-'TRADE IN'!$F133))</f>
        <v>10899</v>
      </c>
      <c r="Y133" s="46">
        <f>IF(VLOOKUP($C133,REV!$C:$AA,23,0)-'TRADE IN'!$F133=0,"",(VLOOKUP($C133,REV!$C:$AA,23,0)-'TRADE IN'!$F133))</f>
        <v>10499</v>
      </c>
      <c r="Z133" s="46">
        <f>IF(VLOOKUP($C133,REV!$C:$AA,24,0)-'TRADE IN'!$F133=0,"",(VLOOKUP($C133,REV!$C:$AA,24,0)-'TRADE IN'!$F133))</f>
        <v>10499</v>
      </c>
      <c r="AA133" s="46">
        <f>IF(VLOOKUP($C133,REV!$C:$AA,25,0)-'TRADE IN'!$F133=0,"",(VLOOKUP($C133,REV!$C:$AA,25,0)-'TRADE IN'!$F133))</f>
        <v>10299</v>
      </c>
      <c r="AB133" s="45">
        <f>IF(VLOOKUP($C133,REV!$C:$AL,27,0)-'TRADE IN'!$F133=0,"",(VLOOKUP($C133,REV!$C:$AL,27,0)-'TRADE IN'!$F133))</f>
        <v>11899</v>
      </c>
      <c r="AC133" s="45">
        <f>IF(VLOOKUP($C133,REV!$C:$AL,28,0)-'TRADE IN'!$F133=0,"",(VLOOKUP($C133,REV!$C:$AL,28,0)-'TRADE IN'!$F133))</f>
        <v>11899</v>
      </c>
      <c r="AD133" s="45">
        <f>IF(VLOOKUP($C133,REV!$C:$AL,29,0)-'TRADE IN'!$F133=0,"",(VLOOKUP($C133,REV!$C:$AL,29,0)-'TRADE IN'!$F133))</f>
        <v>11899</v>
      </c>
      <c r="AE133" s="45">
        <f>IF(VLOOKUP($C133,REV!$C:$AL,30,0)-'TRADE IN'!$F133=0,"",(VLOOKUP($C133,REV!$C:$AL,30,0)-'TRADE IN'!$F133))</f>
        <v>11799</v>
      </c>
      <c r="AF133" s="45">
        <f>IF(VLOOKUP($C133,REV!$C:$AL,31,0)-'TRADE IN'!$F133=0,"",(VLOOKUP($C133,REV!$C:$AL,31,0)-'TRADE IN'!$F133))</f>
        <v>11699</v>
      </c>
      <c r="AG133" s="45">
        <f>IF(VLOOKUP($C133,REV!$C:$AL,31,0)-'TRADE IN'!$F133=0,"",(VLOOKUP($C133,REV!$C:$AL,31,0)-'TRADE IN'!$F133))</f>
        <v>11699</v>
      </c>
      <c r="AH133" s="45">
        <f>IF(VLOOKUP($C133,REV!$C:$AL,32,0)-'TRADE IN'!$F133=0,"",(VLOOKUP($C133,REV!$C:$AL,32,0)-'TRADE IN'!$F133))</f>
        <v>10999</v>
      </c>
      <c r="AI133" s="45">
        <f>IF(VLOOKUP($C133,REV!$C:$AL,33,0)-'TRADE IN'!$F133=0,"",(VLOOKUP($C133,REV!$C:$AL,33,0)-'TRADE IN'!$F133))</f>
        <v>10999</v>
      </c>
      <c r="AJ133" s="45">
        <f>IF(VLOOKUP($C133,REV!$C:$AL,34,0)-'TRADE IN'!$F133=0,"",(VLOOKUP($C133,REV!$C:$AL,34,0)-'TRADE IN'!$F133))</f>
        <v>10999</v>
      </c>
      <c r="AK133" s="45">
        <f>IF(VLOOKUP($C133,REV!$C:$AL,35,0)-'TRADE IN'!$F133=0,"",(VLOOKUP($C133,REV!$C:$AL,35,0)-'TRADE IN'!$F133))</f>
        <v>10999</v>
      </c>
      <c r="AL133" s="45">
        <f>IF(VLOOKUP($C133,REV!$C:$AL,36,0)-'TRADE IN'!$F133=0,"",(VLOOKUP($C133,REV!$C:$AL,36,0)-'TRADE IN'!$F133))</f>
        <v>10499</v>
      </c>
      <c r="AM133" s="45"/>
      <c r="AN133" s="45"/>
      <c r="AO133" s="45"/>
      <c r="AP133" s="45"/>
      <c r="AQ133" s="45"/>
      <c r="AR133" s="45"/>
      <c r="AS133" s="45"/>
      <c r="AT133" s="45"/>
      <c r="AU133" s="45"/>
      <c r="AV133" s="47"/>
      <c r="AW133" s="48" t="str">
        <f>REV!AW133</f>
        <v>01.12.2026</v>
      </c>
      <c r="AX133" s="153" t="str">
        <f>VLOOKUP(C133,REV!C:AX,48,0)</f>
        <v>5G</v>
      </c>
    </row>
    <row r="134" spans="1:50" ht="22.5" customHeight="1">
      <c r="A134" s="41" t="s">
        <v>63</v>
      </c>
      <c r="B134" s="42" t="s">
        <v>64</v>
      </c>
      <c r="C134" s="43">
        <v>4018288</v>
      </c>
      <c r="D134" s="44" t="s">
        <v>222</v>
      </c>
      <c r="E134" s="44" t="s">
        <v>225</v>
      </c>
      <c r="F134" s="45"/>
      <c r="G134" s="45"/>
      <c r="H134" s="45"/>
      <c r="I134" s="45"/>
      <c r="J134" s="46">
        <f>IF(VLOOKUP($C134,REV!$C:$AA,8,0)-'TRADE IN'!$F134=0,"",(VLOOKUP($C134,REV!$C:$AA,8,0)-'TRADE IN'!$F134))</f>
        <v>11899</v>
      </c>
      <c r="K134" s="46">
        <f>IF(VLOOKUP($C134,REV!$C:$AA,9,0)-'TRADE IN'!$F134=0,"",(VLOOKUP($C134,REV!$C:$AA,9,0)-'TRADE IN'!$F134))</f>
        <v>11899</v>
      </c>
      <c r="L134" s="46">
        <f>IF(VLOOKUP($C134,REV!$C:$AA,10,0)-'TRADE IN'!$F134=0,"",(VLOOKUP($C134,REV!$C:$AA,10,0)-'TRADE IN'!$F134))</f>
        <v>11899</v>
      </c>
      <c r="M134" s="46">
        <f>IF(VLOOKUP($C134,REV!$C:$AA,11,0)-'TRADE IN'!$F134=0,"",(VLOOKUP($C134,REV!$C:$AA,11,0)-'TRADE IN'!$F134))</f>
        <v>11899</v>
      </c>
      <c r="N134" s="46">
        <f>IF(VLOOKUP($C134,REV!$C:$AA,12,0)-'TRADE IN'!$F134=0,"",(VLOOKUP($C134,REV!$C:$AA,12,0)-'TRADE IN'!$F134))</f>
        <v>11899</v>
      </c>
      <c r="O134" s="46">
        <f>IF(VLOOKUP($C134,REV!$C:$AA,13,0)-'TRADE IN'!$F134=0,"",(VLOOKUP($C134,REV!$C:$AA,13,0)-'TRADE IN'!$F134))</f>
        <v>11799</v>
      </c>
      <c r="P134" s="46">
        <f>IF(VLOOKUP($C134,REV!$C:$AA,14,0)-'TRADE IN'!$F134=0,"",(VLOOKUP($C134,REV!$C:$AA,14,0)-'TRADE IN'!$F134))</f>
        <v>11699</v>
      </c>
      <c r="Q134" s="46">
        <f>IF(VLOOKUP($C134,REV!$C:$AA,15,0)-'TRADE IN'!$F134=0,"",(VLOOKUP($C134,REV!$C:$AA,15,0)-'TRADE IN'!$F134))</f>
        <v>10999</v>
      </c>
      <c r="R134" s="46">
        <f>IF(VLOOKUP($C134,REV!$C:$AA,16,0)-'TRADE IN'!$F134=0,"",(VLOOKUP($C134,REV!$C:$AA,16,0)-'TRADE IN'!$F134))</f>
        <v>11799</v>
      </c>
      <c r="S134" s="46">
        <f>IF(VLOOKUP($C134,REV!$C:$AA,17,0)-'TRADE IN'!$F134=0,"",(VLOOKUP($C134,REV!$C:$AA,17,0)-'TRADE IN'!$F134))</f>
        <v>11699</v>
      </c>
      <c r="T134" s="46">
        <f>IF(VLOOKUP($C134,REV!$C:$AA,18,0)-'TRADE IN'!$F134=0,"",(VLOOKUP($C134,REV!$C:$AA,18,0)-'TRADE IN'!$F134))</f>
        <v>10999</v>
      </c>
      <c r="U134" s="46">
        <f>IF(VLOOKUP($C134,REV!$C:$AA,19,0)-'TRADE IN'!$F134=0,"",(VLOOKUP($C134,REV!$C:$AA,19,0)-'TRADE IN'!$F134))</f>
        <v>10999</v>
      </c>
      <c r="V134" s="46">
        <f>IF(VLOOKUP($C134,REV!$C:$AA,20,0)-'TRADE IN'!$F134=0,"",(VLOOKUP($C134,REV!$C:$AA,20,0)-'TRADE IN'!$F134))</f>
        <v>10999</v>
      </c>
      <c r="W134" s="46">
        <f>IF(VLOOKUP($C134,REV!$C:$AA,21,0)-'TRADE IN'!$F134=0,"",(VLOOKUP($C134,REV!$C:$AA,21,0)-'TRADE IN'!$F134))</f>
        <v>10999</v>
      </c>
      <c r="X134" s="46">
        <f>IF(VLOOKUP($C134,REV!$C:$AA,22,0)-'TRADE IN'!$F134=0,"",(VLOOKUP($C134,REV!$C:$AA,22,0)-'TRADE IN'!$F134))</f>
        <v>10899</v>
      </c>
      <c r="Y134" s="46">
        <f>IF(VLOOKUP($C134,REV!$C:$AA,23,0)-'TRADE IN'!$F134=0,"",(VLOOKUP($C134,REV!$C:$AA,23,0)-'TRADE IN'!$F134))</f>
        <v>10499</v>
      </c>
      <c r="Z134" s="46">
        <f>IF(VLOOKUP($C134,REV!$C:$AA,24,0)-'TRADE IN'!$F134=0,"",(VLOOKUP($C134,REV!$C:$AA,24,0)-'TRADE IN'!$F134))</f>
        <v>10499</v>
      </c>
      <c r="AA134" s="46">
        <f>IF(VLOOKUP($C134,REV!$C:$AA,25,0)-'TRADE IN'!$F134=0,"",(VLOOKUP($C134,REV!$C:$AA,25,0)-'TRADE IN'!$F134))</f>
        <v>10299</v>
      </c>
      <c r="AB134" s="45">
        <f>IF(VLOOKUP($C134,REV!$C:$AL,27,0)-'TRADE IN'!$F134=0,"",(VLOOKUP($C134,REV!$C:$AL,27,0)-'TRADE IN'!$F134))</f>
        <v>11899</v>
      </c>
      <c r="AC134" s="45">
        <f>IF(VLOOKUP($C134,REV!$C:$AL,28,0)-'TRADE IN'!$F134=0,"",(VLOOKUP($C134,REV!$C:$AL,28,0)-'TRADE IN'!$F134))</f>
        <v>11899</v>
      </c>
      <c r="AD134" s="45">
        <f>IF(VLOOKUP($C134,REV!$C:$AL,29,0)-'TRADE IN'!$F134=0,"",(VLOOKUP($C134,REV!$C:$AL,29,0)-'TRADE IN'!$F134))</f>
        <v>11899</v>
      </c>
      <c r="AE134" s="45">
        <f>IF(VLOOKUP($C134,REV!$C:$AL,30,0)-'TRADE IN'!$F134=0,"",(VLOOKUP($C134,REV!$C:$AL,30,0)-'TRADE IN'!$F134))</f>
        <v>11799</v>
      </c>
      <c r="AF134" s="45">
        <f>IF(VLOOKUP($C134,REV!$C:$AL,31,0)-'TRADE IN'!$F134=0,"",(VLOOKUP($C134,REV!$C:$AL,31,0)-'TRADE IN'!$F134))</f>
        <v>11699</v>
      </c>
      <c r="AG134" s="45">
        <f>IF(VLOOKUP($C134,REV!$C:$AL,31,0)-'TRADE IN'!$F134=0,"",(VLOOKUP($C134,REV!$C:$AL,31,0)-'TRADE IN'!$F134))</f>
        <v>11699</v>
      </c>
      <c r="AH134" s="45">
        <f>IF(VLOOKUP($C134,REV!$C:$AL,32,0)-'TRADE IN'!$F134=0,"",(VLOOKUP($C134,REV!$C:$AL,32,0)-'TRADE IN'!$F134))</f>
        <v>10999</v>
      </c>
      <c r="AI134" s="45">
        <f>IF(VLOOKUP($C134,REV!$C:$AL,33,0)-'TRADE IN'!$F134=0,"",(VLOOKUP($C134,REV!$C:$AL,33,0)-'TRADE IN'!$F134))</f>
        <v>10999</v>
      </c>
      <c r="AJ134" s="45">
        <f>IF(VLOOKUP($C134,REV!$C:$AL,34,0)-'TRADE IN'!$F134=0,"",(VLOOKUP($C134,REV!$C:$AL,34,0)-'TRADE IN'!$F134))</f>
        <v>10999</v>
      </c>
      <c r="AK134" s="45">
        <f>IF(VLOOKUP($C134,REV!$C:$AL,35,0)-'TRADE IN'!$F134=0,"",(VLOOKUP($C134,REV!$C:$AL,35,0)-'TRADE IN'!$F134))</f>
        <v>10999</v>
      </c>
      <c r="AL134" s="45">
        <f>IF(VLOOKUP($C134,REV!$C:$AL,36,0)-'TRADE IN'!$F134=0,"",(VLOOKUP($C134,REV!$C:$AL,36,0)-'TRADE IN'!$F134))</f>
        <v>10499</v>
      </c>
      <c r="AM134" s="45"/>
      <c r="AN134" s="45"/>
      <c r="AO134" s="45"/>
      <c r="AP134" s="45"/>
      <c r="AQ134" s="45"/>
      <c r="AR134" s="45"/>
      <c r="AS134" s="45"/>
      <c r="AT134" s="45"/>
      <c r="AU134" s="45"/>
      <c r="AV134" s="47"/>
      <c r="AW134" s="48" t="str">
        <f>REV!AW134</f>
        <v>01.12.2026</v>
      </c>
      <c r="AX134" s="153" t="str">
        <f>VLOOKUP(C134,REV!C:AX,48,0)</f>
        <v>5G</v>
      </c>
    </row>
    <row r="135" spans="1:50" ht="22.5" customHeight="1">
      <c r="A135" s="41" t="s">
        <v>63</v>
      </c>
      <c r="B135" s="42" t="s">
        <v>64</v>
      </c>
      <c r="C135" s="43">
        <v>4018306</v>
      </c>
      <c r="D135" s="44" t="s">
        <v>222</v>
      </c>
      <c r="E135" s="44" t="s">
        <v>226</v>
      </c>
      <c r="F135" s="45"/>
      <c r="G135" s="45"/>
      <c r="H135" s="45"/>
      <c r="I135" s="45"/>
      <c r="J135" s="46">
        <f>IF(VLOOKUP($C135,REV!$C:$AA,8,0)-'TRADE IN'!$F135=0,"",(VLOOKUP($C135,REV!$C:$AA,8,0)-'TRADE IN'!$F135))</f>
        <v>11899</v>
      </c>
      <c r="K135" s="46">
        <f>IF(VLOOKUP($C135,REV!$C:$AA,9,0)-'TRADE IN'!$F135=0,"",(VLOOKUP($C135,REV!$C:$AA,9,0)-'TRADE IN'!$F135))</f>
        <v>11899</v>
      </c>
      <c r="L135" s="46">
        <f>IF(VLOOKUP($C135,REV!$C:$AA,10,0)-'TRADE IN'!$F135=0,"",(VLOOKUP($C135,REV!$C:$AA,10,0)-'TRADE IN'!$F135))</f>
        <v>11899</v>
      </c>
      <c r="M135" s="46">
        <f>IF(VLOOKUP($C135,REV!$C:$AA,11,0)-'TRADE IN'!$F135=0,"",(VLOOKUP($C135,REV!$C:$AA,11,0)-'TRADE IN'!$F135))</f>
        <v>11899</v>
      </c>
      <c r="N135" s="46">
        <f>IF(VLOOKUP($C135,REV!$C:$AA,12,0)-'TRADE IN'!$F135=0,"",(VLOOKUP($C135,REV!$C:$AA,12,0)-'TRADE IN'!$F135))</f>
        <v>11899</v>
      </c>
      <c r="O135" s="46">
        <f>IF(VLOOKUP($C135,REV!$C:$AA,13,0)-'TRADE IN'!$F135=0,"",(VLOOKUP($C135,REV!$C:$AA,13,0)-'TRADE IN'!$F135))</f>
        <v>11799</v>
      </c>
      <c r="P135" s="46">
        <f>IF(VLOOKUP($C135,REV!$C:$AA,14,0)-'TRADE IN'!$F135=0,"",(VLOOKUP($C135,REV!$C:$AA,14,0)-'TRADE IN'!$F135))</f>
        <v>11699</v>
      </c>
      <c r="Q135" s="46">
        <f>IF(VLOOKUP($C135,REV!$C:$AA,15,0)-'TRADE IN'!$F135=0,"",(VLOOKUP($C135,REV!$C:$AA,15,0)-'TRADE IN'!$F135))</f>
        <v>10999</v>
      </c>
      <c r="R135" s="46">
        <f>IF(VLOOKUP($C135,REV!$C:$AA,16,0)-'TRADE IN'!$F135=0,"",(VLOOKUP($C135,REV!$C:$AA,16,0)-'TRADE IN'!$F135))</f>
        <v>11799</v>
      </c>
      <c r="S135" s="46">
        <f>IF(VLOOKUP($C135,REV!$C:$AA,17,0)-'TRADE IN'!$F135=0,"",(VLOOKUP($C135,REV!$C:$AA,17,0)-'TRADE IN'!$F135))</f>
        <v>11699</v>
      </c>
      <c r="T135" s="46">
        <f>IF(VLOOKUP($C135,REV!$C:$AA,18,0)-'TRADE IN'!$F135=0,"",(VLOOKUP($C135,REV!$C:$AA,18,0)-'TRADE IN'!$F135))</f>
        <v>10999</v>
      </c>
      <c r="U135" s="46">
        <f>IF(VLOOKUP($C135,REV!$C:$AA,19,0)-'TRADE IN'!$F135=0,"",(VLOOKUP($C135,REV!$C:$AA,19,0)-'TRADE IN'!$F135))</f>
        <v>10999</v>
      </c>
      <c r="V135" s="46">
        <f>IF(VLOOKUP($C135,REV!$C:$AA,20,0)-'TRADE IN'!$F135=0,"",(VLOOKUP($C135,REV!$C:$AA,20,0)-'TRADE IN'!$F135))</f>
        <v>10999</v>
      </c>
      <c r="W135" s="46">
        <f>IF(VLOOKUP($C135,REV!$C:$AA,21,0)-'TRADE IN'!$F135=0,"",(VLOOKUP($C135,REV!$C:$AA,21,0)-'TRADE IN'!$F135))</f>
        <v>10999</v>
      </c>
      <c r="X135" s="46">
        <f>IF(VLOOKUP($C135,REV!$C:$AA,22,0)-'TRADE IN'!$F135=0,"",(VLOOKUP($C135,REV!$C:$AA,22,0)-'TRADE IN'!$F135))</f>
        <v>10899</v>
      </c>
      <c r="Y135" s="46">
        <f>IF(VLOOKUP($C135,REV!$C:$AA,23,0)-'TRADE IN'!$F135=0,"",(VLOOKUP($C135,REV!$C:$AA,23,0)-'TRADE IN'!$F135))</f>
        <v>10499</v>
      </c>
      <c r="Z135" s="46">
        <f>IF(VLOOKUP($C135,REV!$C:$AA,24,0)-'TRADE IN'!$F135=0,"",(VLOOKUP($C135,REV!$C:$AA,24,0)-'TRADE IN'!$F135))</f>
        <v>10499</v>
      </c>
      <c r="AA135" s="46">
        <f>IF(VLOOKUP($C135,REV!$C:$AA,25,0)-'TRADE IN'!$F135=0,"",(VLOOKUP($C135,REV!$C:$AA,25,0)-'TRADE IN'!$F135))</f>
        <v>10299</v>
      </c>
      <c r="AB135" s="45">
        <f>IF(VLOOKUP($C135,REV!$C:$AL,27,0)-'TRADE IN'!$F135=0,"",(VLOOKUP($C135,REV!$C:$AL,27,0)-'TRADE IN'!$F135))</f>
        <v>11899</v>
      </c>
      <c r="AC135" s="45">
        <f>IF(VLOOKUP($C135,REV!$C:$AL,28,0)-'TRADE IN'!$F135=0,"",(VLOOKUP($C135,REV!$C:$AL,28,0)-'TRADE IN'!$F135))</f>
        <v>11899</v>
      </c>
      <c r="AD135" s="45">
        <f>IF(VLOOKUP($C135,REV!$C:$AL,29,0)-'TRADE IN'!$F135=0,"",(VLOOKUP($C135,REV!$C:$AL,29,0)-'TRADE IN'!$F135))</f>
        <v>11899</v>
      </c>
      <c r="AE135" s="45">
        <f>IF(VLOOKUP($C135,REV!$C:$AL,30,0)-'TRADE IN'!$F135=0,"",(VLOOKUP($C135,REV!$C:$AL,30,0)-'TRADE IN'!$F135))</f>
        <v>11799</v>
      </c>
      <c r="AF135" s="45">
        <f>IF(VLOOKUP($C135,REV!$C:$AL,31,0)-'TRADE IN'!$F135=0,"",(VLOOKUP($C135,REV!$C:$AL,31,0)-'TRADE IN'!$F135))</f>
        <v>11699</v>
      </c>
      <c r="AG135" s="45">
        <f>IF(VLOOKUP($C135,REV!$C:$AL,31,0)-'TRADE IN'!$F135=0,"",(VLOOKUP($C135,REV!$C:$AL,31,0)-'TRADE IN'!$F135))</f>
        <v>11699</v>
      </c>
      <c r="AH135" s="45">
        <f>IF(VLOOKUP($C135,REV!$C:$AL,32,0)-'TRADE IN'!$F135=0,"",(VLOOKUP($C135,REV!$C:$AL,32,0)-'TRADE IN'!$F135))</f>
        <v>10999</v>
      </c>
      <c r="AI135" s="45">
        <f>IF(VLOOKUP($C135,REV!$C:$AL,33,0)-'TRADE IN'!$F135=0,"",(VLOOKUP($C135,REV!$C:$AL,33,0)-'TRADE IN'!$F135))</f>
        <v>10999</v>
      </c>
      <c r="AJ135" s="45">
        <f>IF(VLOOKUP($C135,REV!$C:$AL,34,0)-'TRADE IN'!$F135=0,"",(VLOOKUP($C135,REV!$C:$AL,34,0)-'TRADE IN'!$F135))</f>
        <v>10999</v>
      </c>
      <c r="AK135" s="45">
        <f>IF(VLOOKUP($C135,REV!$C:$AL,35,0)-'TRADE IN'!$F135=0,"",(VLOOKUP($C135,REV!$C:$AL,35,0)-'TRADE IN'!$F135))</f>
        <v>10999</v>
      </c>
      <c r="AL135" s="45">
        <f>IF(VLOOKUP($C135,REV!$C:$AL,36,0)-'TRADE IN'!$F135=0,"",(VLOOKUP($C135,REV!$C:$AL,36,0)-'TRADE IN'!$F135))</f>
        <v>10499</v>
      </c>
      <c r="AM135" s="45"/>
      <c r="AN135" s="45"/>
      <c r="AO135" s="45"/>
      <c r="AP135" s="45"/>
      <c r="AQ135" s="45"/>
      <c r="AR135" s="45"/>
      <c r="AS135" s="45"/>
      <c r="AT135" s="45"/>
      <c r="AU135" s="45"/>
      <c r="AV135" s="47"/>
      <c r="AW135" s="48" t="str">
        <f>REV!AW135</f>
        <v>01.12.2026</v>
      </c>
      <c r="AX135" s="153" t="str">
        <f>VLOOKUP(C135,REV!C:AX,48,0)</f>
        <v>5G</v>
      </c>
    </row>
    <row r="136" spans="1:50" ht="22.5" customHeight="1">
      <c r="A136" s="41" t="s">
        <v>63</v>
      </c>
      <c r="B136" s="42" t="s">
        <v>64</v>
      </c>
      <c r="C136" s="43">
        <v>4018290</v>
      </c>
      <c r="D136" s="44" t="s">
        <v>227</v>
      </c>
      <c r="E136" s="44" t="s">
        <v>228</v>
      </c>
      <c r="F136" s="45"/>
      <c r="G136" s="45"/>
      <c r="H136" s="45"/>
      <c r="I136" s="45"/>
      <c r="J136" s="46">
        <f>IF(VLOOKUP($C136,REV!$C:$AA,8,0)-'TRADE IN'!$F136=0,"",(VLOOKUP($C136,REV!$C:$AA,8,0)-'TRADE IN'!$F136))</f>
        <v>13299</v>
      </c>
      <c r="K136" s="46">
        <f>IF(VLOOKUP($C136,REV!$C:$AA,9,0)-'TRADE IN'!$F136=0,"",(VLOOKUP($C136,REV!$C:$AA,9,0)-'TRADE IN'!$F136))</f>
        <v>13299</v>
      </c>
      <c r="L136" s="46">
        <f>IF(VLOOKUP($C136,REV!$C:$AA,10,0)-'TRADE IN'!$F136=0,"",(VLOOKUP($C136,REV!$C:$AA,10,0)-'TRADE IN'!$F136))</f>
        <v>13299</v>
      </c>
      <c r="M136" s="46">
        <f>IF(VLOOKUP($C136,REV!$C:$AA,11,0)-'TRADE IN'!$F136=0,"",(VLOOKUP($C136,REV!$C:$AA,11,0)-'TRADE IN'!$F136))</f>
        <v>13299</v>
      </c>
      <c r="N136" s="46">
        <f>IF(VLOOKUP($C136,REV!$C:$AA,12,0)-'TRADE IN'!$F136=0,"",(VLOOKUP($C136,REV!$C:$AA,12,0)-'TRADE IN'!$F136))</f>
        <v>13299</v>
      </c>
      <c r="O136" s="46">
        <f>IF(VLOOKUP($C136,REV!$C:$AA,13,0)-'TRADE IN'!$F136=0,"",(VLOOKUP($C136,REV!$C:$AA,13,0)-'TRADE IN'!$F136))</f>
        <v>13199</v>
      </c>
      <c r="P136" s="46">
        <f>IF(VLOOKUP($C136,REV!$C:$AA,14,0)-'TRADE IN'!$F136=0,"",(VLOOKUP($C136,REV!$C:$AA,14,0)-'TRADE IN'!$F136))</f>
        <v>13099</v>
      </c>
      <c r="Q136" s="46">
        <f>IF(VLOOKUP($C136,REV!$C:$AA,15,0)-'TRADE IN'!$F136=0,"",(VLOOKUP($C136,REV!$C:$AA,15,0)-'TRADE IN'!$F136))</f>
        <v>12399</v>
      </c>
      <c r="R136" s="46">
        <f>IF(VLOOKUP($C136,REV!$C:$AA,16,0)-'TRADE IN'!$F136=0,"",(VLOOKUP($C136,REV!$C:$AA,16,0)-'TRADE IN'!$F136))</f>
        <v>13199</v>
      </c>
      <c r="S136" s="46">
        <f>IF(VLOOKUP($C136,REV!$C:$AA,17,0)-'TRADE IN'!$F136=0,"",(VLOOKUP($C136,REV!$C:$AA,17,0)-'TRADE IN'!$F136))</f>
        <v>13099</v>
      </c>
      <c r="T136" s="46">
        <f>IF(VLOOKUP($C136,REV!$C:$AA,18,0)-'TRADE IN'!$F136=0,"",(VLOOKUP($C136,REV!$C:$AA,18,0)-'TRADE IN'!$F136))</f>
        <v>12399</v>
      </c>
      <c r="U136" s="46">
        <f>IF(VLOOKUP($C136,REV!$C:$AA,19,0)-'TRADE IN'!$F136=0,"",(VLOOKUP($C136,REV!$C:$AA,19,0)-'TRADE IN'!$F136))</f>
        <v>12399</v>
      </c>
      <c r="V136" s="46">
        <f>IF(VLOOKUP($C136,REV!$C:$AA,20,0)-'TRADE IN'!$F136=0,"",(VLOOKUP($C136,REV!$C:$AA,20,0)-'TRADE IN'!$F136))</f>
        <v>12399</v>
      </c>
      <c r="W136" s="46">
        <f>IF(VLOOKUP($C136,REV!$C:$AA,21,0)-'TRADE IN'!$F136=0,"",(VLOOKUP($C136,REV!$C:$AA,21,0)-'TRADE IN'!$F136))</f>
        <v>12399</v>
      </c>
      <c r="X136" s="46">
        <f>IF(VLOOKUP($C136,REV!$C:$AA,22,0)-'TRADE IN'!$F136=0,"",(VLOOKUP($C136,REV!$C:$AA,22,0)-'TRADE IN'!$F136))</f>
        <v>12299</v>
      </c>
      <c r="Y136" s="46">
        <f>IF(VLOOKUP($C136,REV!$C:$AA,23,0)-'TRADE IN'!$F136=0,"",(VLOOKUP($C136,REV!$C:$AA,23,0)-'TRADE IN'!$F136))</f>
        <v>11699</v>
      </c>
      <c r="Z136" s="46">
        <f>IF(VLOOKUP($C136,REV!$C:$AA,24,0)-'TRADE IN'!$F136=0,"",(VLOOKUP($C136,REV!$C:$AA,24,0)-'TRADE IN'!$F136))</f>
        <v>11699</v>
      </c>
      <c r="AA136" s="46">
        <f>IF(VLOOKUP($C136,REV!$C:$AA,25,0)-'TRADE IN'!$F136=0,"",(VLOOKUP($C136,REV!$C:$AA,25,0)-'TRADE IN'!$F136))</f>
        <v>11499</v>
      </c>
      <c r="AB136" s="45">
        <f>IF(VLOOKUP($C136,REV!$C:$AL,27,0)-'TRADE IN'!$F136=0,"",(VLOOKUP($C136,REV!$C:$AL,27,0)-'TRADE IN'!$F136))</f>
        <v>13299</v>
      </c>
      <c r="AC136" s="45">
        <f>IF(VLOOKUP($C136,REV!$C:$AL,28,0)-'TRADE IN'!$F136=0,"",(VLOOKUP($C136,REV!$C:$AL,28,0)-'TRADE IN'!$F136))</f>
        <v>13299</v>
      </c>
      <c r="AD136" s="45">
        <f>IF(VLOOKUP($C136,REV!$C:$AL,29,0)-'TRADE IN'!$F136=0,"",(VLOOKUP($C136,REV!$C:$AL,29,0)-'TRADE IN'!$F136))</f>
        <v>13299</v>
      </c>
      <c r="AE136" s="45">
        <f>IF(VLOOKUP($C136,REV!$C:$AL,30,0)-'TRADE IN'!$F136=0,"",(VLOOKUP($C136,REV!$C:$AL,30,0)-'TRADE IN'!$F136))</f>
        <v>13199</v>
      </c>
      <c r="AF136" s="45">
        <f>IF(VLOOKUP($C136,REV!$C:$AL,31,0)-'TRADE IN'!$F136=0,"",(VLOOKUP($C136,REV!$C:$AL,31,0)-'TRADE IN'!$F136))</f>
        <v>13099</v>
      </c>
      <c r="AG136" s="45">
        <f>IF(VLOOKUP($C136,REV!$C:$AL,31,0)-'TRADE IN'!$F136=0,"",(VLOOKUP($C136,REV!$C:$AL,31,0)-'TRADE IN'!$F136))</f>
        <v>13099</v>
      </c>
      <c r="AH136" s="45">
        <f>IF(VLOOKUP($C136,REV!$C:$AL,32,0)-'TRADE IN'!$F136=0,"",(VLOOKUP($C136,REV!$C:$AL,32,0)-'TRADE IN'!$F136))</f>
        <v>12399</v>
      </c>
      <c r="AI136" s="45">
        <f>IF(VLOOKUP($C136,REV!$C:$AL,33,0)-'TRADE IN'!$F136=0,"",(VLOOKUP($C136,REV!$C:$AL,33,0)-'TRADE IN'!$F136))</f>
        <v>12399</v>
      </c>
      <c r="AJ136" s="45">
        <f>IF(VLOOKUP($C136,REV!$C:$AL,34,0)-'TRADE IN'!$F136=0,"",(VLOOKUP($C136,REV!$C:$AL,34,0)-'TRADE IN'!$F136))</f>
        <v>12399</v>
      </c>
      <c r="AK136" s="45">
        <f>IF(VLOOKUP($C136,REV!$C:$AL,35,0)-'TRADE IN'!$F136=0,"",(VLOOKUP($C136,REV!$C:$AL,35,0)-'TRADE IN'!$F136))</f>
        <v>12399</v>
      </c>
      <c r="AL136" s="45">
        <f>IF(VLOOKUP($C136,REV!$C:$AL,36,0)-'TRADE IN'!$F136=0,"",(VLOOKUP($C136,REV!$C:$AL,36,0)-'TRADE IN'!$F136))</f>
        <v>11699</v>
      </c>
      <c r="AM136" s="45"/>
      <c r="AN136" s="45"/>
      <c r="AO136" s="45"/>
      <c r="AP136" s="45"/>
      <c r="AQ136" s="45"/>
      <c r="AR136" s="45"/>
      <c r="AS136" s="45"/>
      <c r="AT136" s="45"/>
      <c r="AU136" s="45"/>
      <c r="AV136" s="47"/>
      <c r="AW136" s="48" t="str">
        <f>REV!AW136</f>
        <v>01.12.2026</v>
      </c>
      <c r="AX136" s="153" t="str">
        <f>VLOOKUP(C136,REV!C:AX,48,0)</f>
        <v>5G</v>
      </c>
    </row>
    <row r="137" spans="1:50" ht="22.5" customHeight="1">
      <c r="A137" s="41" t="s">
        <v>63</v>
      </c>
      <c r="B137" s="42" t="s">
        <v>64</v>
      </c>
      <c r="C137" s="43">
        <v>4018308</v>
      </c>
      <c r="D137" s="44" t="s">
        <v>227</v>
      </c>
      <c r="E137" s="44" t="s">
        <v>229</v>
      </c>
      <c r="F137" s="45"/>
      <c r="G137" s="45"/>
      <c r="H137" s="45"/>
      <c r="I137" s="45"/>
      <c r="J137" s="46">
        <f>IF(VLOOKUP($C137,REV!$C:$AA,8,0)-'TRADE IN'!$F137=0,"",(VLOOKUP($C137,REV!$C:$AA,8,0)-'TRADE IN'!$F137))</f>
        <v>13299</v>
      </c>
      <c r="K137" s="46">
        <f>IF(VLOOKUP($C137,REV!$C:$AA,9,0)-'TRADE IN'!$F137=0,"",(VLOOKUP($C137,REV!$C:$AA,9,0)-'TRADE IN'!$F137))</f>
        <v>13299</v>
      </c>
      <c r="L137" s="46">
        <f>IF(VLOOKUP($C137,REV!$C:$AA,10,0)-'TRADE IN'!$F137=0,"",(VLOOKUP($C137,REV!$C:$AA,10,0)-'TRADE IN'!$F137))</f>
        <v>13299</v>
      </c>
      <c r="M137" s="46">
        <f>IF(VLOOKUP($C137,REV!$C:$AA,11,0)-'TRADE IN'!$F137=0,"",(VLOOKUP($C137,REV!$C:$AA,11,0)-'TRADE IN'!$F137))</f>
        <v>13299</v>
      </c>
      <c r="N137" s="46">
        <f>IF(VLOOKUP($C137,REV!$C:$AA,12,0)-'TRADE IN'!$F137=0,"",(VLOOKUP($C137,REV!$C:$AA,12,0)-'TRADE IN'!$F137))</f>
        <v>13299</v>
      </c>
      <c r="O137" s="46">
        <f>IF(VLOOKUP($C137,REV!$C:$AA,13,0)-'TRADE IN'!$F137=0,"",(VLOOKUP($C137,REV!$C:$AA,13,0)-'TRADE IN'!$F137))</f>
        <v>13199</v>
      </c>
      <c r="P137" s="46">
        <f>IF(VLOOKUP($C137,REV!$C:$AA,14,0)-'TRADE IN'!$F137=0,"",(VLOOKUP($C137,REV!$C:$AA,14,0)-'TRADE IN'!$F137))</f>
        <v>13099</v>
      </c>
      <c r="Q137" s="46">
        <f>IF(VLOOKUP($C137,REV!$C:$AA,15,0)-'TRADE IN'!$F137=0,"",(VLOOKUP($C137,REV!$C:$AA,15,0)-'TRADE IN'!$F137))</f>
        <v>12399</v>
      </c>
      <c r="R137" s="46">
        <f>IF(VLOOKUP($C137,REV!$C:$AA,16,0)-'TRADE IN'!$F137=0,"",(VLOOKUP($C137,REV!$C:$AA,16,0)-'TRADE IN'!$F137))</f>
        <v>13199</v>
      </c>
      <c r="S137" s="46">
        <f>IF(VLOOKUP($C137,REV!$C:$AA,17,0)-'TRADE IN'!$F137=0,"",(VLOOKUP($C137,REV!$C:$AA,17,0)-'TRADE IN'!$F137))</f>
        <v>13099</v>
      </c>
      <c r="T137" s="46">
        <f>IF(VLOOKUP($C137,REV!$C:$AA,18,0)-'TRADE IN'!$F137=0,"",(VLOOKUP($C137,REV!$C:$AA,18,0)-'TRADE IN'!$F137))</f>
        <v>12399</v>
      </c>
      <c r="U137" s="46">
        <f>IF(VLOOKUP($C137,REV!$C:$AA,19,0)-'TRADE IN'!$F137=0,"",(VLOOKUP($C137,REV!$C:$AA,19,0)-'TRADE IN'!$F137))</f>
        <v>12399</v>
      </c>
      <c r="V137" s="46">
        <f>IF(VLOOKUP($C137,REV!$C:$AA,20,0)-'TRADE IN'!$F137=0,"",(VLOOKUP($C137,REV!$C:$AA,20,0)-'TRADE IN'!$F137))</f>
        <v>12399</v>
      </c>
      <c r="W137" s="46">
        <f>IF(VLOOKUP($C137,REV!$C:$AA,21,0)-'TRADE IN'!$F137=0,"",(VLOOKUP($C137,REV!$C:$AA,21,0)-'TRADE IN'!$F137))</f>
        <v>12399</v>
      </c>
      <c r="X137" s="46">
        <f>IF(VLOOKUP($C137,REV!$C:$AA,22,0)-'TRADE IN'!$F137=0,"",(VLOOKUP($C137,REV!$C:$AA,22,0)-'TRADE IN'!$F137))</f>
        <v>12299</v>
      </c>
      <c r="Y137" s="46">
        <f>IF(VLOOKUP($C137,REV!$C:$AA,23,0)-'TRADE IN'!$F137=0,"",(VLOOKUP($C137,REV!$C:$AA,23,0)-'TRADE IN'!$F137))</f>
        <v>11699</v>
      </c>
      <c r="Z137" s="46">
        <f>IF(VLOOKUP($C137,REV!$C:$AA,24,0)-'TRADE IN'!$F137=0,"",(VLOOKUP($C137,REV!$C:$AA,24,0)-'TRADE IN'!$F137))</f>
        <v>11699</v>
      </c>
      <c r="AA137" s="46">
        <f>IF(VLOOKUP($C137,REV!$C:$AA,25,0)-'TRADE IN'!$F137=0,"",(VLOOKUP($C137,REV!$C:$AA,25,0)-'TRADE IN'!$F137))</f>
        <v>11499</v>
      </c>
      <c r="AB137" s="45">
        <f>IF(VLOOKUP($C137,REV!$C:$AL,27,0)-'TRADE IN'!$F137=0,"",(VLOOKUP($C137,REV!$C:$AL,27,0)-'TRADE IN'!$F137))</f>
        <v>13299</v>
      </c>
      <c r="AC137" s="45">
        <f>IF(VLOOKUP($C137,REV!$C:$AL,28,0)-'TRADE IN'!$F137=0,"",(VLOOKUP($C137,REV!$C:$AL,28,0)-'TRADE IN'!$F137))</f>
        <v>13299</v>
      </c>
      <c r="AD137" s="45">
        <f>IF(VLOOKUP($C137,REV!$C:$AL,29,0)-'TRADE IN'!$F137=0,"",(VLOOKUP($C137,REV!$C:$AL,29,0)-'TRADE IN'!$F137))</f>
        <v>13299</v>
      </c>
      <c r="AE137" s="45">
        <f>IF(VLOOKUP($C137,REV!$C:$AL,30,0)-'TRADE IN'!$F137=0,"",(VLOOKUP($C137,REV!$C:$AL,30,0)-'TRADE IN'!$F137))</f>
        <v>13199</v>
      </c>
      <c r="AF137" s="45">
        <f>IF(VLOOKUP($C137,REV!$C:$AL,31,0)-'TRADE IN'!$F137=0,"",(VLOOKUP($C137,REV!$C:$AL,31,0)-'TRADE IN'!$F137))</f>
        <v>13099</v>
      </c>
      <c r="AG137" s="45">
        <f>IF(VLOOKUP($C137,REV!$C:$AL,31,0)-'TRADE IN'!$F137=0,"",(VLOOKUP($C137,REV!$C:$AL,31,0)-'TRADE IN'!$F137))</f>
        <v>13099</v>
      </c>
      <c r="AH137" s="45">
        <f>IF(VLOOKUP($C137,REV!$C:$AL,32,0)-'TRADE IN'!$F137=0,"",(VLOOKUP($C137,REV!$C:$AL,32,0)-'TRADE IN'!$F137))</f>
        <v>12399</v>
      </c>
      <c r="AI137" s="45">
        <f>IF(VLOOKUP($C137,REV!$C:$AL,33,0)-'TRADE IN'!$F137=0,"",(VLOOKUP($C137,REV!$C:$AL,33,0)-'TRADE IN'!$F137))</f>
        <v>12399</v>
      </c>
      <c r="AJ137" s="45">
        <f>IF(VLOOKUP($C137,REV!$C:$AL,34,0)-'TRADE IN'!$F137=0,"",(VLOOKUP($C137,REV!$C:$AL,34,0)-'TRADE IN'!$F137))</f>
        <v>12399</v>
      </c>
      <c r="AK137" s="45">
        <f>IF(VLOOKUP($C137,REV!$C:$AL,35,0)-'TRADE IN'!$F137=0,"",(VLOOKUP($C137,REV!$C:$AL,35,0)-'TRADE IN'!$F137))</f>
        <v>12399</v>
      </c>
      <c r="AL137" s="45">
        <f>IF(VLOOKUP($C137,REV!$C:$AL,36,0)-'TRADE IN'!$F137=0,"",(VLOOKUP($C137,REV!$C:$AL,36,0)-'TRADE IN'!$F137))</f>
        <v>11699</v>
      </c>
      <c r="AM137" s="45"/>
      <c r="AN137" s="45"/>
      <c r="AO137" s="45"/>
      <c r="AP137" s="45"/>
      <c r="AQ137" s="45"/>
      <c r="AR137" s="45"/>
      <c r="AS137" s="45"/>
      <c r="AT137" s="45"/>
      <c r="AU137" s="45"/>
      <c r="AV137" s="47"/>
      <c r="AW137" s="48" t="str">
        <f>REV!AW137</f>
        <v>01.12.2026</v>
      </c>
      <c r="AX137" s="153" t="str">
        <f>VLOOKUP(C137,REV!C:AX,48,0)</f>
        <v>5G</v>
      </c>
    </row>
    <row r="138" spans="1:50" ht="22.5" customHeight="1">
      <c r="A138" s="41" t="s">
        <v>63</v>
      </c>
      <c r="B138" s="42" t="s">
        <v>64</v>
      </c>
      <c r="C138" s="43">
        <v>4018291</v>
      </c>
      <c r="D138" s="44" t="s">
        <v>227</v>
      </c>
      <c r="E138" s="44" t="s">
        <v>230</v>
      </c>
      <c r="F138" s="45"/>
      <c r="G138" s="45"/>
      <c r="H138" s="45"/>
      <c r="I138" s="45"/>
      <c r="J138" s="46">
        <f>IF(VLOOKUP($C138,REV!$C:$AA,8,0)-'TRADE IN'!$F138=0,"",(VLOOKUP($C138,REV!$C:$AA,8,0)-'TRADE IN'!$F138))</f>
        <v>13299</v>
      </c>
      <c r="K138" s="46">
        <f>IF(VLOOKUP($C138,REV!$C:$AA,9,0)-'TRADE IN'!$F138=0,"",(VLOOKUP($C138,REV!$C:$AA,9,0)-'TRADE IN'!$F138))</f>
        <v>13299</v>
      </c>
      <c r="L138" s="46">
        <f>IF(VLOOKUP($C138,REV!$C:$AA,10,0)-'TRADE IN'!$F138=0,"",(VLOOKUP($C138,REV!$C:$AA,10,0)-'TRADE IN'!$F138))</f>
        <v>13299</v>
      </c>
      <c r="M138" s="46">
        <f>IF(VLOOKUP($C138,REV!$C:$AA,11,0)-'TRADE IN'!$F138=0,"",(VLOOKUP($C138,REV!$C:$AA,11,0)-'TRADE IN'!$F138))</f>
        <v>13299</v>
      </c>
      <c r="N138" s="46">
        <f>IF(VLOOKUP($C138,REV!$C:$AA,12,0)-'TRADE IN'!$F138=0,"",(VLOOKUP($C138,REV!$C:$AA,12,0)-'TRADE IN'!$F138))</f>
        <v>13299</v>
      </c>
      <c r="O138" s="46">
        <f>IF(VLOOKUP($C138,REV!$C:$AA,13,0)-'TRADE IN'!$F138=0,"",(VLOOKUP($C138,REV!$C:$AA,13,0)-'TRADE IN'!$F138))</f>
        <v>13199</v>
      </c>
      <c r="P138" s="46">
        <f>IF(VLOOKUP($C138,REV!$C:$AA,14,0)-'TRADE IN'!$F138=0,"",(VLOOKUP($C138,REV!$C:$AA,14,0)-'TRADE IN'!$F138))</f>
        <v>13099</v>
      </c>
      <c r="Q138" s="46">
        <f>IF(VLOOKUP($C138,REV!$C:$AA,15,0)-'TRADE IN'!$F138=0,"",(VLOOKUP($C138,REV!$C:$AA,15,0)-'TRADE IN'!$F138))</f>
        <v>12399</v>
      </c>
      <c r="R138" s="46">
        <f>IF(VLOOKUP($C138,REV!$C:$AA,16,0)-'TRADE IN'!$F138=0,"",(VLOOKUP($C138,REV!$C:$AA,16,0)-'TRADE IN'!$F138))</f>
        <v>13199</v>
      </c>
      <c r="S138" s="46">
        <f>IF(VLOOKUP($C138,REV!$C:$AA,17,0)-'TRADE IN'!$F138=0,"",(VLOOKUP($C138,REV!$C:$AA,17,0)-'TRADE IN'!$F138))</f>
        <v>13099</v>
      </c>
      <c r="T138" s="46">
        <f>IF(VLOOKUP($C138,REV!$C:$AA,18,0)-'TRADE IN'!$F138=0,"",(VLOOKUP($C138,REV!$C:$AA,18,0)-'TRADE IN'!$F138))</f>
        <v>12399</v>
      </c>
      <c r="U138" s="46">
        <f>IF(VLOOKUP($C138,REV!$C:$AA,19,0)-'TRADE IN'!$F138=0,"",(VLOOKUP($C138,REV!$C:$AA,19,0)-'TRADE IN'!$F138))</f>
        <v>12399</v>
      </c>
      <c r="V138" s="46">
        <f>IF(VLOOKUP($C138,REV!$C:$AA,20,0)-'TRADE IN'!$F138=0,"",(VLOOKUP($C138,REV!$C:$AA,20,0)-'TRADE IN'!$F138))</f>
        <v>12399</v>
      </c>
      <c r="W138" s="46">
        <f>IF(VLOOKUP($C138,REV!$C:$AA,21,0)-'TRADE IN'!$F138=0,"",(VLOOKUP($C138,REV!$C:$AA,21,0)-'TRADE IN'!$F138))</f>
        <v>12399</v>
      </c>
      <c r="X138" s="46">
        <f>IF(VLOOKUP($C138,REV!$C:$AA,22,0)-'TRADE IN'!$F138=0,"",(VLOOKUP($C138,REV!$C:$AA,22,0)-'TRADE IN'!$F138))</f>
        <v>12299</v>
      </c>
      <c r="Y138" s="46">
        <f>IF(VLOOKUP($C138,REV!$C:$AA,23,0)-'TRADE IN'!$F138=0,"",(VLOOKUP($C138,REV!$C:$AA,23,0)-'TRADE IN'!$F138))</f>
        <v>11699</v>
      </c>
      <c r="Z138" s="46">
        <f>IF(VLOOKUP($C138,REV!$C:$AA,24,0)-'TRADE IN'!$F138=0,"",(VLOOKUP($C138,REV!$C:$AA,24,0)-'TRADE IN'!$F138))</f>
        <v>11699</v>
      </c>
      <c r="AA138" s="46">
        <f>IF(VLOOKUP($C138,REV!$C:$AA,25,0)-'TRADE IN'!$F138=0,"",(VLOOKUP($C138,REV!$C:$AA,25,0)-'TRADE IN'!$F138))</f>
        <v>11499</v>
      </c>
      <c r="AB138" s="45">
        <f>IF(VLOOKUP($C138,REV!$C:$AL,27,0)-'TRADE IN'!$F138=0,"",(VLOOKUP($C138,REV!$C:$AL,27,0)-'TRADE IN'!$F138))</f>
        <v>13299</v>
      </c>
      <c r="AC138" s="45">
        <f>IF(VLOOKUP($C138,REV!$C:$AL,28,0)-'TRADE IN'!$F138=0,"",(VLOOKUP($C138,REV!$C:$AL,28,0)-'TRADE IN'!$F138))</f>
        <v>13299</v>
      </c>
      <c r="AD138" s="45">
        <f>IF(VLOOKUP($C138,REV!$C:$AL,29,0)-'TRADE IN'!$F138=0,"",(VLOOKUP($C138,REV!$C:$AL,29,0)-'TRADE IN'!$F138))</f>
        <v>13299</v>
      </c>
      <c r="AE138" s="45">
        <f>IF(VLOOKUP($C138,REV!$C:$AL,30,0)-'TRADE IN'!$F138=0,"",(VLOOKUP($C138,REV!$C:$AL,30,0)-'TRADE IN'!$F138))</f>
        <v>13199</v>
      </c>
      <c r="AF138" s="45">
        <f>IF(VLOOKUP($C138,REV!$C:$AL,31,0)-'TRADE IN'!$F138=0,"",(VLOOKUP($C138,REV!$C:$AL,31,0)-'TRADE IN'!$F138))</f>
        <v>13099</v>
      </c>
      <c r="AG138" s="45">
        <f>IF(VLOOKUP($C138,REV!$C:$AL,31,0)-'TRADE IN'!$F138=0,"",(VLOOKUP($C138,REV!$C:$AL,31,0)-'TRADE IN'!$F138))</f>
        <v>13099</v>
      </c>
      <c r="AH138" s="45">
        <f>IF(VLOOKUP($C138,REV!$C:$AL,32,0)-'TRADE IN'!$F138=0,"",(VLOOKUP($C138,REV!$C:$AL,32,0)-'TRADE IN'!$F138))</f>
        <v>12399</v>
      </c>
      <c r="AI138" s="45">
        <f>IF(VLOOKUP($C138,REV!$C:$AL,33,0)-'TRADE IN'!$F138=0,"",(VLOOKUP($C138,REV!$C:$AL,33,0)-'TRADE IN'!$F138))</f>
        <v>12399</v>
      </c>
      <c r="AJ138" s="45">
        <f>IF(VLOOKUP($C138,REV!$C:$AL,34,0)-'TRADE IN'!$F138=0,"",(VLOOKUP($C138,REV!$C:$AL,34,0)-'TRADE IN'!$F138))</f>
        <v>12399</v>
      </c>
      <c r="AK138" s="45">
        <f>IF(VLOOKUP($C138,REV!$C:$AL,35,0)-'TRADE IN'!$F138=0,"",(VLOOKUP($C138,REV!$C:$AL,35,0)-'TRADE IN'!$F138))</f>
        <v>12399</v>
      </c>
      <c r="AL138" s="45">
        <f>IF(VLOOKUP($C138,REV!$C:$AL,36,0)-'TRADE IN'!$F138=0,"",(VLOOKUP($C138,REV!$C:$AL,36,0)-'TRADE IN'!$F138))</f>
        <v>11699</v>
      </c>
      <c r="AM138" s="45"/>
      <c r="AN138" s="45"/>
      <c r="AO138" s="45"/>
      <c r="AP138" s="45"/>
      <c r="AQ138" s="45"/>
      <c r="AR138" s="45"/>
      <c r="AS138" s="45"/>
      <c r="AT138" s="45"/>
      <c r="AU138" s="45"/>
      <c r="AV138" s="47"/>
      <c r="AW138" s="48" t="str">
        <f>REV!AW138</f>
        <v>01.12.2026</v>
      </c>
      <c r="AX138" s="153" t="str">
        <f>VLOOKUP(C138,REV!C:AX,48,0)</f>
        <v>5G</v>
      </c>
    </row>
    <row r="139" spans="1:50" ht="22.5" customHeight="1">
      <c r="A139" s="41" t="s">
        <v>63</v>
      </c>
      <c r="B139" s="42" t="s">
        <v>64</v>
      </c>
      <c r="C139" s="43">
        <v>4018309</v>
      </c>
      <c r="D139" s="44" t="s">
        <v>227</v>
      </c>
      <c r="E139" s="44" t="s">
        <v>231</v>
      </c>
      <c r="F139" s="45"/>
      <c r="G139" s="45"/>
      <c r="H139" s="45"/>
      <c r="I139" s="45"/>
      <c r="J139" s="46">
        <f>IF(VLOOKUP($C139,REV!$C:$AA,8,0)-'TRADE IN'!$F139=0,"",(VLOOKUP($C139,REV!$C:$AA,8,0)-'TRADE IN'!$F139))</f>
        <v>13299</v>
      </c>
      <c r="K139" s="46">
        <f>IF(VLOOKUP($C139,REV!$C:$AA,9,0)-'TRADE IN'!$F139=0,"",(VLOOKUP($C139,REV!$C:$AA,9,0)-'TRADE IN'!$F139))</f>
        <v>13299</v>
      </c>
      <c r="L139" s="46">
        <f>IF(VLOOKUP($C139,REV!$C:$AA,10,0)-'TRADE IN'!$F139=0,"",(VLOOKUP($C139,REV!$C:$AA,10,0)-'TRADE IN'!$F139))</f>
        <v>13299</v>
      </c>
      <c r="M139" s="46">
        <f>IF(VLOOKUP($C139,REV!$C:$AA,11,0)-'TRADE IN'!$F139=0,"",(VLOOKUP($C139,REV!$C:$AA,11,0)-'TRADE IN'!$F139))</f>
        <v>13299</v>
      </c>
      <c r="N139" s="46">
        <f>IF(VLOOKUP($C139,REV!$C:$AA,12,0)-'TRADE IN'!$F139=0,"",(VLOOKUP($C139,REV!$C:$AA,12,0)-'TRADE IN'!$F139))</f>
        <v>13299</v>
      </c>
      <c r="O139" s="46">
        <f>IF(VLOOKUP($C139,REV!$C:$AA,13,0)-'TRADE IN'!$F139=0,"",(VLOOKUP($C139,REV!$C:$AA,13,0)-'TRADE IN'!$F139))</f>
        <v>13199</v>
      </c>
      <c r="P139" s="46">
        <f>IF(VLOOKUP($C139,REV!$C:$AA,14,0)-'TRADE IN'!$F139=0,"",(VLOOKUP($C139,REV!$C:$AA,14,0)-'TRADE IN'!$F139))</f>
        <v>13099</v>
      </c>
      <c r="Q139" s="46">
        <f>IF(VLOOKUP($C139,REV!$C:$AA,15,0)-'TRADE IN'!$F139=0,"",(VLOOKUP($C139,REV!$C:$AA,15,0)-'TRADE IN'!$F139))</f>
        <v>12399</v>
      </c>
      <c r="R139" s="46">
        <f>IF(VLOOKUP($C139,REV!$C:$AA,16,0)-'TRADE IN'!$F139=0,"",(VLOOKUP($C139,REV!$C:$AA,16,0)-'TRADE IN'!$F139))</f>
        <v>13199</v>
      </c>
      <c r="S139" s="46">
        <f>IF(VLOOKUP($C139,REV!$C:$AA,17,0)-'TRADE IN'!$F139=0,"",(VLOOKUP($C139,REV!$C:$AA,17,0)-'TRADE IN'!$F139))</f>
        <v>13099</v>
      </c>
      <c r="T139" s="46">
        <f>IF(VLOOKUP($C139,REV!$C:$AA,18,0)-'TRADE IN'!$F139=0,"",(VLOOKUP($C139,REV!$C:$AA,18,0)-'TRADE IN'!$F139))</f>
        <v>12399</v>
      </c>
      <c r="U139" s="46">
        <f>IF(VLOOKUP($C139,REV!$C:$AA,19,0)-'TRADE IN'!$F139=0,"",(VLOOKUP($C139,REV!$C:$AA,19,0)-'TRADE IN'!$F139))</f>
        <v>12399</v>
      </c>
      <c r="V139" s="46">
        <f>IF(VLOOKUP($C139,REV!$C:$AA,20,0)-'TRADE IN'!$F139=0,"",(VLOOKUP($C139,REV!$C:$AA,20,0)-'TRADE IN'!$F139))</f>
        <v>12399</v>
      </c>
      <c r="W139" s="46">
        <f>IF(VLOOKUP($C139,REV!$C:$AA,21,0)-'TRADE IN'!$F139=0,"",(VLOOKUP($C139,REV!$C:$AA,21,0)-'TRADE IN'!$F139))</f>
        <v>12399</v>
      </c>
      <c r="X139" s="46">
        <f>IF(VLOOKUP($C139,REV!$C:$AA,22,0)-'TRADE IN'!$F139=0,"",(VLOOKUP($C139,REV!$C:$AA,22,0)-'TRADE IN'!$F139))</f>
        <v>12299</v>
      </c>
      <c r="Y139" s="46">
        <f>IF(VLOOKUP($C139,REV!$C:$AA,23,0)-'TRADE IN'!$F139=0,"",(VLOOKUP($C139,REV!$C:$AA,23,0)-'TRADE IN'!$F139))</f>
        <v>11699</v>
      </c>
      <c r="Z139" s="46">
        <f>IF(VLOOKUP($C139,REV!$C:$AA,24,0)-'TRADE IN'!$F139=0,"",(VLOOKUP($C139,REV!$C:$AA,24,0)-'TRADE IN'!$F139))</f>
        <v>11699</v>
      </c>
      <c r="AA139" s="46">
        <f>IF(VLOOKUP($C139,REV!$C:$AA,25,0)-'TRADE IN'!$F139=0,"",(VLOOKUP($C139,REV!$C:$AA,25,0)-'TRADE IN'!$F139))</f>
        <v>11499</v>
      </c>
      <c r="AB139" s="45">
        <f>IF(VLOOKUP($C139,REV!$C:$AL,27,0)-'TRADE IN'!$F139=0,"",(VLOOKUP($C139,REV!$C:$AL,27,0)-'TRADE IN'!$F139))</f>
        <v>13299</v>
      </c>
      <c r="AC139" s="45">
        <f>IF(VLOOKUP($C139,REV!$C:$AL,28,0)-'TRADE IN'!$F139=0,"",(VLOOKUP($C139,REV!$C:$AL,28,0)-'TRADE IN'!$F139))</f>
        <v>13299</v>
      </c>
      <c r="AD139" s="45">
        <f>IF(VLOOKUP($C139,REV!$C:$AL,29,0)-'TRADE IN'!$F139=0,"",(VLOOKUP($C139,REV!$C:$AL,29,0)-'TRADE IN'!$F139))</f>
        <v>13299</v>
      </c>
      <c r="AE139" s="45">
        <f>IF(VLOOKUP($C139,REV!$C:$AL,30,0)-'TRADE IN'!$F139=0,"",(VLOOKUP($C139,REV!$C:$AL,30,0)-'TRADE IN'!$F139))</f>
        <v>13199</v>
      </c>
      <c r="AF139" s="45">
        <f>IF(VLOOKUP($C139,REV!$C:$AL,31,0)-'TRADE IN'!$F139=0,"",(VLOOKUP($C139,REV!$C:$AL,31,0)-'TRADE IN'!$F139))</f>
        <v>13099</v>
      </c>
      <c r="AG139" s="45">
        <f>IF(VLOOKUP($C139,REV!$C:$AL,31,0)-'TRADE IN'!$F139=0,"",(VLOOKUP($C139,REV!$C:$AL,31,0)-'TRADE IN'!$F139))</f>
        <v>13099</v>
      </c>
      <c r="AH139" s="45">
        <f>IF(VLOOKUP($C139,REV!$C:$AL,32,0)-'TRADE IN'!$F139=0,"",(VLOOKUP($C139,REV!$C:$AL,32,0)-'TRADE IN'!$F139))</f>
        <v>12399</v>
      </c>
      <c r="AI139" s="45">
        <f>IF(VLOOKUP($C139,REV!$C:$AL,33,0)-'TRADE IN'!$F139=0,"",(VLOOKUP($C139,REV!$C:$AL,33,0)-'TRADE IN'!$F139))</f>
        <v>12399</v>
      </c>
      <c r="AJ139" s="45">
        <f>IF(VLOOKUP($C139,REV!$C:$AL,34,0)-'TRADE IN'!$F139=0,"",(VLOOKUP($C139,REV!$C:$AL,34,0)-'TRADE IN'!$F139))</f>
        <v>12399</v>
      </c>
      <c r="AK139" s="45">
        <f>IF(VLOOKUP($C139,REV!$C:$AL,35,0)-'TRADE IN'!$F139=0,"",(VLOOKUP($C139,REV!$C:$AL,35,0)-'TRADE IN'!$F139))</f>
        <v>12399</v>
      </c>
      <c r="AL139" s="45">
        <f>IF(VLOOKUP($C139,REV!$C:$AL,36,0)-'TRADE IN'!$F139=0,"",(VLOOKUP($C139,REV!$C:$AL,36,0)-'TRADE IN'!$F139))</f>
        <v>11699</v>
      </c>
      <c r="AM139" s="45"/>
      <c r="AN139" s="45"/>
      <c r="AO139" s="45"/>
      <c r="AP139" s="45"/>
      <c r="AQ139" s="45"/>
      <c r="AR139" s="45"/>
      <c r="AS139" s="45"/>
      <c r="AT139" s="45"/>
      <c r="AU139" s="45"/>
      <c r="AV139" s="47"/>
      <c r="AW139" s="48" t="str">
        <f>REV!AW139</f>
        <v>01.12.2026</v>
      </c>
      <c r="AX139" s="153" t="str">
        <f>VLOOKUP(C139,REV!C:AX,48,0)</f>
        <v>5G</v>
      </c>
    </row>
    <row r="140" spans="1:50" ht="22.5" customHeight="1">
      <c r="A140" s="41" t="s">
        <v>63</v>
      </c>
      <c r="B140" s="42" t="s">
        <v>64</v>
      </c>
      <c r="C140" s="43">
        <v>4018345</v>
      </c>
      <c r="D140" s="44" t="s">
        <v>232</v>
      </c>
      <c r="E140" s="44" t="s">
        <v>233</v>
      </c>
      <c r="F140" s="45"/>
      <c r="G140" s="45"/>
      <c r="H140" s="45"/>
      <c r="I140" s="45"/>
      <c r="J140" s="46">
        <f>IF(VLOOKUP($C140,REV!$C:$AA,8,0)-'TRADE IN'!$F140=0,"",(VLOOKUP($C140,REV!$C:$AA,8,0)-'TRADE IN'!$F140))</f>
        <v>19499</v>
      </c>
      <c r="K140" s="46">
        <f>IF(VLOOKUP($C140,REV!$C:$AA,9,0)-'TRADE IN'!$F140=0,"",(VLOOKUP($C140,REV!$C:$AA,9,0)-'TRADE IN'!$F140))</f>
        <v>19499</v>
      </c>
      <c r="L140" s="46">
        <f>IF(VLOOKUP($C140,REV!$C:$AA,10,0)-'TRADE IN'!$F140=0,"",(VLOOKUP($C140,REV!$C:$AA,10,0)-'TRADE IN'!$F140))</f>
        <v>19499</v>
      </c>
      <c r="M140" s="46">
        <f>IF(VLOOKUP($C140,REV!$C:$AA,11,0)-'TRADE IN'!$F140=0,"",(VLOOKUP($C140,REV!$C:$AA,11,0)-'TRADE IN'!$F140))</f>
        <v>19499</v>
      </c>
      <c r="N140" s="46">
        <f>IF(VLOOKUP($C140,REV!$C:$AA,12,0)-'TRADE IN'!$F140=0,"",(VLOOKUP($C140,REV!$C:$AA,12,0)-'TRADE IN'!$F140))</f>
        <v>19499</v>
      </c>
      <c r="O140" s="46">
        <f>IF(VLOOKUP($C140,REV!$C:$AA,13,0)-'TRADE IN'!$F140=0,"",(VLOOKUP($C140,REV!$C:$AA,13,0)-'TRADE IN'!$F140))</f>
        <v>19399</v>
      </c>
      <c r="P140" s="46">
        <f>IF(VLOOKUP($C140,REV!$C:$AA,14,0)-'TRADE IN'!$F140=0,"",(VLOOKUP($C140,REV!$C:$AA,14,0)-'TRADE IN'!$F140))</f>
        <v>19299</v>
      </c>
      <c r="Q140" s="46">
        <f>IF(VLOOKUP($C140,REV!$C:$AA,15,0)-'TRADE IN'!$F140=0,"",(VLOOKUP($C140,REV!$C:$AA,15,0)-'TRADE IN'!$F140))</f>
        <v>18599</v>
      </c>
      <c r="R140" s="46">
        <f>IF(VLOOKUP($C140,REV!$C:$AA,16,0)-'TRADE IN'!$F140=0,"",(VLOOKUP($C140,REV!$C:$AA,16,0)-'TRADE IN'!$F140))</f>
        <v>19399</v>
      </c>
      <c r="S140" s="46">
        <f>IF(VLOOKUP($C140,REV!$C:$AA,17,0)-'TRADE IN'!$F140=0,"",(VLOOKUP($C140,REV!$C:$AA,17,0)-'TRADE IN'!$F140))</f>
        <v>19299</v>
      </c>
      <c r="T140" s="46">
        <f>IF(VLOOKUP($C140,REV!$C:$AA,18,0)-'TRADE IN'!$F140=0,"",(VLOOKUP($C140,REV!$C:$AA,18,0)-'TRADE IN'!$F140))</f>
        <v>18599</v>
      </c>
      <c r="U140" s="46">
        <f>IF(VLOOKUP($C140,REV!$C:$AA,19,0)-'TRADE IN'!$F140=0,"",(VLOOKUP($C140,REV!$C:$AA,19,0)-'TRADE IN'!$F140))</f>
        <v>18599</v>
      </c>
      <c r="V140" s="46">
        <f>IF(VLOOKUP($C140,REV!$C:$AA,20,0)-'TRADE IN'!$F140=0,"",(VLOOKUP($C140,REV!$C:$AA,20,0)-'TRADE IN'!$F140))</f>
        <v>18599</v>
      </c>
      <c r="W140" s="46">
        <f>IF(VLOOKUP($C140,REV!$C:$AA,21,0)-'TRADE IN'!$F140=0,"",(VLOOKUP($C140,REV!$C:$AA,21,0)-'TRADE IN'!$F140))</f>
        <v>18599</v>
      </c>
      <c r="X140" s="46">
        <f>IF(VLOOKUP($C140,REV!$C:$AA,22,0)-'TRADE IN'!$F140=0,"",(VLOOKUP($C140,REV!$C:$AA,22,0)-'TRADE IN'!$F140))</f>
        <v>18499</v>
      </c>
      <c r="Y140" s="46">
        <f>IF(VLOOKUP($C140,REV!$C:$AA,23,0)-'TRADE IN'!$F140=0,"",(VLOOKUP($C140,REV!$C:$AA,23,0)-'TRADE IN'!$F140))</f>
        <v>17999</v>
      </c>
      <c r="Z140" s="46">
        <f>IF(VLOOKUP($C140,REV!$C:$AA,24,0)-'TRADE IN'!$F140=0,"",(VLOOKUP($C140,REV!$C:$AA,24,0)-'TRADE IN'!$F140))</f>
        <v>17999</v>
      </c>
      <c r="AA140" s="46">
        <f>IF(VLOOKUP($C140,REV!$C:$AA,25,0)-'TRADE IN'!$F140=0,"",(VLOOKUP($C140,REV!$C:$AA,25,0)-'TRADE IN'!$F140))</f>
        <v>17999</v>
      </c>
      <c r="AB140" s="45">
        <f>IF(VLOOKUP($C140,REV!$C:$AL,27,0)-'TRADE IN'!$F140=0,"",(VLOOKUP($C140,REV!$C:$AL,27,0)-'TRADE IN'!$F140))</f>
        <v>19499</v>
      </c>
      <c r="AC140" s="45">
        <f>IF(VLOOKUP($C140,REV!$C:$AL,28,0)-'TRADE IN'!$F140=0,"",(VLOOKUP($C140,REV!$C:$AL,28,0)-'TRADE IN'!$F140))</f>
        <v>19499</v>
      </c>
      <c r="AD140" s="45">
        <f>IF(VLOOKUP($C140,REV!$C:$AL,29,0)-'TRADE IN'!$F140=0,"",(VLOOKUP($C140,REV!$C:$AL,29,0)-'TRADE IN'!$F140))</f>
        <v>19499</v>
      </c>
      <c r="AE140" s="45">
        <f>IF(VLOOKUP($C140,REV!$C:$AL,30,0)-'TRADE IN'!$F140=0,"",(VLOOKUP($C140,REV!$C:$AL,30,0)-'TRADE IN'!$F140))</f>
        <v>19399</v>
      </c>
      <c r="AF140" s="45">
        <f>IF(VLOOKUP($C140,REV!$C:$AL,31,0)-'TRADE IN'!$F140=0,"",(VLOOKUP($C140,REV!$C:$AL,31,0)-'TRADE IN'!$F140))</f>
        <v>19299</v>
      </c>
      <c r="AG140" s="45">
        <f>IF(VLOOKUP($C140,REV!$C:$AL,31,0)-'TRADE IN'!$F140=0,"",(VLOOKUP($C140,REV!$C:$AL,31,0)-'TRADE IN'!$F140))</f>
        <v>19299</v>
      </c>
      <c r="AH140" s="45">
        <f>IF(VLOOKUP($C140,REV!$C:$AL,32,0)-'TRADE IN'!$F140=0,"",(VLOOKUP($C140,REV!$C:$AL,32,0)-'TRADE IN'!$F140))</f>
        <v>18599</v>
      </c>
      <c r="AI140" s="45">
        <f>IF(VLOOKUP($C140,REV!$C:$AL,33,0)-'TRADE IN'!$F140=0,"",(VLOOKUP($C140,REV!$C:$AL,33,0)-'TRADE IN'!$F140))</f>
        <v>18599</v>
      </c>
      <c r="AJ140" s="45">
        <f>IF(VLOOKUP($C140,REV!$C:$AL,34,0)-'TRADE IN'!$F140=0,"",(VLOOKUP($C140,REV!$C:$AL,34,0)-'TRADE IN'!$F140))</f>
        <v>18599</v>
      </c>
      <c r="AK140" s="45">
        <f>IF(VLOOKUP($C140,REV!$C:$AL,35,0)-'TRADE IN'!$F140=0,"",(VLOOKUP($C140,REV!$C:$AL,35,0)-'TRADE IN'!$F140))</f>
        <v>18599</v>
      </c>
      <c r="AL140" s="45">
        <f>IF(VLOOKUP($C140,REV!$C:$AL,36,0)-'TRADE IN'!$F140=0,"",(VLOOKUP($C140,REV!$C:$AL,36,0)-'TRADE IN'!$F140))</f>
        <v>17999</v>
      </c>
      <c r="AM140" s="45"/>
      <c r="AN140" s="45"/>
      <c r="AO140" s="45"/>
      <c r="AP140" s="45"/>
      <c r="AQ140" s="45"/>
      <c r="AR140" s="45"/>
      <c r="AS140" s="45"/>
      <c r="AT140" s="45"/>
      <c r="AU140" s="45"/>
      <c r="AV140" s="47"/>
      <c r="AW140" s="48" t="str">
        <f>REV!AW140</f>
        <v>01.12.2026</v>
      </c>
      <c r="AX140" s="153" t="str">
        <f>VLOOKUP(C140,REV!C:AX,48,0)</f>
        <v>5G</v>
      </c>
    </row>
    <row r="141" spans="1:50" ht="22.5" customHeight="1">
      <c r="A141" s="41" t="s">
        <v>63</v>
      </c>
      <c r="B141" s="42" t="s">
        <v>64</v>
      </c>
      <c r="C141" s="43">
        <v>4018348</v>
      </c>
      <c r="D141" s="44" t="s">
        <v>232</v>
      </c>
      <c r="E141" s="44" t="s">
        <v>234</v>
      </c>
      <c r="F141" s="45"/>
      <c r="G141" s="45"/>
      <c r="H141" s="45"/>
      <c r="I141" s="45"/>
      <c r="J141" s="46">
        <f>IF(VLOOKUP($C141,REV!$C:$AA,8,0)-'TRADE IN'!$F141=0,"",(VLOOKUP($C141,REV!$C:$AA,8,0)-'TRADE IN'!$F141))</f>
        <v>19499</v>
      </c>
      <c r="K141" s="46">
        <f>IF(VLOOKUP($C141,REV!$C:$AA,9,0)-'TRADE IN'!$F141=0,"",(VLOOKUP($C141,REV!$C:$AA,9,0)-'TRADE IN'!$F141))</f>
        <v>19499</v>
      </c>
      <c r="L141" s="46">
        <f>IF(VLOOKUP($C141,REV!$C:$AA,10,0)-'TRADE IN'!$F141=0,"",(VLOOKUP($C141,REV!$C:$AA,10,0)-'TRADE IN'!$F141))</f>
        <v>19499</v>
      </c>
      <c r="M141" s="46">
        <f>IF(VLOOKUP($C141,REV!$C:$AA,11,0)-'TRADE IN'!$F141=0,"",(VLOOKUP($C141,REV!$C:$AA,11,0)-'TRADE IN'!$F141))</f>
        <v>19499</v>
      </c>
      <c r="N141" s="46">
        <f>IF(VLOOKUP($C141,REV!$C:$AA,12,0)-'TRADE IN'!$F141=0,"",(VLOOKUP($C141,REV!$C:$AA,12,0)-'TRADE IN'!$F141))</f>
        <v>19499</v>
      </c>
      <c r="O141" s="46">
        <f>IF(VLOOKUP($C141,REV!$C:$AA,13,0)-'TRADE IN'!$F141=0,"",(VLOOKUP($C141,REV!$C:$AA,13,0)-'TRADE IN'!$F141))</f>
        <v>19399</v>
      </c>
      <c r="P141" s="46">
        <f>IF(VLOOKUP($C141,REV!$C:$AA,14,0)-'TRADE IN'!$F141=0,"",(VLOOKUP($C141,REV!$C:$AA,14,0)-'TRADE IN'!$F141))</f>
        <v>19299</v>
      </c>
      <c r="Q141" s="46">
        <f>IF(VLOOKUP($C141,REV!$C:$AA,15,0)-'TRADE IN'!$F141=0,"",(VLOOKUP($C141,REV!$C:$AA,15,0)-'TRADE IN'!$F141))</f>
        <v>18599</v>
      </c>
      <c r="R141" s="46">
        <f>IF(VLOOKUP($C141,REV!$C:$AA,16,0)-'TRADE IN'!$F141=0,"",(VLOOKUP($C141,REV!$C:$AA,16,0)-'TRADE IN'!$F141))</f>
        <v>19399</v>
      </c>
      <c r="S141" s="46">
        <f>IF(VLOOKUP($C141,REV!$C:$AA,17,0)-'TRADE IN'!$F141=0,"",(VLOOKUP($C141,REV!$C:$AA,17,0)-'TRADE IN'!$F141))</f>
        <v>19299</v>
      </c>
      <c r="T141" s="46">
        <f>IF(VLOOKUP($C141,REV!$C:$AA,18,0)-'TRADE IN'!$F141=0,"",(VLOOKUP($C141,REV!$C:$AA,18,0)-'TRADE IN'!$F141))</f>
        <v>18599</v>
      </c>
      <c r="U141" s="46">
        <f>IF(VLOOKUP($C141,REV!$C:$AA,19,0)-'TRADE IN'!$F141=0,"",(VLOOKUP($C141,REV!$C:$AA,19,0)-'TRADE IN'!$F141))</f>
        <v>18599</v>
      </c>
      <c r="V141" s="46">
        <f>IF(VLOOKUP($C141,REV!$C:$AA,20,0)-'TRADE IN'!$F141=0,"",(VLOOKUP($C141,REV!$C:$AA,20,0)-'TRADE IN'!$F141))</f>
        <v>18599</v>
      </c>
      <c r="W141" s="46">
        <f>IF(VLOOKUP($C141,REV!$C:$AA,21,0)-'TRADE IN'!$F141=0,"",(VLOOKUP($C141,REV!$C:$AA,21,0)-'TRADE IN'!$F141))</f>
        <v>18599</v>
      </c>
      <c r="X141" s="46">
        <f>IF(VLOOKUP($C141,REV!$C:$AA,22,0)-'TRADE IN'!$F141=0,"",(VLOOKUP($C141,REV!$C:$AA,22,0)-'TRADE IN'!$F141))</f>
        <v>18499</v>
      </c>
      <c r="Y141" s="46">
        <f>IF(VLOOKUP($C141,REV!$C:$AA,23,0)-'TRADE IN'!$F141=0,"",(VLOOKUP($C141,REV!$C:$AA,23,0)-'TRADE IN'!$F141))</f>
        <v>17999</v>
      </c>
      <c r="Z141" s="46">
        <f>IF(VLOOKUP($C141,REV!$C:$AA,24,0)-'TRADE IN'!$F141=0,"",(VLOOKUP($C141,REV!$C:$AA,24,0)-'TRADE IN'!$F141))</f>
        <v>17999</v>
      </c>
      <c r="AA141" s="46">
        <f>IF(VLOOKUP($C141,REV!$C:$AA,25,0)-'TRADE IN'!$F141=0,"",(VLOOKUP($C141,REV!$C:$AA,25,0)-'TRADE IN'!$F141))</f>
        <v>17999</v>
      </c>
      <c r="AB141" s="45">
        <f>IF(VLOOKUP($C141,REV!$C:$AL,27,0)-'TRADE IN'!$F141=0,"",(VLOOKUP($C141,REV!$C:$AL,27,0)-'TRADE IN'!$F141))</f>
        <v>19499</v>
      </c>
      <c r="AC141" s="45">
        <f>IF(VLOOKUP($C141,REV!$C:$AL,28,0)-'TRADE IN'!$F141=0,"",(VLOOKUP($C141,REV!$C:$AL,28,0)-'TRADE IN'!$F141))</f>
        <v>19499</v>
      </c>
      <c r="AD141" s="45">
        <f>IF(VLOOKUP($C141,REV!$C:$AL,29,0)-'TRADE IN'!$F141=0,"",(VLOOKUP($C141,REV!$C:$AL,29,0)-'TRADE IN'!$F141))</f>
        <v>19499</v>
      </c>
      <c r="AE141" s="45">
        <f>IF(VLOOKUP($C141,REV!$C:$AL,30,0)-'TRADE IN'!$F141=0,"",(VLOOKUP($C141,REV!$C:$AL,30,0)-'TRADE IN'!$F141))</f>
        <v>19399</v>
      </c>
      <c r="AF141" s="45">
        <f>IF(VLOOKUP($C141,REV!$C:$AL,31,0)-'TRADE IN'!$F141=0,"",(VLOOKUP($C141,REV!$C:$AL,31,0)-'TRADE IN'!$F141))</f>
        <v>19299</v>
      </c>
      <c r="AG141" s="45">
        <f>IF(VLOOKUP($C141,REV!$C:$AL,31,0)-'TRADE IN'!$F141=0,"",(VLOOKUP($C141,REV!$C:$AL,31,0)-'TRADE IN'!$F141))</f>
        <v>19299</v>
      </c>
      <c r="AH141" s="45">
        <f>IF(VLOOKUP($C141,REV!$C:$AL,32,0)-'TRADE IN'!$F141=0,"",(VLOOKUP($C141,REV!$C:$AL,32,0)-'TRADE IN'!$F141))</f>
        <v>18599</v>
      </c>
      <c r="AI141" s="45">
        <f>IF(VLOOKUP($C141,REV!$C:$AL,33,0)-'TRADE IN'!$F141=0,"",(VLOOKUP($C141,REV!$C:$AL,33,0)-'TRADE IN'!$F141))</f>
        <v>18599</v>
      </c>
      <c r="AJ141" s="45">
        <f>IF(VLOOKUP($C141,REV!$C:$AL,34,0)-'TRADE IN'!$F141=0,"",(VLOOKUP($C141,REV!$C:$AL,34,0)-'TRADE IN'!$F141))</f>
        <v>18599</v>
      </c>
      <c r="AK141" s="45">
        <f>IF(VLOOKUP($C141,REV!$C:$AL,35,0)-'TRADE IN'!$F141=0,"",(VLOOKUP($C141,REV!$C:$AL,35,0)-'TRADE IN'!$F141))</f>
        <v>18599</v>
      </c>
      <c r="AL141" s="45">
        <f>IF(VLOOKUP($C141,REV!$C:$AL,36,0)-'TRADE IN'!$F141=0,"",(VLOOKUP($C141,REV!$C:$AL,36,0)-'TRADE IN'!$F141))</f>
        <v>17999</v>
      </c>
      <c r="AM141" s="45"/>
      <c r="AN141" s="45"/>
      <c r="AO141" s="45"/>
      <c r="AP141" s="45"/>
      <c r="AQ141" s="45"/>
      <c r="AR141" s="45"/>
      <c r="AS141" s="45"/>
      <c r="AT141" s="45"/>
      <c r="AU141" s="45"/>
      <c r="AV141" s="47"/>
      <c r="AW141" s="48" t="str">
        <f>REV!AW141</f>
        <v>01.12.2026</v>
      </c>
      <c r="AX141" s="153" t="str">
        <f>VLOOKUP(C141,REV!C:AX,48,0)</f>
        <v>5G</v>
      </c>
    </row>
    <row r="142" spans="1:50" ht="22.5" customHeight="1">
      <c r="A142" s="41" t="s">
        <v>63</v>
      </c>
      <c r="B142" s="42" t="s">
        <v>64</v>
      </c>
      <c r="C142" s="43">
        <v>4018361</v>
      </c>
      <c r="D142" s="44" t="s">
        <v>235</v>
      </c>
      <c r="E142" s="44" t="s">
        <v>236</v>
      </c>
      <c r="F142" s="45"/>
      <c r="G142" s="45"/>
      <c r="H142" s="45"/>
      <c r="I142" s="45"/>
      <c r="J142" s="46">
        <f>IF(VLOOKUP($C142,REV!$C:$AA,8,0)-'TRADE IN'!$F142=0,"",(VLOOKUP($C142,REV!$C:$AA,8,0)-'TRADE IN'!$F142))</f>
        <v>20799</v>
      </c>
      <c r="K142" s="46">
        <f>IF(VLOOKUP($C142,REV!$C:$AA,9,0)-'TRADE IN'!$F142=0,"",(VLOOKUP($C142,REV!$C:$AA,9,0)-'TRADE IN'!$F142))</f>
        <v>20799</v>
      </c>
      <c r="L142" s="46">
        <f>IF(VLOOKUP($C142,REV!$C:$AA,10,0)-'TRADE IN'!$F142=0,"",(VLOOKUP($C142,REV!$C:$AA,10,0)-'TRADE IN'!$F142))</f>
        <v>20799</v>
      </c>
      <c r="M142" s="46">
        <f>IF(VLOOKUP($C142,REV!$C:$AA,11,0)-'TRADE IN'!$F142=0,"",(VLOOKUP($C142,REV!$C:$AA,11,0)-'TRADE IN'!$F142))</f>
        <v>20799</v>
      </c>
      <c r="N142" s="46">
        <f>IF(VLOOKUP($C142,REV!$C:$AA,12,0)-'TRADE IN'!$F142=0,"",(VLOOKUP($C142,REV!$C:$AA,12,0)-'TRADE IN'!$F142))</f>
        <v>20799</v>
      </c>
      <c r="O142" s="46">
        <f>IF(VLOOKUP($C142,REV!$C:$AA,13,0)-'TRADE IN'!$F142=0,"",(VLOOKUP($C142,REV!$C:$AA,13,0)-'TRADE IN'!$F142))</f>
        <v>20699</v>
      </c>
      <c r="P142" s="46">
        <f>IF(VLOOKUP($C142,REV!$C:$AA,14,0)-'TRADE IN'!$F142=0,"",(VLOOKUP($C142,REV!$C:$AA,14,0)-'TRADE IN'!$F142))</f>
        <v>20599</v>
      </c>
      <c r="Q142" s="46">
        <f>IF(VLOOKUP($C142,REV!$C:$AA,15,0)-'TRADE IN'!$F142=0,"",(VLOOKUP($C142,REV!$C:$AA,15,0)-'TRADE IN'!$F142))</f>
        <v>19799</v>
      </c>
      <c r="R142" s="46">
        <f>IF(VLOOKUP($C142,REV!$C:$AA,16,0)-'TRADE IN'!$F142=0,"",(VLOOKUP($C142,REV!$C:$AA,16,0)-'TRADE IN'!$F142))</f>
        <v>20699</v>
      </c>
      <c r="S142" s="46">
        <f>IF(VLOOKUP($C142,REV!$C:$AA,17,0)-'TRADE IN'!$F142=0,"",(VLOOKUP($C142,REV!$C:$AA,17,0)-'TRADE IN'!$F142))</f>
        <v>20599</v>
      </c>
      <c r="T142" s="46">
        <f>IF(VLOOKUP($C142,REV!$C:$AA,18,0)-'TRADE IN'!$F142=0,"",(VLOOKUP($C142,REV!$C:$AA,18,0)-'TRADE IN'!$F142))</f>
        <v>19799</v>
      </c>
      <c r="U142" s="46">
        <f>IF(VLOOKUP($C142,REV!$C:$AA,19,0)-'TRADE IN'!$F142=0,"",(VLOOKUP($C142,REV!$C:$AA,19,0)-'TRADE IN'!$F142))</f>
        <v>19799</v>
      </c>
      <c r="V142" s="46">
        <f>IF(VLOOKUP($C142,REV!$C:$AA,20,0)-'TRADE IN'!$F142=0,"",(VLOOKUP($C142,REV!$C:$AA,20,0)-'TRADE IN'!$F142))</f>
        <v>19799</v>
      </c>
      <c r="W142" s="46">
        <f>IF(VLOOKUP($C142,REV!$C:$AA,21,0)-'TRADE IN'!$F142=0,"",(VLOOKUP($C142,REV!$C:$AA,21,0)-'TRADE IN'!$F142))</f>
        <v>19799</v>
      </c>
      <c r="X142" s="46">
        <f>IF(VLOOKUP($C142,REV!$C:$AA,22,0)-'TRADE IN'!$F142=0,"",(VLOOKUP($C142,REV!$C:$AA,22,0)-'TRADE IN'!$F142))</f>
        <v>19699</v>
      </c>
      <c r="Y142" s="46">
        <f>IF(VLOOKUP($C142,REV!$C:$AA,23,0)-'TRADE IN'!$F142=0,"",(VLOOKUP($C142,REV!$C:$AA,23,0)-'TRADE IN'!$F142))</f>
        <v>19699</v>
      </c>
      <c r="Z142" s="46">
        <f>IF(VLOOKUP($C142,REV!$C:$AA,24,0)-'TRADE IN'!$F142=0,"",(VLOOKUP($C142,REV!$C:$AA,24,0)-'TRADE IN'!$F142))</f>
        <v>19699</v>
      </c>
      <c r="AA142" s="46">
        <f>IF(VLOOKUP($C142,REV!$C:$AA,25,0)-'TRADE IN'!$F142=0,"",(VLOOKUP($C142,REV!$C:$AA,25,0)-'TRADE IN'!$F142))</f>
        <v>19499</v>
      </c>
      <c r="AB142" s="45">
        <f>IF(VLOOKUP($C142,REV!$C:$AL,27,0)-'TRADE IN'!$F142=0,"",(VLOOKUP($C142,REV!$C:$AL,27,0)-'TRADE IN'!$F142))</f>
        <v>20799</v>
      </c>
      <c r="AC142" s="45">
        <f>IF(VLOOKUP($C142,REV!$C:$AL,28,0)-'TRADE IN'!$F142=0,"",(VLOOKUP($C142,REV!$C:$AL,28,0)-'TRADE IN'!$F142))</f>
        <v>20799</v>
      </c>
      <c r="AD142" s="45">
        <f>IF(VLOOKUP($C142,REV!$C:$AL,29,0)-'TRADE IN'!$F142=0,"",(VLOOKUP($C142,REV!$C:$AL,29,0)-'TRADE IN'!$F142))</f>
        <v>20799</v>
      </c>
      <c r="AE142" s="45">
        <f>IF(VLOOKUP($C142,REV!$C:$AL,30,0)-'TRADE IN'!$F142=0,"",(VLOOKUP($C142,REV!$C:$AL,30,0)-'TRADE IN'!$F142))</f>
        <v>20699</v>
      </c>
      <c r="AF142" s="45">
        <f>IF(VLOOKUP($C142,REV!$C:$AL,31,0)-'TRADE IN'!$F142=0,"",(VLOOKUP($C142,REV!$C:$AL,31,0)-'TRADE IN'!$F142))</f>
        <v>20599</v>
      </c>
      <c r="AG142" s="45">
        <f>IF(VLOOKUP($C142,REV!$C:$AL,31,0)-'TRADE IN'!$F142=0,"",(VLOOKUP($C142,REV!$C:$AL,31,0)-'TRADE IN'!$F142))</f>
        <v>20599</v>
      </c>
      <c r="AH142" s="45">
        <f>IF(VLOOKUP($C142,REV!$C:$AL,32,0)-'TRADE IN'!$F142=0,"",(VLOOKUP($C142,REV!$C:$AL,32,0)-'TRADE IN'!$F142))</f>
        <v>19799</v>
      </c>
      <c r="AI142" s="45">
        <f>IF(VLOOKUP($C142,REV!$C:$AL,33,0)-'TRADE IN'!$F142=0,"",(VLOOKUP($C142,REV!$C:$AL,33,0)-'TRADE IN'!$F142))</f>
        <v>19799</v>
      </c>
      <c r="AJ142" s="45">
        <f>IF(VLOOKUP($C142,REV!$C:$AL,34,0)-'TRADE IN'!$F142=0,"",(VLOOKUP($C142,REV!$C:$AL,34,0)-'TRADE IN'!$F142))</f>
        <v>19799</v>
      </c>
      <c r="AK142" s="45">
        <f>IF(VLOOKUP($C142,REV!$C:$AL,35,0)-'TRADE IN'!$F142=0,"",(VLOOKUP($C142,REV!$C:$AL,35,0)-'TRADE IN'!$F142))</f>
        <v>19799</v>
      </c>
      <c r="AL142" s="45">
        <f>IF(VLOOKUP($C142,REV!$C:$AL,36,0)-'TRADE IN'!$F142=0,"",(VLOOKUP($C142,REV!$C:$AL,36,0)-'TRADE IN'!$F142))</f>
        <v>19699</v>
      </c>
      <c r="AM142" s="45"/>
      <c r="AN142" s="45"/>
      <c r="AO142" s="45"/>
      <c r="AP142" s="45"/>
      <c r="AQ142" s="45"/>
      <c r="AR142" s="45"/>
      <c r="AS142" s="45"/>
      <c r="AT142" s="45"/>
      <c r="AU142" s="45"/>
      <c r="AV142" s="47"/>
      <c r="AW142" s="48" t="str">
        <f>REV!AW142</f>
        <v>01.12.2026</v>
      </c>
      <c r="AX142" s="153" t="str">
        <f>VLOOKUP(C142,REV!C:AX,48,0)</f>
        <v>5G</v>
      </c>
    </row>
    <row r="143" spans="1:50" ht="22.5" customHeight="1">
      <c r="A143" s="41" t="s">
        <v>63</v>
      </c>
      <c r="B143" s="42" t="s">
        <v>64</v>
      </c>
      <c r="C143" s="43">
        <v>4018364</v>
      </c>
      <c r="D143" s="44" t="s">
        <v>235</v>
      </c>
      <c r="E143" s="44" t="s">
        <v>237</v>
      </c>
      <c r="F143" s="45"/>
      <c r="G143" s="45"/>
      <c r="H143" s="45"/>
      <c r="I143" s="45"/>
      <c r="J143" s="46">
        <f>IF(VLOOKUP($C143,REV!$C:$AA,8,0)-'TRADE IN'!$F143=0,"",(VLOOKUP($C143,REV!$C:$AA,8,0)-'TRADE IN'!$F143))</f>
        <v>20799</v>
      </c>
      <c r="K143" s="46">
        <f>IF(VLOOKUP($C143,REV!$C:$AA,9,0)-'TRADE IN'!$F143=0,"",(VLOOKUP($C143,REV!$C:$AA,9,0)-'TRADE IN'!$F143))</f>
        <v>20799</v>
      </c>
      <c r="L143" s="46">
        <f>IF(VLOOKUP($C143,REV!$C:$AA,10,0)-'TRADE IN'!$F143=0,"",(VLOOKUP($C143,REV!$C:$AA,10,0)-'TRADE IN'!$F143))</f>
        <v>20799</v>
      </c>
      <c r="M143" s="46">
        <f>IF(VLOOKUP($C143,REV!$C:$AA,11,0)-'TRADE IN'!$F143=0,"",(VLOOKUP($C143,REV!$C:$AA,11,0)-'TRADE IN'!$F143))</f>
        <v>20799</v>
      </c>
      <c r="N143" s="46">
        <f>IF(VLOOKUP($C143,REV!$C:$AA,12,0)-'TRADE IN'!$F143=0,"",(VLOOKUP($C143,REV!$C:$AA,12,0)-'TRADE IN'!$F143))</f>
        <v>20799</v>
      </c>
      <c r="O143" s="46">
        <f>IF(VLOOKUP($C143,REV!$C:$AA,13,0)-'TRADE IN'!$F143=0,"",(VLOOKUP($C143,REV!$C:$AA,13,0)-'TRADE IN'!$F143))</f>
        <v>20699</v>
      </c>
      <c r="P143" s="46">
        <f>IF(VLOOKUP($C143,REV!$C:$AA,14,0)-'TRADE IN'!$F143=0,"",(VLOOKUP($C143,REV!$C:$AA,14,0)-'TRADE IN'!$F143))</f>
        <v>20599</v>
      </c>
      <c r="Q143" s="46">
        <f>IF(VLOOKUP($C143,REV!$C:$AA,15,0)-'TRADE IN'!$F143=0,"",(VLOOKUP($C143,REV!$C:$AA,15,0)-'TRADE IN'!$F143))</f>
        <v>19799</v>
      </c>
      <c r="R143" s="46">
        <f>IF(VLOOKUP($C143,REV!$C:$AA,16,0)-'TRADE IN'!$F143=0,"",(VLOOKUP($C143,REV!$C:$AA,16,0)-'TRADE IN'!$F143))</f>
        <v>20699</v>
      </c>
      <c r="S143" s="46">
        <f>IF(VLOOKUP($C143,REV!$C:$AA,17,0)-'TRADE IN'!$F143=0,"",(VLOOKUP($C143,REV!$C:$AA,17,0)-'TRADE IN'!$F143))</f>
        <v>20599</v>
      </c>
      <c r="T143" s="46">
        <f>IF(VLOOKUP($C143,REV!$C:$AA,18,0)-'TRADE IN'!$F143=0,"",(VLOOKUP($C143,REV!$C:$AA,18,0)-'TRADE IN'!$F143))</f>
        <v>19799</v>
      </c>
      <c r="U143" s="46">
        <f>IF(VLOOKUP($C143,REV!$C:$AA,19,0)-'TRADE IN'!$F143=0,"",(VLOOKUP($C143,REV!$C:$AA,19,0)-'TRADE IN'!$F143))</f>
        <v>19799</v>
      </c>
      <c r="V143" s="46">
        <f>IF(VLOOKUP($C143,REV!$C:$AA,20,0)-'TRADE IN'!$F143=0,"",(VLOOKUP($C143,REV!$C:$AA,20,0)-'TRADE IN'!$F143))</f>
        <v>19799</v>
      </c>
      <c r="W143" s="46">
        <f>IF(VLOOKUP($C143,REV!$C:$AA,21,0)-'TRADE IN'!$F143=0,"",(VLOOKUP($C143,REV!$C:$AA,21,0)-'TRADE IN'!$F143))</f>
        <v>19799</v>
      </c>
      <c r="X143" s="46">
        <f>IF(VLOOKUP($C143,REV!$C:$AA,22,0)-'TRADE IN'!$F143=0,"",(VLOOKUP($C143,REV!$C:$AA,22,0)-'TRADE IN'!$F143))</f>
        <v>19699</v>
      </c>
      <c r="Y143" s="46">
        <f>IF(VLOOKUP($C143,REV!$C:$AA,23,0)-'TRADE IN'!$F143=0,"",(VLOOKUP($C143,REV!$C:$AA,23,0)-'TRADE IN'!$F143))</f>
        <v>19699</v>
      </c>
      <c r="Z143" s="46">
        <f>IF(VLOOKUP($C143,REV!$C:$AA,24,0)-'TRADE IN'!$F143=0,"",(VLOOKUP($C143,REV!$C:$AA,24,0)-'TRADE IN'!$F143))</f>
        <v>19699</v>
      </c>
      <c r="AA143" s="46">
        <f>IF(VLOOKUP($C143,REV!$C:$AA,25,0)-'TRADE IN'!$F143=0,"",(VLOOKUP($C143,REV!$C:$AA,25,0)-'TRADE IN'!$F143))</f>
        <v>19499</v>
      </c>
      <c r="AB143" s="45">
        <f>IF(VLOOKUP($C143,REV!$C:$AL,27,0)-'TRADE IN'!$F143=0,"",(VLOOKUP($C143,REV!$C:$AL,27,0)-'TRADE IN'!$F143))</f>
        <v>20799</v>
      </c>
      <c r="AC143" s="45">
        <f>IF(VLOOKUP($C143,REV!$C:$AL,28,0)-'TRADE IN'!$F143=0,"",(VLOOKUP($C143,REV!$C:$AL,28,0)-'TRADE IN'!$F143))</f>
        <v>20799</v>
      </c>
      <c r="AD143" s="45">
        <f>IF(VLOOKUP($C143,REV!$C:$AL,29,0)-'TRADE IN'!$F143=0,"",(VLOOKUP($C143,REV!$C:$AL,29,0)-'TRADE IN'!$F143))</f>
        <v>20799</v>
      </c>
      <c r="AE143" s="45">
        <f>IF(VLOOKUP($C143,REV!$C:$AL,30,0)-'TRADE IN'!$F143=0,"",(VLOOKUP($C143,REV!$C:$AL,30,0)-'TRADE IN'!$F143))</f>
        <v>20699</v>
      </c>
      <c r="AF143" s="45">
        <f>IF(VLOOKUP($C143,REV!$C:$AL,31,0)-'TRADE IN'!$F143=0,"",(VLOOKUP($C143,REV!$C:$AL,31,0)-'TRADE IN'!$F143))</f>
        <v>20599</v>
      </c>
      <c r="AG143" s="45">
        <f>IF(VLOOKUP($C143,REV!$C:$AL,31,0)-'TRADE IN'!$F143=0,"",(VLOOKUP($C143,REV!$C:$AL,31,0)-'TRADE IN'!$F143))</f>
        <v>20599</v>
      </c>
      <c r="AH143" s="45">
        <f>IF(VLOOKUP($C143,REV!$C:$AL,32,0)-'TRADE IN'!$F143=0,"",(VLOOKUP($C143,REV!$C:$AL,32,0)-'TRADE IN'!$F143))</f>
        <v>19799</v>
      </c>
      <c r="AI143" s="45">
        <f>IF(VLOOKUP($C143,REV!$C:$AL,33,0)-'TRADE IN'!$F143=0,"",(VLOOKUP($C143,REV!$C:$AL,33,0)-'TRADE IN'!$F143))</f>
        <v>19799</v>
      </c>
      <c r="AJ143" s="45">
        <f>IF(VLOOKUP($C143,REV!$C:$AL,34,0)-'TRADE IN'!$F143=0,"",(VLOOKUP($C143,REV!$C:$AL,34,0)-'TRADE IN'!$F143))</f>
        <v>19799</v>
      </c>
      <c r="AK143" s="45">
        <f>IF(VLOOKUP($C143,REV!$C:$AL,35,0)-'TRADE IN'!$F143=0,"",(VLOOKUP($C143,REV!$C:$AL,35,0)-'TRADE IN'!$F143))</f>
        <v>19799</v>
      </c>
      <c r="AL143" s="45">
        <f>IF(VLOOKUP($C143,REV!$C:$AL,36,0)-'TRADE IN'!$F143=0,"",(VLOOKUP($C143,REV!$C:$AL,36,0)-'TRADE IN'!$F143))</f>
        <v>19699</v>
      </c>
      <c r="AM143" s="45"/>
      <c r="AN143" s="45"/>
      <c r="AO143" s="45"/>
      <c r="AP143" s="45"/>
      <c r="AQ143" s="45"/>
      <c r="AR143" s="45"/>
      <c r="AS143" s="45"/>
      <c r="AT143" s="45"/>
      <c r="AU143" s="45"/>
      <c r="AV143" s="47"/>
      <c r="AW143" s="48" t="str">
        <f>REV!AW143</f>
        <v>01.12.2026</v>
      </c>
      <c r="AX143" s="153" t="str">
        <f>VLOOKUP(C143,REV!C:AX,48,0)</f>
        <v>5G</v>
      </c>
    </row>
    <row r="144" spans="1:50" ht="22.5" customHeight="1">
      <c r="A144" s="41" t="s">
        <v>63</v>
      </c>
      <c r="B144" s="42" t="s">
        <v>64</v>
      </c>
      <c r="C144" s="43">
        <v>4017020</v>
      </c>
      <c r="D144" s="44" t="s">
        <v>238</v>
      </c>
      <c r="E144" s="44" t="s">
        <v>239</v>
      </c>
      <c r="F144" s="45"/>
      <c r="G144" s="45"/>
      <c r="H144" s="45"/>
      <c r="I144" s="45"/>
      <c r="J144" s="46">
        <f>IF(VLOOKUP($C144,REV!$C:$AA,8,0)-'TRADE IN'!$F144=0,"",(VLOOKUP($C144,REV!$C:$AA,8,0)-'TRADE IN'!$F144))</f>
        <v>2499</v>
      </c>
      <c r="K144" s="46">
        <f>IF(VLOOKUP($C144,REV!$C:$AA,9,0)-'TRADE IN'!$F144=0,"",(VLOOKUP($C144,REV!$C:$AA,9,0)-'TRADE IN'!$F144))</f>
        <v>2299</v>
      </c>
      <c r="L144" s="46">
        <f>IF(VLOOKUP($C144,REV!$C:$AA,10,0)-'TRADE IN'!$F144=0,"",(VLOOKUP($C144,REV!$C:$AA,10,0)-'TRADE IN'!$F144))</f>
        <v>2299</v>
      </c>
      <c r="M144" s="46">
        <f>IF(VLOOKUP($C144,REV!$C:$AA,11,0)-'TRADE IN'!$F144=0,"",(VLOOKUP($C144,REV!$C:$AA,11,0)-'TRADE IN'!$F144))</f>
        <v>2499</v>
      </c>
      <c r="N144" s="46">
        <f>IF(VLOOKUP($C144,REV!$C:$AA,12,0)-'TRADE IN'!$F144=0,"",(VLOOKUP($C144,REV!$C:$AA,12,0)-'TRADE IN'!$F144))</f>
        <v>2299</v>
      </c>
      <c r="O144" s="46">
        <f>IF(VLOOKUP($C144,REV!$C:$AA,13,0)-'TRADE IN'!$F144=0,"",(VLOOKUP($C144,REV!$C:$AA,13,0)-'TRADE IN'!$F144))</f>
        <v>2199</v>
      </c>
      <c r="P144" s="46">
        <f>IF(VLOOKUP($C144,REV!$C:$AA,14,0)-'TRADE IN'!$F144=0,"",(VLOOKUP($C144,REV!$C:$AA,14,0)-'TRADE IN'!$F144))</f>
        <v>2099</v>
      </c>
      <c r="Q144" s="46">
        <f>IF(VLOOKUP($C144,REV!$C:$AA,15,0)-'TRADE IN'!$F144=0,"",(VLOOKUP($C144,REV!$C:$AA,15,0)-'TRADE IN'!$F144))</f>
        <v>1799</v>
      </c>
      <c r="R144" s="46">
        <f>IF(VLOOKUP($C144,REV!$C:$AA,16,0)-'TRADE IN'!$F144=0,"",(VLOOKUP($C144,REV!$C:$AA,16,0)-'TRADE IN'!$F144))</f>
        <v>2199</v>
      </c>
      <c r="S144" s="46">
        <f>IF(VLOOKUP($C144,REV!$C:$AA,17,0)-'TRADE IN'!$F144=0,"",(VLOOKUP($C144,REV!$C:$AA,17,0)-'TRADE IN'!$F144))</f>
        <v>2099</v>
      </c>
      <c r="T144" s="46">
        <f>IF(VLOOKUP($C144,REV!$C:$AA,18,0)-'TRADE IN'!$F144=0,"",(VLOOKUP($C144,REV!$C:$AA,18,0)-'TRADE IN'!$F144))</f>
        <v>1799</v>
      </c>
      <c r="U144" s="46">
        <f>IF(VLOOKUP($C144,REV!$C:$AA,19,0)-'TRADE IN'!$F144=0,"",(VLOOKUP($C144,REV!$C:$AA,19,0)-'TRADE IN'!$F144))</f>
        <v>1799</v>
      </c>
      <c r="V144" s="46">
        <f>IF(VLOOKUP($C144,REV!$C:$AA,20,0)-'TRADE IN'!$F144=0,"",(VLOOKUP($C144,REV!$C:$AA,20,0)-'TRADE IN'!$F144))</f>
        <v>1799</v>
      </c>
      <c r="W144" s="46">
        <f>IF(VLOOKUP($C144,REV!$C:$AA,21,0)-'TRADE IN'!$F144=0,"",(VLOOKUP($C144,REV!$C:$AA,21,0)-'TRADE IN'!$F144))</f>
        <v>1799</v>
      </c>
      <c r="X144" s="46">
        <f>IF(VLOOKUP($C144,REV!$C:$AA,22,0)-'TRADE IN'!$F144=0,"",(VLOOKUP($C144,REV!$C:$AA,22,0)-'TRADE IN'!$F144))</f>
        <v>1699</v>
      </c>
      <c r="Y144" s="46">
        <f>IF(VLOOKUP($C144,REV!$C:$AA,23,0)-'TRADE IN'!$F144=0,"",(VLOOKUP($C144,REV!$C:$AA,23,0)-'TRADE IN'!$F144))</f>
        <v>1299</v>
      </c>
      <c r="Z144" s="46">
        <f>IF(VLOOKUP($C144,REV!$C:$AA,24,0)-'TRADE IN'!$F144=0,"",(VLOOKUP($C144,REV!$C:$AA,24,0)-'TRADE IN'!$F144))</f>
        <v>1299</v>
      </c>
      <c r="AA144" s="46">
        <f>IF(VLOOKUP($C144,REV!$C:$AA,25,0)-'TRADE IN'!$F144=0,"",(VLOOKUP($C144,REV!$C:$AA,25,0)-'TRADE IN'!$F144))</f>
        <v>1299</v>
      </c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7"/>
      <c r="AW144" s="48" t="str">
        <f>REV!AW144</f>
        <v>01.12.2026</v>
      </c>
      <c r="AX144" s="153" t="str">
        <f>VLOOKUP(C144,REV!C:AX,48,0)</f>
        <v>5G</v>
      </c>
    </row>
    <row r="145" spans="1:50" ht="22.5" customHeight="1">
      <c r="A145" s="41" t="s">
        <v>63</v>
      </c>
      <c r="B145" s="42" t="s">
        <v>64</v>
      </c>
      <c r="C145" s="43">
        <v>4017022</v>
      </c>
      <c r="D145" s="44" t="s">
        <v>238</v>
      </c>
      <c r="E145" s="44" t="s">
        <v>240</v>
      </c>
      <c r="F145" s="45"/>
      <c r="G145" s="45"/>
      <c r="H145" s="45"/>
      <c r="I145" s="45"/>
      <c r="J145" s="46">
        <f>IF(VLOOKUP($C145,REV!$C:$AA,8,0)-'TRADE IN'!$F145=0,"",(VLOOKUP($C145,REV!$C:$AA,8,0)-'TRADE IN'!$F145))</f>
        <v>2499</v>
      </c>
      <c r="K145" s="46">
        <f>IF(VLOOKUP($C145,REV!$C:$AA,9,0)-'TRADE IN'!$F145=0,"",(VLOOKUP($C145,REV!$C:$AA,9,0)-'TRADE IN'!$F145))</f>
        <v>2299</v>
      </c>
      <c r="L145" s="46">
        <f>IF(VLOOKUP($C145,REV!$C:$AA,10,0)-'TRADE IN'!$F145=0,"",(VLOOKUP($C145,REV!$C:$AA,10,0)-'TRADE IN'!$F145))</f>
        <v>2299</v>
      </c>
      <c r="M145" s="46">
        <f>IF(VLOOKUP($C145,REV!$C:$AA,11,0)-'TRADE IN'!$F145=0,"",(VLOOKUP($C145,REV!$C:$AA,11,0)-'TRADE IN'!$F145))</f>
        <v>2499</v>
      </c>
      <c r="N145" s="46">
        <f>IF(VLOOKUP($C145,REV!$C:$AA,12,0)-'TRADE IN'!$F145=0,"",(VLOOKUP($C145,REV!$C:$AA,12,0)-'TRADE IN'!$F145))</f>
        <v>2299</v>
      </c>
      <c r="O145" s="46">
        <f>IF(VLOOKUP($C145,REV!$C:$AA,13,0)-'TRADE IN'!$F145=0,"",(VLOOKUP($C145,REV!$C:$AA,13,0)-'TRADE IN'!$F145))</f>
        <v>2199</v>
      </c>
      <c r="P145" s="46">
        <f>IF(VLOOKUP($C145,REV!$C:$AA,14,0)-'TRADE IN'!$F145=0,"",(VLOOKUP($C145,REV!$C:$AA,14,0)-'TRADE IN'!$F145))</f>
        <v>2099</v>
      </c>
      <c r="Q145" s="46">
        <f>IF(VLOOKUP($C145,REV!$C:$AA,15,0)-'TRADE IN'!$F145=0,"",(VLOOKUP($C145,REV!$C:$AA,15,0)-'TRADE IN'!$F145))</f>
        <v>1799</v>
      </c>
      <c r="R145" s="46">
        <f>IF(VLOOKUP($C145,REV!$C:$AA,16,0)-'TRADE IN'!$F145=0,"",(VLOOKUP($C145,REV!$C:$AA,16,0)-'TRADE IN'!$F145))</f>
        <v>2199</v>
      </c>
      <c r="S145" s="46">
        <f>IF(VLOOKUP($C145,REV!$C:$AA,17,0)-'TRADE IN'!$F145=0,"",(VLOOKUP($C145,REV!$C:$AA,17,0)-'TRADE IN'!$F145))</f>
        <v>2099</v>
      </c>
      <c r="T145" s="46">
        <f>IF(VLOOKUP($C145,REV!$C:$AA,18,0)-'TRADE IN'!$F145=0,"",(VLOOKUP($C145,REV!$C:$AA,18,0)-'TRADE IN'!$F145))</f>
        <v>1799</v>
      </c>
      <c r="U145" s="46">
        <f>IF(VLOOKUP($C145,REV!$C:$AA,19,0)-'TRADE IN'!$F145=0,"",(VLOOKUP($C145,REV!$C:$AA,19,0)-'TRADE IN'!$F145))</f>
        <v>1799</v>
      </c>
      <c r="V145" s="46">
        <f>IF(VLOOKUP($C145,REV!$C:$AA,20,0)-'TRADE IN'!$F145=0,"",(VLOOKUP($C145,REV!$C:$AA,20,0)-'TRADE IN'!$F145))</f>
        <v>1799</v>
      </c>
      <c r="W145" s="46">
        <f>IF(VLOOKUP($C145,REV!$C:$AA,21,0)-'TRADE IN'!$F145=0,"",(VLOOKUP($C145,REV!$C:$AA,21,0)-'TRADE IN'!$F145))</f>
        <v>1799</v>
      </c>
      <c r="X145" s="46">
        <f>IF(VLOOKUP($C145,REV!$C:$AA,22,0)-'TRADE IN'!$F145=0,"",(VLOOKUP($C145,REV!$C:$AA,22,0)-'TRADE IN'!$F145))</f>
        <v>1699</v>
      </c>
      <c r="Y145" s="46">
        <f>IF(VLOOKUP($C145,REV!$C:$AA,23,0)-'TRADE IN'!$F145=0,"",(VLOOKUP($C145,REV!$C:$AA,23,0)-'TRADE IN'!$F145))</f>
        <v>1299</v>
      </c>
      <c r="Z145" s="46">
        <f>IF(VLOOKUP($C145,REV!$C:$AA,24,0)-'TRADE IN'!$F145=0,"",(VLOOKUP($C145,REV!$C:$AA,24,0)-'TRADE IN'!$F145))</f>
        <v>1299</v>
      </c>
      <c r="AA145" s="46">
        <f>IF(VLOOKUP($C145,REV!$C:$AA,25,0)-'TRADE IN'!$F145=0,"",(VLOOKUP($C145,REV!$C:$AA,25,0)-'TRADE IN'!$F145))</f>
        <v>1299</v>
      </c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7"/>
      <c r="AW145" s="48" t="str">
        <f>REV!AW145</f>
        <v>01.12.2026</v>
      </c>
      <c r="AX145" s="153" t="str">
        <f>VLOOKUP(C145,REV!C:AX,48,0)</f>
        <v>5G</v>
      </c>
    </row>
    <row r="146" spans="1:50" ht="22.5" customHeight="1">
      <c r="A146" s="41" t="s">
        <v>63</v>
      </c>
      <c r="B146" s="42" t="s">
        <v>64</v>
      </c>
      <c r="C146" s="43">
        <v>4017045</v>
      </c>
      <c r="D146" s="44" t="s">
        <v>241</v>
      </c>
      <c r="E146" s="44" t="s">
        <v>242</v>
      </c>
      <c r="F146" s="45"/>
      <c r="G146" s="45"/>
      <c r="H146" s="45"/>
      <c r="I146" s="45"/>
      <c r="J146" s="46">
        <f>IF(VLOOKUP($C146,REV!$C:$AA,8,0)-'TRADE IN'!$F146=0,"",(VLOOKUP($C146,REV!$C:$AA,8,0)-'TRADE IN'!$F146))</f>
        <v>1499</v>
      </c>
      <c r="K146" s="46">
        <f>IF(VLOOKUP($C146,REV!$C:$AA,9,0)-'TRADE IN'!$F146=0,"",(VLOOKUP($C146,REV!$C:$AA,9,0)-'TRADE IN'!$F146))</f>
        <v>1499</v>
      </c>
      <c r="L146" s="46">
        <f>IF(VLOOKUP($C146,REV!$C:$AA,10,0)-'TRADE IN'!$F146=0,"",(VLOOKUP($C146,REV!$C:$AA,10,0)-'TRADE IN'!$F146))</f>
        <v>1499</v>
      </c>
      <c r="M146" s="46">
        <f>IF(VLOOKUP($C146,REV!$C:$AA,11,0)-'TRADE IN'!$F146=0,"",(VLOOKUP($C146,REV!$C:$AA,11,0)-'TRADE IN'!$F146))</f>
        <v>1499</v>
      </c>
      <c r="N146" s="46">
        <f>IF(VLOOKUP($C146,REV!$C:$AA,12,0)-'TRADE IN'!$F146=0,"",(VLOOKUP($C146,REV!$C:$AA,12,0)-'TRADE IN'!$F146))</f>
        <v>1499</v>
      </c>
      <c r="O146" s="46">
        <f>IF(VLOOKUP($C146,REV!$C:$AA,13,0)-'TRADE IN'!$F146=0,"",(VLOOKUP($C146,REV!$C:$AA,13,0)-'TRADE IN'!$F146))</f>
        <v>1449</v>
      </c>
      <c r="P146" s="46">
        <f>IF(VLOOKUP($C146,REV!$C:$AA,14,0)-'TRADE IN'!$F146=0,"",(VLOOKUP($C146,REV!$C:$AA,14,0)-'TRADE IN'!$F146))</f>
        <v>1399</v>
      </c>
      <c r="Q146" s="46">
        <f>IF(VLOOKUP($C146,REV!$C:$AA,15,0)-'TRADE IN'!$F146=0,"",(VLOOKUP($C146,REV!$C:$AA,15,0)-'TRADE IN'!$F146))</f>
        <v>799</v>
      </c>
      <c r="R146" s="46">
        <f>IF(VLOOKUP($C146,REV!$C:$AA,16,0)-'TRADE IN'!$F146=0,"",(VLOOKUP($C146,REV!$C:$AA,16,0)-'TRADE IN'!$F146))</f>
        <v>1449</v>
      </c>
      <c r="S146" s="46">
        <f>IF(VLOOKUP($C146,REV!$C:$AA,17,0)-'TRADE IN'!$F146=0,"",(VLOOKUP($C146,REV!$C:$AA,17,0)-'TRADE IN'!$F146))</f>
        <v>1399</v>
      </c>
      <c r="T146" s="46">
        <f>IF(VLOOKUP($C146,REV!$C:$AA,18,0)-'TRADE IN'!$F146=0,"",(VLOOKUP($C146,REV!$C:$AA,18,0)-'TRADE IN'!$F146))</f>
        <v>799</v>
      </c>
      <c r="U146" s="46">
        <f>IF(VLOOKUP($C146,REV!$C:$AA,19,0)-'TRADE IN'!$F146=0,"",(VLOOKUP($C146,REV!$C:$AA,19,0)-'TRADE IN'!$F146))</f>
        <v>799</v>
      </c>
      <c r="V146" s="46">
        <f>IF(VLOOKUP($C146,REV!$C:$AA,20,0)-'TRADE IN'!$F146=0,"",(VLOOKUP($C146,REV!$C:$AA,20,0)-'TRADE IN'!$F146))</f>
        <v>799</v>
      </c>
      <c r="W146" s="46">
        <f>IF(VLOOKUP($C146,REV!$C:$AA,21,0)-'TRADE IN'!$F146=0,"",(VLOOKUP($C146,REV!$C:$AA,21,0)-'TRADE IN'!$F146))</f>
        <v>799</v>
      </c>
      <c r="X146" s="46">
        <f>IF(VLOOKUP($C146,REV!$C:$AA,22,0)-'TRADE IN'!$F146=0,"",(VLOOKUP($C146,REV!$C:$AA,22,0)-'TRADE IN'!$F146))</f>
        <v>799</v>
      </c>
      <c r="Y146" s="46">
        <f>IF(VLOOKUP($C146,REV!$C:$AA,23,0)-'TRADE IN'!$F146=0,"",(VLOOKUP($C146,REV!$C:$AA,23,0)-'TRADE IN'!$F146))</f>
        <v>699</v>
      </c>
      <c r="Z146" s="46">
        <f>IF(VLOOKUP($C146,REV!$C:$AA,24,0)-'TRADE IN'!$F146=0,"",(VLOOKUP($C146,REV!$C:$AA,24,0)-'TRADE IN'!$F146))</f>
        <v>699</v>
      </c>
      <c r="AA146" s="46">
        <f>IF(VLOOKUP($C146,REV!$C:$AA,25,0)-'TRADE IN'!$F146=0,"",(VLOOKUP($C146,REV!$C:$AA,25,0)-'TRADE IN'!$F146))</f>
        <v>699</v>
      </c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7"/>
      <c r="AW146" s="48" t="str">
        <f>REV!AW146</f>
        <v>01.12.2026</v>
      </c>
      <c r="AX146" s="153" t="str">
        <f>VLOOKUP(C146,REV!C:AX,48,0)</f>
        <v>5G</v>
      </c>
    </row>
    <row r="147" spans="1:50" ht="22.5" customHeight="1">
      <c r="A147" s="41" t="s">
        <v>63</v>
      </c>
      <c r="B147" s="42" t="s">
        <v>64</v>
      </c>
      <c r="C147" s="43">
        <v>4017047</v>
      </c>
      <c r="D147" s="44" t="s">
        <v>241</v>
      </c>
      <c r="E147" s="44" t="s">
        <v>243</v>
      </c>
      <c r="F147" s="45"/>
      <c r="G147" s="45"/>
      <c r="H147" s="45"/>
      <c r="I147" s="45"/>
      <c r="J147" s="46">
        <f>IF(VLOOKUP($C147,REV!$C:$AA,8,0)-'TRADE IN'!$F147=0,"",(VLOOKUP($C147,REV!$C:$AA,8,0)-'TRADE IN'!$F147))</f>
        <v>1499</v>
      </c>
      <c r="K147" s="46">
        <f>IF(VLOOKUP($C147,REV!$C:$AA,9,0)-'TRADE IN'!$F147=0,"",(VLOOKUP($C147,REV!$C:$AA,9,0)-'TRADE IN'!$F147))</f>
        <v>1499</v>
      </c>
      <c r="L147" s="46">
        <f>IF(VLOOKUP($C147,REV!$C:$AA,10,0)-'TRADE IN'!$F147=0,"",(VLOOKUP($C147,REV!$C:$AA,10,0)-'TRADE IN'!$F147))</f>
        <v>1499</v>
      </c>
      <c r="M147" s="46">
        <f>IF(VLOOKUP($C147,REV!$C:$AA,11,0)-'TRADE IN'!$F147=0,"",(VLOOKUP($C147,REV!$C:$AA,11,0)-'TRADE IN'!$F147))</f>
        <v>1499</v>
      </c>
      <c r="N147" s="46">
        <f>IF(VLOOKUP($C147,REV!$C:$AA,12,0)-'TRADE IN'!$F147=0,"",(VLOOKUP($C147,REV!$C:$AA,12,0)-'TRADE IN'!$F147))</f>
        <v>1499</v>
      </c>
      <c r="O147" s="46">
        <f>IF(VLOOKUP($C147,REV!$C:$AA,13,0)-'TRADE IN'!$F147=0,"",(VLOOKUP($C147,REV!$C:$AA,13,0)-'TRADE IN'!$F147))</f>
        <v>1449</v>
      </c>
      <c r="P147" s="46">
        <f>IF(VLOOKUP($C147,REV!$C:$AA,14,0)-'TRADE IN'!$F147=0,"",(VLOOKUP($C147,REV!$C:$AA,14,0)-'TRADE IN'!$F147))</f>
        <v>1399</v>
      </c>
      <c r="Q147" s="46">
        <f>IF(VLOOKUP($C147,REV!$C:$AA,15,0)-'TRADE IN'!$F147=0,"",(VLOOKUP($C147,REV!$C:$AA,15,0)-'TRADE IN'!$F147))</f>
        <v>799</v>
      </c>
      <c r="R147" s="46">
        <f>IF(VLOOKUP($C147,REV!$C:$AA,16,0)-'TRADE IN'!$F147=0,"",(VLOOKUP($C147,REV!$C:$AA,16,0)-'TRADE IN'!$F147))</f>
        <v>1449</v>
      </c>
      <c r="S147" s="46">
        <f>IF(VLOOKUP($C147,REV!$C:$AA,17,0)-'TRADE IN'!$F147=0,"",(VLOOKUP($C147,REV!$C:$AA,17,0)-'TRADE IN'!$F147))</f>
        <v>1399</v>
      </c>
      <c r="T147" s="46">
        <f>IF(VLOOKUP($C147,REV!$C:$AA,18,0)-'TRADE IN'!$F147=0,"",(VLOOKUP($C147,REV!$C:$AA,18,0)-'TRADE IN'!$F147))</f>
        <v>799</v>
      </c>
      <c r="U147" s="46">
        <f>IF(VLOOKUP($C147,REV!$C:$AA,19,0)-'TRADE IN'!$F147=0,"",(VLOOKUP($C147,REV!$C:$AA,19,0)-'TRADE IN'!$F147))</f>
        <v>799</v>
      </c>
      <c r="V147" s="46">
        <f>IF(VLOOKUP($C147,REV!$C:$AA,20,0)-'TRADE IN'!$F147=0,"",(VLOOKUP($C147,REV!$C:$AA,20,0)-'TRADE IN'!$F147))</f>
        <v>799</v>
      </c>
      <c r="W147" s="46">
        <f>IF(VLOOKUP($C147,REV!$C:$AA,21,0)-'TRADE IN'!$F147=0,"",(VLOOKUP($C147,REV!$C:$AA,21,0)-'TRADE IN'!$F147))</f>
        <v>799</v>
      </c>
      <c r="X147" s="46">
        <f>IF(VLOOKUP($C147,REV!$C:$AA,22,0)-'TRADE IN'!$F147=0,"",(VLOOKUP($C147,REV!$C:$AA,22,0)-'TRADE IN'!$F147))</f>
        <v>799</v>
      </c>
      <c r="Y147" s="46">
        <f>IF(VLOOKUP($C147,REV!$C:$AA,23,0)-'TRADE IN'!$F147=0,"",(VLOOKUP($C147,REV!$C:$AA,23,0)-'TRADE IN'!$F147))</f>
        <v>699</v>
      </c>
      <c r="Z147" s="46">
        <f>IF(VLOOKUP($C147,REV!$C:$AA,24,0)-'TRADE IN'!$F147=0,"",(VLOOKUP($C147,REV!$C:$AA,24,0)-'TRADE IN'!$F147))</f>
        <v>699</v>
      </c>
      <c r="AA147" s="46">
        <f>IF(VLOOKUP($C147,REV!$C:$AA,25,0)-'TRADE IN'!$F147=0,"",(VLOOKUP($C147,REV!$C:$AA,25,0)-'TRADE IN'!$F147))</f>
        <v>699</v>
      </c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7"/>
      <c r="AW147" s="48" t="str">
        <f>REV!AW147</f>
        <v>01.12.2026</v>
      </c>
      <c r="AX147" s="153" t="str">
        <f>VLOOKUP(C147,REV!C:AX,48,0)</f>
        <v>5G</v>
      </c>
    </row>
    <row r="148" spans="1:50" ht="22.5" customHeight="1">
      <c r="A148" s="41" t="s">
        <v>63</v>
      </c>
      <c r="B148" s="42" t="s">
        <v>64</v>
      </c>
      <c r="C148" s="43">
        <v>4017758</v>
      </c>
      <c r="D148" s="44" t="s">
        <v>244</v>
      </c>
      <c r="E148" s="44" t="s">
        <v>245</v>
      </c>
      <c r="F148" s="45"/>
      <c r="G148" s="45"/>
      <c r="H148" s="45"/>
      <c r="I148" s="45"/>
      <c r="J148" s="46">
        <f>IF(VLOOKUP($C148,REV!$C:$AA,8,0)-'TRADE IN'!$F148=0,"",(VLOOKUP($C148,REV!$C:$AA,8,0)-'TRADE IN'!$F148))</f>
        <v>2399</v>
      </c>
      <c r="K148" s="46">
        <f>IF(VLOOKUP($C148,REV!$C:$AA,9,0)-'TRADE IN'!$F148=0,"",(VLOOKUP($C148,REV!$C:$AA,9,0)-'TRADE IN'!$F148))</f>
        <v>2399</v>
      </c>
      <c r="L148" s="46">
        <f>IF(VLOOKUP($C148,REV!$C:$AA,10,0)-'TRADE IN'!$F148=0,"",(VLOOKUP($C148,REV!$C:$AA,10,0)-'TRADE IN'!$F148))</f>
        <v>2399</v>
      </c>
      <c r="M148" s="46">
        <f>IF(VLOOKUP($C148,REV!$C:$AA,11,0)-'TRADE IN'!$F148=0,"",(VLOOKUP($C148,REV!$C:$AA,11,0)-'TRADE IN'!$F148))</f>
        <v>2399</v>
      </c>
      <c r="N148" s="46">
        <f>IF(VLOOKUP($C148,REV!$C:$AA,12,0)-'TRADE IN'!$F148=0,"",(VLOOKUP($C148,REV!$C:$AA,12,0)-'TRADE IN'!$F148))</f>
        <v>2399</v>
      </c>
      <c r="O148" s="46">
        <f>IF(VLOOKUP($C148,REV!$C:$AA,13,0)-'TRADE IN'!$F148=0,"",(VLOOKUP($C148,REV!$C:$AA,13,0)-'TRADE IN'!$F148))</f>
        <v>2299</v>
      </c>
      <c r="P148" s="46">
        <f>IF(VLOOKUP($C148,REV!$C:$AA,14,0)-'TRADE IN'!$F148=0,"",(VLOOKUP($C148,REV!$C:$AA,14,0)-'TRADE IN'!$F148))</f>
        <v>2199</v>
      </c>
      <c r="Q148" s="46">
        <f>IF(VLOOKUP($C148,REV!$C:$AA,15,0)-'TRADE IN'!$F148=0,"",(VLOOKUP($C148,REV!$C:$AA,15,0)-'TRADE IN'!$F148))</f>
        <v>1699</v>
      </c>
      <c r="R148" s="46">
        <f>IF(VLOOKUP($C148,REV!$C:$AA,16,0)-'TRADE IN'!$F148=0,"",(VLOOKUP($C148,REV!$C:$AA,16,0)-'TRADE IN'!$F148))</f>
        <v>2299</v>
      </c>
      <c r="S148" s="46">
        <f>IF(VLOOKUP($C148,REV!$C:$AA,17,0)-'TRADE IN'!$F148=0,"",(VLOOKUP($C148,REV!$C:$AA,17,0)-'TRADE IN'!$F148))</f>
        <v>2199</v>
      </c>
      <c r="T148" s="46">
        <f>IF(VLOOKUP($C148,REV!$C:$AA,18,0)-'TRADE IN'!$F148=0,"",(VLOOKUP($C148,REV!$C:$AA,18,0)-'TRADE IN'!$F148))</f>
        <v>1699</v>
      </c>
      <c r="U148" s="46">
        <f>IF(VLOOKUP($C148,REV!$C:$AA,19,0)-'TRADE IN'!$F148=0,"",(VLOOKUP($C148,REV!$C:$AA,19,0)-'TRADE IN'!$F148))</f>
        <v>1699</v>
      </c>
      <c r="V148" s="46">
        <f>IF(VLOOKUP($C148,REV!$C:$AA,20,0)-'TRADE IN'!$F148=0,"",(VLOOKUP($C148,REV!$C:$AA,20,0)-'TRADE IN'!$F148))</f>
        <v>1699</v>
      </c>
      <c r="W148" s="46">
        <f>IF(VLOOKUP($C148,REV!$C:$AA,21,0)-'TRADE IN'!$F148=0,"",(VLOOKUP($C148,REV!$C:$AA,21,0)-'TRADE IN'!$F148))</f>
        <v>1699</v>
      </c>
      <c r="X148" s="46">
        <f>IF(VLOOKUP($C148,REV!$C:$AA,22,0)-'TRADE IN'!$F148=0,"",(VLOOKUP($C148,REV!$C:$AA,22,0)-'TRADE IN'!$F148))</f>
        <v>1599</v>
      </c>
      <c r="Y148" s="46">
        <f>IF(VLOOKUP($C148,REV!$C:$AA,23,0)-'TRADE IN'!$F148=0,"",(VLOOKUP($C148,REV!$C:$AA,23,0)-'TRADE IN'!$F148))</f>
        <v>1299</v>
      </c>
      <c r="Z148" s="46">
        <f>IF(VLOOKUP($C148,REV!$C:$AA,24,0)-'TRADE IN'!$F148=0,"",(VLOOKUP($C148,REV!$C:$AA,24,0)-'TRADE IN'!$F148))</f>
        <v>1299</v>
      </c>
      <c r="AA148" s="46">
        <f>IF(VLOOKUP($C148,REV!$C:$AA,25,0)-'TRADE IN'!$F148=0,"",(VLOOKUP($C148,REV!$C:$AA,25,0)-'TRADE IN'!$F148))</f>
        <v>1199</v>
      </c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7"/>
      <c r="AW148" s="48" t="str">
        <f>REV!AW148</f>
        <v>01.12.2026</v>
      </c>
      <c r="AX148" s="153" t="str">
        <f>VLOOKUP(C148,REV!C:AX,48,0)</f>
        <v>5G</v>
      </c>
    </row>
    <row r="149" spans="1:50" ht="22.5" customHeight="1">
      <c r="A149" s="41" t="s">
        <v>63</v>
      </c>
      <c r="B149" s="42" t="s">
        <v>64</v>
      </c>
      <c r="C149" s="43">
        <v>4017773</v>
      </c>
      <c r="D149" s="44" t="s">
        <v>244</v>
      </c>
      <c r="E149" s="44" t="s">
        <v>246</v>
      </c>
      <c r="F149" s="45"/>
      <c r="G149" s="45"/>
      <c r="H149" s="45"/>
      <c r="I149" s="45"/>
      <c r="J149" s="46">
        <f>IF(VLOOKUP($C149,REV!$C:$AA,8,0)-'TRADE IN'!$F149=0,"",(VLOOKUP($C149,REV!$C:$AA,8,0)-'TRADE IN'!$F149))</f>
        <v>2399</v>
      </c>
      <c r="K149" s="46">
        <f>IF(VLOOKUP($C149,REV!$C:$AA,9,0)-'TRADE IN'!$F149=0,"",(VLOOKUP($C149,REV!$C:$AA,9,0)-'TRADE IN'!$F149))</f>
        <v>2399</v>
      </c>
      <c r="L149" s="46">
        <f>IF(VLOOKUP($C149,REV!$C:$AA,10,0)-'TRADE IN'!$F149=0,"",(VLOOKUP($C149,REV!$C:$AA,10,0)-'TRADE IN'!$F149))</f>
        <v>2399</v>
      </c>
      <c r="M149" s="46">
        <f>IF(VLOOKUP($C149,REV!$C:$AA,11,0)-'TRADE IN'!$F149=0,"",(VLOOKUP($C149,REV!$C:$AA,11,0)-'TRADE IN'!$F149))</f>
        <v>2399</v>
      </c>
      <c r="N149" s="46">
        <f>IF(VLOOKUP($C149,REV!$C:$AA,12,0)-'TRADE IN'!$F149=0,"",(VLOOKUP($C149,REV!$C:$AA,12,0)-'TRADE IN'!$F149))</f>
        <v>2399</v>
      </c>
      <c r="O149" s="46">
        <f>IF(VLOOKUP($C149,REV!$C:$AA,13,0)-'TRADE IN'!$F149=0,"",(VLOOKUP($C149,REV!$C:$AA,13,0)-'TRADE IN'!$F149))</f>
        <v>2299</v>
      </c>
      <c r="P149" s="46">
        <f>IF(VLOOKUP($C149,REV!$C:$AA,14,0)-'TRADE IN'!$F149=0,"",(VLOOKUP($C149,REV!$C:$AA,14,0)-'TRADE IN'!$F149))</f>
        <v>2199</v>
      </c>
      <c r="Q149" s="46">
        <f>IF(VLOOKUP($C149,REV!$C:$AA,15,0)-'TRADE IN'!$F149=0,"",(VLOOKUP($C149,REV!$C:$AA,15,0)-'TRADE IN'!$F149))</f>
        <v>1699</v>
      </c>
      <c r="R149" s="46">
        <f>IF(VLOOKUP($C149,REV!$C:$AA,16,0)-'TRADE IN'!$F149=0,"",(VLOOKUP($C149,REV!$C:$AA,16,0)-'TRADE IN'!$F149))</f>
        <v>2299</v>
      </c>
      <c r="S149" s="46">
        <f>IF(VLOOKUP($C149,REV!$C:$AA,17,0)-'TRADE IN'!$F149=0,"",(VLOOKUP($C149,REV!$C:$AA,17,0)-'TRADE IN'!$F149))</f>
        <v>2199</v>
      </c>
      <c r="T149" s="46">
        <f>IF(VLOOKUP($C149,REV!$C:$AA,18,0)-'TRADE IN'!$F149=0,"",(VLOOKUP($C149,REV!$C:$AA,18,0)-'TRADE IN'!$F149))</f>
        <v>1699</v>
      </c>
      <c r="U149" s="46">
        <f>IF(VLOOKUP($C149,REV!$C:$AA,19,0)-'TRADE IN'!$F149=0,"",(VLOOKUP($C149,REV!$C:$AA,19,0)-'TRADE IN'!$F149))</f>
        <v>1699</v>
      </c>
      <c r="V149" s="46">
        <f>IF(VLOOKUP($C149,REV!$C:$AA,20,0)-'TRADE IN'!$F149=0,"",(VLOOKUP($C149,REV!$C:$AA,20,0)-'TRADE IN'!$F149))</f>
        <v>1699</v>
      </c>
      <c r="W149" s="46">
        <f>IF(VLOOKUP($C149,REV!$C:$AA,21,0)-'TRADE IN'!$F149=0,"",(VLOOKUP($C149,REV!$C:$AA,21,0)-'TRADE IN'!$F149))</f>
        <v>1699</v>
      </c>
      <c r="X149" s="46">
        <f>IF(VLOOKUP($C149,REV!$C:$AA,22,0)-'TRADE IN'!$F149=0,"",(VLOOKUP($C149,REV!$C:$AA,22,0)-'TRADE IN'!$F149))</f>
        <v>1599</v>
      </c>
      <c r="Y149" s="46">
        <f>IF(VLOOKUP($C149,REV!$C:$AA,23,0)-'TRADE IN'!$F149=0,"",(VLOOKUP($C149,REV!$C:$AA,23,0)-'TRADE IN'!$F149))</f>
        <v>1299</v>
      </c>
      <c r="Z149" s="46">
        <f>IF(VLOOKUP($C149,REV!$C:$AA,24,0)-'TRADE IN'!$F149=0,"",(VLOOKUP($C149,REV!$C:$AA,24,0)-'TRADE IN'!$F149))</f>
        <v>1299</v>
      </c>
      <c r="AA149" s="46">
        <f>IF(VLOOKUP($C149,REV!$C:$AA,25,0)-'TRADE IN'!$F149=0,"",(VLOOKUP($C149,REV!$C:$AA,25,0)-'TRADE IN'!$F149))</f>
        <v>1199</v>
      </c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7"/>
      <c r="AW149" s="48" t="str">
        <f>REV!AW149</f>
        <v>01.12.2026</v>
      </c>
      <c r="AX149" s="153" t="str">
        <f>VLOOKUP(C149,REV!C:AX,48,0)</f>
        <v>5G</v>
      </c>
    </row>
    <row r="150" spans="1:50" ht="22.5" customHeight="1">
      <c r="A150" s="57" t="s">
        <v>247</v>
      </c>
      <c r="B150" s="42" t="s">
        <v>64</v>
      </c>
      <c r="C150" s="43">
        <v>4017737</v>
      </c>
      <c r="D150" s="52" t="s">
        <v>248</v>
      </c>
      <c r="E150" s="44" t="s">
        <v>249</v>
      </c>
      <c r="F150" s="54"/>
      <c r="G150" s="45"/>
      <c r="H150" s="45"/>
      <c r="I150" s="45"/>
      <c r="J150" s="46">
        <f>IF(VLOOKUP($C150,REV!$C:$AA,8,0)-'TRADE IN'!$F150=0,"",(VLOOKUP($C150,REV!$C:$AA,8,0)-'TRADE IN'!$F150))</f>
        <v>1399</v>
      </c>
      <c r="K150" s="46">
        <f>IF(VLOOKUP($C150,REV!$C:$AA,9,0)-'TRADE IN'!$F150=0,"",(VLOOKUP($C150,REV!$C:$AA,9,0)-'TRADE IN'!$F150))</f>
        <v>1299</v>
      </c>
      <c r="L150" s="46">
        <f>IF(VLOOKUP($C150,REV!$C:$AA,10,0)-'TRADE IN'!$F150=0,"",(VLOOKUP($C150,REV!$C:$AA,10,0)-'TRADE IN'!$F150))</f>
        <v>1299</v>
      </c>
      <c r="M150" s="46">
        <f>IF(VLOOKUP($C150,REV!$C:$AA,11,0)-'TRADE IN'!$F150=0,"",(VLOOKUP($C150,REV!$C:$AA,11,0)-'TRADE IN'!$F150))</f>
        <v>1399</v>
      </c>
      <c r="N150" s="46">
        <f>IF(VLOOKUP($C150,REV!$C:$AA,12,0)-'TRADE IN'!$F150=0,"",(VLOOKUP($C150,REV!$C:$AA,12,0)-'TRADE IN'!$F150))</f>
        <v>1299</v>
      </c>
      <c r="O150" s="46">
        <f>IF(VLOOKUP($C150,REV!$C:$AA,13,0)-'TRADE IN'!$F150=0,"",(VLOOKUP($C150,REV!$C:$AA,13,0)-'TRADE IN'!$F150))</f>
        <v>1249</v>
      </c>
      <c r="P150" s="46">
        <f>IF(VLOOKUP($C150,REV!$C:$AA,14,0)-'TRADE IN'!$F150=0,"",(VLOOKUP($C150,REV!$C:$AA,14,0)-'TRADE IN'!$F150))</f>
        <v>1199</v>
      </c>
      <c r="Q150" s="46">
        <f>IF(VLOOKUP($C150,REV!$C:$AA,15,0)-'TRADE IN'!$F150=0,"",(VLOOKUP($C150,REV!$C:$AA,15,0)-'TRADE IN'!$F150))</f>
        <v>999</v>
      </c>
      <c r="R150" s="46">
        <f>IF(VLOOKUP($C150,REV!$C:$AA,16,0)-'TRADE IN'!$F150=0,"",(VLOOKUP($C150,REV!$C:$AA,16,0)-'TRADE IN'!$F150))</f>
        <v>1249</v>
      </c>
      <c r="S150" s="46">
        <f>IF(VLOOKUP($C150,REV!$C:$AA,17,0)-'TRADE IN'!$F150=0,"",(VLOOKUP($C150,REV!$C:$AA,17,0)-'TRADE IN'!$F150))</f>
        <v>1199</v>
      </c>
      <c r="T150" s="46">
        <f>IF(VLOOKUP($C150,REV!$C:$AA,18,0)-'TRADE IN'!$F150=0,"",(VLOOKUP($C150,REV!$C:$AA,18,0)-'TRADE IN'!$F150))</f>
        <v>999</v>
      </c>
      <c r="U150" s="46">
        <f>IF(VLOOKUP($C150,REV!$C:$AA,19,0)-'TRADE IN'!$F150=0,"",(VLOOKUP($C150,REV!$C:$AA,19,0)-'TRADE IN'!$F150))</f>
        <v>999</v>
      </c>
      <c r="V150" s="46">
        <f>IF(VLOOKUP($C150,REV!$C:$AA,20,0)-'TRADE IN'!$F150=0,"",(VLOOKUP($C150,REV!$C:$AA,20,0)-'TRADE IN'!$F150))</f>
        <v>999</v>
      </c>
      <c r="W150" s="46">
        <f>IF(VLOOKUP($C150,REV!$C:$AA,21,0)-'TRADE IN'!$F150=0,"",(VLOOKUP($C150,REV!$C:$AA,21,0)-'TRADE IN'!$F150))</f>
        <v>999</v>
      </c>
      <c r="X150" s="46">
        <f>IF(VLOOKUP($C150,REV!$C:$AA,22,0)-'TRADE IN'!$F150=0,"",(VLOOKUP($C150,REV!$C:$AA,22,0)-'TRADE IN'!$F150))</f>
        <v>999</v>
      </c>
      <c r="Y150" s="46">
        <f>IF(VLOOKUP($C150,REV!$C:$AA,23,0)-'TRADE IN'!$F150=0,"",(VLOOKUP($C150,REV!$C:$AA,23,0)-'TRADE IN'!$F150))</f>
        <v>999</v>
      </c>
      <c r="Z150" s="46">
        <f>IF(VLOOKUP($C150,REV!$C:$AA,24,0)-'TRADE IN'!$F150=0,"",(VLOOKUP($C150,REV!$C:$AA,24,0)-'TRADE IN'!$F150))</f>
        <v>999</v>
      </c>
      <c r="AA150" s="46">
        <f>IF(VLOOKUP($C150,REV!$C:$AA,25,0)-'TRADE IN'!$F150=0,"",(VLOOKUP($C150,REV!$C:$AA,25,0)-'TRADE IN'!$F150))</f>
        <v>999</v>
      </c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7"/>
      <c r="AW150" s="48" t="str">
        <f>REV!AW150</f>
        <v>01.12.2026</v>
      </c>
      <c r="AX150" s="153" t="str">
        <f>VLOOKUP(C150,REV!C:AX,48,0)</f>
        <v>5G</v>
      </c>
    </row>
    <row r="151" spans="1:50" ht="22.5" customHeight="1">
      <c r="A151" s="57" t="s">
        <v>247</v>
      </c>
      <c r="B151" s="42" t="s">
        <v>64</v>
      </c>
      <c r="C151" s="43">
        <v>4017770</v>
      </c>
      <c r="D151" s="52" t="s">
        <v>248</v>
      </c>
      <c r="E151" s="44" t="s">
        <v>250</v>
      </c>
      <c r="F151" s="54"/>
      <c r="G151" s="45"/>
      <c r="H151" s="45"/>
      <c r="I151" s="45"/>
      <c r="J151" s="46">
        <f>IF(VLOOKUP($C151,REV!$C:$AA,8,0)-'TRADE IN'!$F151=0,"",(VLOOKUP($C151,REV!$C:$AA,8,0)-'TRADE IN'!$F151))</f>
        <v>1399</v>
      </c>
      <c r="K151" s="46">
        <f>IF(VLOOKUP($C151,REV!$C:$AA,9,0)-'TRADE IN'!$F151=0,"",(VLOOKUP($C151,REV!$C:$AA,9,0)-'TRADE IN'!$F151))</f>
        <v>1299</v>
      </c>
      <c r="L151" s="46">
        <f>IF(VLOOKUP($C151,REV!$C:$AA,10,0)-'TRADE IN'!$F151=0,"",(VLOOKUP($C151,REV!$C:$AA,10,0)-'TRADE IN'!$F151))</f>
        <v>1299</v>
      </c>
      <c r="M151" s="46">
        <f>IF(VLOOKUP($C151,REV!$C:$AA,11,0)-'TRADE IN'!$F151=0,"",(VLOOKUP($C151,REV!$C:$AA,11,0)-'TRADE IN'!$F151))</f>
        <v>1399</v>
      </c>
      <c r="N151" s="46">
        <f>IF(VLOOKUP($C151,REV!$C:$AA,12,0)-'TRADE IN'!$F151=0,"",(VLOOKUP($C151,REV!$C:$AA,12,0)-'TRADE IN'!$F151))</f>
        <v>1299</v>
      </c>
      <c r="O151" s="46">
        <f>IF(VLOOKUP($C151,REV!$C:$AA,13,0)-'TRADE IN'!$F151=0,"",(VLOOKUP($C151,REV!$C:$AA,13,0)-'TRADE IN'!$F151))</f>
        <v>1249</v>
      </c>
      <c r="P151" s="46">
        <f>IF(VLOOKUP($C151,REV!$C:$AA,14,0)-'TRADE IN'!$F151=0,"",(VLOOKUP($C151,REV!$C:$AA,14,0)-'TRADE IN'!$F151))</f>
        <v>1199</v>
      </c>
      <c r="Q151" s="46">
        <f>IF(VLOOKUP($C151,REV!$C:$AA,15,0)-'TRADE IN'!$F151=0,"",(VLOOKUP($C151,REV!$C:$AA,15,0)-'TRADE IN'!$F151))</f>
        <v>999</v>
      </c>
      <c r="R151" s="46">
        <f>IF(VLOOKUP($C151,REV!$C:$AA,16,0)-'TRADE IN'!$F151=0,"",(VLOOKUP($C151,REV!$C:$AA,16,0)-'TRADE IN'!$F151))</f>
        <v>1249</v>
      </c>
      <c r="S151" s="46">
        <f>IF(VLOOKUP($C151,REV!$C:$AA,17,0)-'TRADE IN'!$F151=0,"",(VLOOKUP($C151,REV!$C:$AA,17,0)-'TRADE IN'!$F151))</f>
        <v>1199</v>
      </c>
      <c r="T151" s="46">
        <f>IF(VLOOKUP($C151,REV!$C:$AA,18,0)-'TRADE IN'!$F151=0,"",(VLOOKUP($C151,REV!$C:$AA,18,0)-'TRADE IN'!$F151))</f>
        <v>999</v>
      </c>
      <c r="U151" s="46">
        <f>IF(VLOOKUP($C151,REV!$C:$AA,19,0)-'TRADE IN'!$F151=0,"",(VLOOKUP($C151,REV!$C:$AA,19,0)-'TRADE IN'!$F151))</f>
        <v>999</v>
      </c>
      <c r="V151" s="46">
        <f>IF(VLOOKUP($C151,REV!$C:$AA,20,0)-'TRADE IN'!$F151=0,"",(VLOOKUP($C151,REV!$C:$AA,20,0)-'TRADE IN'!$F151))</f>
        <v>999</v>
      </c>
      <c r="W151" s="46">
        <f>IF(VLOOKUP($C151,REV!$C:$AA,21,0)-'TRADE IN'!$F151=0,"",(VLOOKUP($C151,REV!$C:$AA,21,0)-'TRADE IN'!$F151))</f>
        <v>999</v>
      </c>
      <c r="X151" s="46">
        <f>IF(VLOOKUP($C151,REV!$C:$AA,22,0)-'TRADE IN'!$F151=0,"",(VLOOKUP($C151,REV!$C:$AA,22,0)-'TRADE IN'!$F151))</f>
        <v>999</v>
      </c>
      <c r="Y151" s="46">
        <f>IF(VLOOKUP($C151,REV!$C:$AA,23,0)-'TRADE IN'!$F151=0,"",(VLOOKUP($C151,REV!$C:$AA,23,0)-'TRADE IN'!$F151))</f>
        <v>999</v>
      </c>
      <c r="Z151" s="46">
        <f>IF(VLOOKUP($C151,REV!$C:$AA,24,0)-'TRADE IN'!$F151=0,"",(VLOOKUP($C151,REV!$C:$AA,24,0)-'TRADE IN'!$F151))</f>
        <v>999</v>
      </c>
      <c r="AA151" s="46">
        <f>IF(VLOOKUP($C151,REV!$C:$AA,25,0)-'TRADE IN'!$F151=0,"",(VLOOKUP($C151,REV!$C:$AA,25,0)-'TRADE IN'!$F151))</f>
        <v>999</v>
      </c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7"/>
      <c r="AW151" s="48" t="str">
        <f>REV!AW151</f>
        <v>01.12.2026</v>
      </c>
      <c r="AX151" s="153" t="str">
        <f>VLOOKUP(C151,REV!C:AX,48,0)</f>
        <v>5G</v>
      </c>
    </row>
    <row r="152" spans="1:50" ht="22.5" customHeight="1">
      <c r="A152" s="57" t="s">
        <v>247</v>
      </c>
      <c r="B152" s="42" t="s">
        <v>64</v>
      </c>
      <c r="C152" s="43">
        <v>4018220</v>
      </c>
      <c r="D152" s="44" t="s">
        <v>251</v>
      </c>
      <c r="E152" s="44" t="s">
        <v>252</v>
      </c>
      <c r="F152" s="45"/>
      <c r="G152" s="45"/>
      <c r="H152" s="45"/>
      <c r="I152" s="45"/>
      <c r="J152" s="46">
        <f>IF(VLOOKUP($C152,REV!$C:$AA,8,0)-'TRADE IN'!$F152=0,"",(VLOOKUP($C152,REV!$C:$AA,8,0)-'TRADE IN'!$F152))</f>
        <v>1099</v>
      </c>
      <c r="K152" s="46">
        <f>IF(VLOOKUP($C152,REV!$C:$AA,9,0)-'TRADE IN'!$F152=0,"",(VLOOKUP($C152,REV!$C:$AA,9,0)-'TRADE IN'!$F152))</f>
        <v>999</v>
      </c>
      <c r="L152" s="46">
        <f>IF(VLOOKUP($C152,REV!$C:$AA,10,0)-'TRADE IN'!$F152=0,"",(VLOOKUP($C152,REV!$C:$AA,10,0)-'TRADE IN'!$F152))</f>
        <v>999</v>
      </c>
      <c r="M152" s="46">
        <f>IF(VLOOKUP($C152,REV!$C:$AA,11,0)-'TRADE IN'!$F152=0,"",(VLOOKUP($C152,REV!$C:$AA,11,0)-'TRADE IN'!$F152))</f>
        <v>1099</v>
      </c>
      <c r="N152" s="46">
        <f>IF(VLOOKUP($C152,REV!$C:$AA,12,0)-'TRADE IN'!$F152=0,"",(VLOOKUP($C152,REV!$C:$AA,12,0)-'TRADE IN'!$F152))</f>
        <v>999</v>
      </c>
      <c r="O152" s="46">
        <f>IF(VLOOKUP($C152,REV!$C:$AA,13,0)-'TRADE IN'!$F152=0,"",(VLOOKUP($C152,REV!$C:$AA,13,0)-'TRADE IN'!$F152))</f>
        <v>899</v>
      </c>
      <c r="P152" s="46">
        <f>IF(VLOOKUP($C152,REV!$C:$AA,14,0)-'TRADE IN'!$F152=0,"",(VLOOKUP($C152,REV!$C:$AA,14,0)-'TRADE IN'!$F152))</f>
        <v>799</v>
      </c>
      <c r="Q152" s="46">
        <f>IF(VLOOKUP($C152,REV!$C:$AA,15,0)-'TRADE IN'!$F152=0,"",(VLOOKUP($C152,REV!$C:$AA,15,0)-'TRADE IN'!$F152))</f>
        <v>699</v>
      </c>
      <c r="R152" s="46">
        <f>IF(VLOOKUP($C152,REV!$C:$AA,16,0)-'TRADE IN'!$F152=0,"",(VLOOKUP($C152,REV!$C:$AA,16,0)-'TRADE IN'!$F152))</f>
        <v>899</v>
      </c>
      <c r="S152" s="46">
        <f>IF(VLOOKUP($C152,REV!$C:$AA,17,0)-'TRADE IN'!$F152=0,"",(VLOOKUP($C152,REV!$C:$AA,17,0)-'TRADE IN'!$F152))</f>
        <v>799</v>
      </c>
      <c r="T152" s="46">
        <f>IF(VLOOKUP($C152,REV!$C:$AA,18,0)-'TRADE IN'!$F152=0,"",(VLOOKUP($C152,REV!$C:$AA,18,0)-'TRADE IN'!$F152))</f>
        <v>699</v>
      </c>
      <c r="U152" s="46">
        <f>IF(VLOOKUP($C152,REV!$C:$AA,19,0)-'TRADE IN'!$F152=0,"",(VLOOKUP($C152,REV!$C:$AA,19,0)-'TRADE IN'!$F152))</f>
        <v>699</v>
      </c>
      <c r="V152" s="46">
        <f>IF(VLOOKUP($C152,REV!$C:$AA,20,0)-'TRADE IN'!$F152=0,"",(VLOOKUP($C152,REV!$C:$AA,20,0)-'TRADE IN'!$F152))</f>
        <v>699</v>
      </c>
      <c r="W152" s="46">
        <f>IF(VLOOKUP($C152,REV!$C:$AA,21,0)-'TRADE IN'!$F152=0,"",(VLOOKUP($C152,REV!$C:$AA,21,0)-'TRADE IN'!$F152))</f>
        <v>699</v>
      </c>
      <c r="X152" s="46">
        <f>IF(VLOOKUP($C152,REV!$C:$AA,22,0)-'TRADE IN'!$F152=0,"",(VLOOKUP($C152,REV!$C:$AA,22,0)-'TRADE IN'!$F152))</f>
        <v>649</v>
      </c>
      <c r="Y152" s="46">
        <f>IF(VLOOKUP($C152,REV!$C:$AA,23,0)-'TRADE IN'!$F152=0,"",(VLOOKUP($C152,REV!$C:$AA,23,0)-'TRADE IN'!$F152))</f>
        <v>599</v>
      </c>
      <c r="Z152" s="46">
        <f>IF(VLOOKUP($C152,REV!$C:$AA,24,0)-'TRADE IN'!$F152=0,"",(VLOOKUP($C152,REV!$C:$AA,24,0)-'TRADE IN'!$F152))</f>
        <v>599</v>
      </c>
      <c r="AA152" s="46">
        <f>IF(VLOOKUP($C152,REV!$C:$AA,25,0)-'TRADE IN'!$F152=0,"",(VLOOKUP($C152,REV!$C:$AA,25,0)-'TRADE IN'!$F152))</f>
        <v>599</v>
      </c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7"/>
      <c r="AW152" s="48" t="str">
        <f>REV!AW152</f>
        <v>01.12.2026</v>
      </c>
      <c r="AX152" s="153" t="str">
        <f>VLOOKUP(C152,REV!C:AX,48,0)</f>
        <v>4G</v>
      </c>
    </row>
    <row r="153" spans="1:50" ht="22.5" customHeight="1">
      <c r="A153" s="57" t="s">
        <v>247</v>
      </c>
      <c r="B153" s="42" t="s">
        <v>64</v>
      </c>
      <c r="C153" s="43">
        <v>4018221</v>
      </c>
      <c r="D153" s="44" t="s">
        <v>251</v>
      </c>
      <c r="E153" s="44" t="s">
        <v>254</v>
      </c>
      <c r="F153" s="45"/>
      <c r="G153" s="45"/>
      <c r="H153" s="45"/>
      <c r="I153" s="45"/>
      <c r="J153" s="46">
        <f>IF(VLOOKUP($C153,REV!$C:$AA,8,0)-'TRADE IN'!$F153=0,"",(VLOOKUP($C153,REV!$C:$AA,8,0)-'TRADE IN'!$F153))</f>
        <v>1099</v>
      </c>
      <c r="K153" s="46">
        <f>IF(VLOOKUP($C153,REV!$C:$AA,9,0)-'TRADE IN'!$F153=0,"",(VLOOKUP($C153,REV!$C:$AA,9,0)-'TRADE IN'!$F153))</f>
        <v>999</v>
      </c>
      <c r="L153" s="46">
        <f>IF(VLOOKUP($C153,REV!$C:$AA,10,0)-'TRADE IN'!$F153=0,"",(VLOOKUP($C153,REV!$C:$AA,10,0)-'TRADE IN'!$F153))</f>
        <v>999</v>
      </c>
      <c r="M153" s="46">
        <f>IF(VLOOKUP($C153,REV!$C:$AA,11,0)-'TRADE IN'!$F153=0,"",(VLOOKUP($C153,REV!$C:$AA,11,0)-'TRADE IN'!$F153))</f>
        <v>1099</v>
      </c>
      <c r="N153" s="46">
        <f>IF(VLOOKUP($C153,REV!$C:$AA,12,0)-'TRADE IN'!$F153=0,"",(VLOOKUP($C153,REV!$C:$AA,12,0)-'TRADE IN'!$F153))</f>
        <v>999</v>
      </c>
      <c r="O153" s="46">
        <f>IF(VLOOKUP($C153,REV!$C:$AA,13,0)-'TRADE IN'!$F153=0,"",(VLOOKUP($C153,REV!$C:$AA,13,0)-'TRADE IN'!$F153))</f>
        <v>899</v>
      </c>
      <c r="P153" s="46">
        <f>IF(VLOOKUP($C153,REV!$C:$AA,14,0)-'TRADE IN'!$F153=0,"",(VLOOKUP($C153,REV!$C:$AA,14,0)-'TRADE IN'!$F153))</f>
        <v>799</v>
      </c>
      <c r="Q153" s="46">
        <f>IF(VLOOKUP($C153,REV!$C:$AA,15,0)-'TRADE IN'!$F153=0,"",(VLOOKUP($C153,REV!$C:$AA,15,0)-'TRADE IN'!$F153))</f>
        <v>699</v>
      </c>
      <c r="R153" s="46">
        <f>IF(VLOOKUP($C153,REV!$C:$AA,16,0)-'TRADE IN'!$F153=0,"",(VLOOKUP($C153,REV!$C:$AA,16,0)-'TRADE IN'!$F153))</f>
        <v>899</v>
      </c>
      <c r="S153" s="46">
        <f>IF(VLOOKUP($C153,REV!$C:$AA,17,0)-'TRADE IN'!$F153=0,"",(VLOOKUP($C153,REV!$C:$AA,17,0)-'TRADE IN'!$F153))</f>
        <v>799</v>
      </c>
      <c r="T153" s="46">
        <f>IF(VLOOKUP($C153,REV!$C:$AA,18,0)-'TRADE IN'!$F153=0,"",(VLOOKUP($C153,REV!$C:$AA,18,0)-'TRADE IN'!$F153))</f>
        <v>699</v>
      </c>
      <c r="U153" s="46">
        <f>IF(VLOOKUP($C153,REV!$C:$AA,19,0)-'TRADE IN'!$F153=0,"",(VLOOKUP($C153,REV!$C:$AA,19,0)-'TRADE IN'!$F153))</f>
        <v>699</v>
      </c>
      <c r="V153" s="46">
        <f>IF(VLOOKUP($C153,REV!$C:$AA,20,0)-'TRADE IN'!$F153=0,"",(VLOOKUP($C153,REV!$C:$AA,20,0)-'TRADE IN'!$F153))</f>
        <v>699</v>
      </c>
      <c r="W153" s="46">
        <f>IF(VLOOKUP($C153,REV!$C:$AA,21,0)-'TRADE IN'!$F153=0,"",(VLOOKUP($C153,REV!$C:$AA,21,0)-'TRADE IN'!$F153))</f>
        <v>699</v>
      </c>
      <c r="X153" s="46">
        <f>IF(VLOOKUP($C153,REV!$C:$AA,22,0)-'TRADE IN'!$F153=0,"",(VLOOKUP($C153,REV!$C:$AA,22,0)-'TRADE IN'!$F153))</f>
        <v>649</v>
      </c>
      <c r="Y153" s="46">
        <f>IF(VLOOKUP($C153,REV!$C:$AA,23,0)-'TRADE IN'!$F153=0,"",(VLOOKUP($C153,REV!$C:$AA,23,0)-'TRADE IN'!$F153))</f>
        <v>599</v>
      </c>
      <c r="Z153" s="46">
        <f>IF(VLOOKUP($C153,REV!$C:$AA,24,0)-'TRADE IN'!$F153=0,"",(VLOOKUP($C153,REV!$C:$AA,24,0)-'TRADE IN'!$F153))</f>
        <v>599</v>
      </c>
      <c r="AA153" s="46">
        <f>IF(VLOOKUP($C153,REV!$C:$AA,25,0)-'TRADE IN'!$F153=0,"",(VLOOKUP($C153,REV!$C:$AA,25,0)-'TRADE IN'!$F153))</f>
        <v>599</v>
      </c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7"/>
      <c r="AW153" s="48" t="str">
        <f>REV!AW153</f>
        <v>01.12.2026</v>
      </c>
      <c r="AX153" s="153" t="str">
        <f>VLOOKUP(C153,REV!C:AX,48,0)</f>
        <v>4G</v>
      </c>
    </row>
    <row r="154" spans="1:50" ht="22.5" customHeight="1">
      <c r="A154" s="57" t="s">
        <v>247</v>
      </c>
      <c r="B154" s="42" t="s">
        <v>64</v>
      </c>
      <c r="C154" s="43">
        <v>4017200</v>
      </c>
      <c r="D154" s="44" t="s">
        <v>255</v>
      </c>
      <c r="E154" s="44" t="s">
        <v>256</v>
      </c>
      <c r="F154" s="45"/>
      <c r="G154" s="45"/>
      <c r="H154" s="45"/>
      <c r="I154" s="45"/>
      <c r="J154" s="46">
        <f>IF(VLOOKUP($C154,REV!$C:$AA,8,0)-'TRADE IN'!$F154=0,"",(VLOOKUP($C154,REV!$C:$AA,8,0)-'TRADE IN'!$F154))</f>
        <v>1299</v>
      </c>
      <c r="K154" s="46">
        <f>IF(VLOOKUP($C154,REV!$C:$AA,9,0)-'TRADE IN'!$F154=0,"",(VLOOKUP($C154,REV!$C:$AA,9,0)-'TRADE IN'!$F154))</f>
        <v>999</v>
      </c>
      <c r="L154" s="46">
        <f>IF(VLOOKUP($C154,REV!$C:$AA,10,0)-'TRADE IN'!$F154=0,"",(VLOOKUP($C154,REV!$C:$AA,10,0)-'TRADE IN'!$F154))</f>
        <v>999</v>
      </c>
      <c r="M154" s="46">
        <f>IF(VLOOKUP($C154,REV!$C:$AA,11,0)-'TRADE IN'!$F154=0,"",(VLOOKUP($C154,REV!$C:$AA,11,0)-'TRADE IN'!$F154))</f>
        <v>1299</v>
      </c>
      <c r="N154" s="46">
        <f>IF(VLOOKUP($C154,REV!$C:$AA,12,0)-'TRADE IN'!$F154=0,"",(VLOOKUP($C154,REV!$C:$AA,12,0)-'TRADE IN'!$F154))</f>
        <v>999</v>
      </c>
      <c r="O154" s="46">
        <f>IF(VLOOKUP($C154,REV!$C:$AA,13,0)-'TRADE IN'!$F154=0,"",(VLOOKUP($C154,REV!$C:$AA,13,0)-'TRADE IN'!$F154))</f>
        <v>999</v>
      </c>
      <c r="P154" s="46">
        <f>IF(VLOOKUP($C154,REV!$C:$AA,14,0)-'TRADE IN'!$F154=0,"",(VLOOKUP($C154,REV!$C:$AA,14,0)-'TRADE IN'!$F154))</f>
        <v>999</v>
      </c>
      <c r="Q154" s="46">
        <f>IF(VLOOKUP($C154,REV!$C:$AA,15,0)-'TRADE IN'!$F154=0,"",(VLOOKUP($C154,REV!$C:$AA,15,0)-'TRADE IN'!$F154))</f>
        <v>899</v>
      </c>
      <c r="R154" s="46">
        <f>IF(VLOOKUP($C154,REV!$C:$AA,16,0)-'TRADE IN'!$F154=0,"",(VLOOKUP($C154,REV!$C:$AA,16,0)-'TRADE IN'!$F154))</f>
        <v>999</v>
      </c>
      <c r="S154" s="46">
        <f>IF(VLOOKUP($C154,REV!$C:$AA,17,0)-'TRADE IN'!$F154=0,"",(VLOOKUP($C154,REV!$C:$AA,17,0)-'TRADE IN'!$F154))</f>
        <v>999</v>
      </c>
      <c r="T154" s="46">
        <f>IF(VLOOKUP($C154,REV!$C:$AA,18,0)-'TRADE IN'!$F154=0,"",(VLOOKUP($C154,REV!$C:$AA,18,0)-'TRADE IN'!$F154))</f>
        <v>899</v>
      </c>
      <c r="U154" s="46">
        <f>IF(VLOOKUP($C154,REV!$C:$AA,19,0)-'TRADE IN'!$F154=0,"",(VLOOKUP($C154,REV!$C:$AA,19,0)-'TRADE IN'!$F154))</f>
        <v>899</v>
      </c>
      <c r="V154" s="46">
        <f>IF(VLOOKUP($C154,REV!$C:$AA,20,0)-'TRADE IN'!$F154=0,"",(VLOOKUP($C154,REV!$C:$AA,20,0)-'TRADE IN'!$F154))</f>
        <v>899</v>
      </c>
      <c r="W154" s="46">
        <f>IF(VLOOKUP($C154,REV!$C:$AA,21,0)-'TRADE IN'!$F154=0,"",(VLOOKUP($C154,REV!$C:$AA,21,0)-'TRADE IN'!$F154))</f>
        <v>899</v>
      </c>
      <c r="X154" s="46">
        <f>IF(VLOOKUP($C154,REV!$C:$AA,22,0)-'TRADE IN'!$F154=0,"",(VLOOKUP($C154,REV!$C:$AA,22,0)-'TRADE IN'!$F154))</f>
        <v>899</v>
      </c>
      <c r="Y154" s="46">
        <f>IF(VLOOKUP($C154,REV!$C:$AA,23,0)-'TRADE IN'!$F154=0,"",(VLOOKUP($C154,REV!$C:$AA,23,0)-'TRADE IN'!$F154))</f>
        <v>899</v>
      </c>
      <c r="Z154" s="46">
        <f>IF(VLOOKUP($C154,REV!$C:$AA,24,0)-'TRADE IN'!$F154=0,"",(VLOOKUP($C154,REV!$C:$AA,24,0)-'TRADE IN'!$F154))</f>
        <v>899</v>
      </c>
      <c r="AA154" s="46">
        <f>IF(VLOOKUP($C154,REV!$C:$AA,25,0)-'TRADE IN'!$F154=0,"",(VLOOKUP($C154,REV!$C:$AA,25,0)-'TRADE IN'!$F154))</f>
        <v>899</v>
      </c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7"/>
      <c r="AW154" s="48" t="str">
        <f>REV!AW154</f>
        <v>01.12.2026</v>
      </c>
      <c r="AX154" s="153" t="str">
        <f>VLOOKUP(C154,REV!C:AX,48,0)</f>
        <v>5G</v>
      </c>
    </row>
    <row r="155" spans="1:50" ht="22.5" customHeight="1">
      <c r="A155" s="57" t="s">
        <v>247</v>
      </c>
      <c r="B155" s="42" t="s">
        <v>64</v>
      </c>
      <c r="C155" s="43">
        <v>4018137</v>
      </c>
      <c r="D155" s="44" t="s">
        <v>257</v>
      </c>
      <c r="E155" s="44" t="s">
        <v>258</v>
      </c>
      <c r="F155" s="45"/>
      <c r="G155" s="45"/>
      <c r="H155" s="45"/>
      <c r="I155" s="45"/>
      <c r="J155" s="46">
        <f>IF(VLOOKUP($C155,REV!$C:$AA,8,0)-'TRADE IN'!$F155=0,"",(VLOOKUP($C155,REV!$C:$AA,8,0)-'TRADE IN'!$F155))</f>
        <v>1799</v>
      </c>
      <c r="K155" s="46">
        <f>IF(VLOOKUP($C155,REV!$C:$AA,9,0)-'TRADE IN'!$F155=0,"",(VLOOKUP($C155,REV!$C:$AA,9,0)-'TRADE IN'!$F155))</f>
        <v>1799</v>
      </c>
      <c r="L155" s="46">
        <f>IF(VLOOKUP($C155,REV!$C:$AA,10,0)-'TRADE IN'!$F155=0,"",(VLOOKUP($C155,REV!$C:$AA,10,0)-'TRADE IN'!$F155))</f>
        <v>1799</v>
      </c>
      <c r="M155" s="46">
        <f>IF(VLOOKUP($C155,REV!$C:$AA,11,0)-'TRADE IN'!$F155=0,"",(VLOOKUP($C155,REV!$C:$AA,11,0)-'TRADE IN'!$F155))</f>
        <v>1799</v>
      </c>
      <c r="N155" s="46">
        <f>IF(VLOOKUP($C155,REV!$C:$AA,12,0)-'TRADE IN'!$F155=0,"",(VLOOKUP($C155,REV!$C:$AA,12,0)-'TRADE IN'!$F155))</f>
        <v>1799</v>
      </c>
      <c r="O155" s="46">
        <f>IF(VLOOKUP($C155,REV!$C:$AA,13,0)-'TRADE IN'!$F155=0,"",(VLOOKUP($C155,REV!$C:$AA,13,0)-'TRADE IN'!$F155))</f>
        <v>1699</v>
      </c>
      <c r="P155" s="46">
        <f>IF(VLOOKUP($C155,REV!$C:$AA,14,0)-'TRADE IN'!$F155=0,"",(VLOOKUP($C155,REV!$C:$AA,14,0)-'TRADE IN'!$F155))</f>
        <v>1599</v>
      </c>
      <c r="Q155" s="46">
        <f>IF(VLOOKUP($C155,REV!$C:$AA,15,0)-'TRADE IN'!$F155=0,"",(VLOOKUP($C155,REV!$C:$AA,15,0)-'TRADE IN'!$F155))</f>
        <v>1399</v>
      </c>
      <c r="R155" s="46">
        <f>IF(VLOOKUP($C155,REV!$C:$AA,16,0)-'TRADE IN'!$F155=0,"",(VLOOKUP($C155,REV!$C:$AA,16,0)-'TRADE IN'!$F155))</f>
        <v>1699</v>
      </c>
      <c r="S155" s="46">
        <f>IF(VLOOKUP($C155,REV!$C:$AA,17,0)-'TRADE IN'!$F155=0,"",(VLOOKUP($C155,REV!$C:$AA,17,0)-'TRADE IN'!$F155))</f>
        <v>1599</v>
      </c>
      <c r="T155" s="46">
        <f>IF(VLOOKUP($C155,REV!$C:$AA,18,0)-'TRADE IN'!$F155=0,"",(VLOOKUP($C155,REV!$C:$AA,18,0)-'TRADE IN'!$F155))</f>
        <v>1399</v>
      </c>
      <c r="U155" s="46">
        <f>IF(VLOOKUP($C155,REV!$C:$AA,19,0)-'TRADE IN'!$F155=0,"",(VLOOKUP($C155,REV!$C:$AA,19,0)-'TRADE IN'!$F155))</f>
        <v>1399</v>
      </c>
      <c r="V155" s="46">
        <f>IF(VLOOKUP($C155,REV!$C:$AA,20,0)-'TRADE IN'!$F155=0,"",(VLOOKUP($C155,REV!$C:$AA,20,0)-'TRADE IN'!$F155))</f>
        <v>1399</v>
      </c>
      <c r="W155" s="46">
        <f>IF(VLOOKUP($C155,REV!$C:$AA,21,0)-'TRADE IN'!$F155=0,"",(VLOOKUP($C155,REV!$C:$AA,21,0)-'TRADE IN'!$F155))</f>
        <v>1399</v>
      </c>
      <c r="X155" s="46">
        <f>IF(VLOOKUP($C155,REV!$C:$AA,22,0)-'TRADE IN'!$F155=0,"",(VLOOKUP($C155,REV!$C:$AA,22,0)-'TRADE IN'!$F155))</f>
        <v>1299</v>
      </c>
      <c r="Y155" s="46">
        <f>IF(VLOOKUP($C155,REV!$C:$AA,23,0)-'TRADE IN'!$F155=0,"",(VLOOKUP($C155,REV!$C:$AA,23,0)-'TRADE IN'!$F155))</f>
        <v>1199</v>
      </c>
      <c r="Z155" s="46">
        <f>IF(VLOOKUP($C155,REV!$C:$AA,24,0)-'TRADE IN'!$F155=0,"",(VLOOKUP($C155,REV!$C:$AA,24,0)-'TRADE IN'!$F155))</f>
        <v>1199</v>
      </c>
      <c r="AA155" s="46">
        <f>IF(VLOOKUP($C155,REV!$C:$AA,25,0)-'TRADE IN'!$F155=0,"",(VLOOKUP($C155,REV!$C:$AA,25,0)-'TRADE IN'!$F155))</f>
        <v>1199</v>
      </c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7"/>
      <c r="AW155" s="48" t="str">
        <f>REV!AW155</f>
        <v>01.12.2026</v>
      </c>
      <c r="AX155" s="153" t="str">
        <f>VLOOKUP(C155,REV!C:AX,48,0)</f>
        <v>4G</v>
      </c>
    </row>
    <row r="156" spans="1:50" ht="22.5" customHeight="1">
      <c r="A156" s="57" t="s">
        <v>247</v>
      </c>
      <c r="B156" s="42" t="s">
        <v>64</v>
      </c>
      <c r="C156" s="43">
        <v>4018139</v>
      </c>
      <c r="D156" s="44" t="s">
        <v>257</v>
      </c>
      <c r="E156" s="44" t="s">
        <v>259</v>
      </c>
      <c r="F156" s="45"/>
      <c r="G156" s="45"/>
      <c r="H156" s="45"/>
      <c r="I156" s="45"/>
      <c r="J156" s="46">
        <f>IF(VLOOKUP($C156,REV!$C:$AA,8,0)-'TRADE IN'!$F156=0,"",(VLOOKUP($C156,REV!$C:$AA,8,0)-'TRADE IN'!$F156))</f>
        <v>1799</v>
      </c>
      <c r="K156" s="46">
        <f>IF(VLOOKUP($C156,REV!$C:$AA,9,0)-'TRADE IN'!$F156=0,"",(VLOOKUP($C156,REV!$C:$AA,9,0)-'TRADE IN'!$F156))</f>
        <v>1799</v>
      </c>
      <c r="L156" s="46">
        <f>IF(VLOOKUP($C156,REV!$C:$AA,10,0)-'TRADE IN'!$F156=0,"",(VLOOKUP($C156,REV!$C:$AA,10,0)-'TRADE IN'!$F156))</f>
        <v>1799</v>
      </c>
      <c r="M156" s="46">
        <f>IF(VLOOKUP($C156,REV!$C:$AA,11,0)-'TRADE IN'!$F156=0,"",(VLOOKUP($C156,REV!$C:$AA,11,0)-'TRADE IN'!$F156))</f>
        <v>1799</v>
      </c>
      <c r="N156" s="46">
        <f>IF(VLOOKUP($C156,REV!$C:$AA,12,0)-'TRADE IN'!$F156=0,"",(VLOOKUP($C156,REV!$C:$AA,12,0)-'TRADE IN'!$F156))</f>
        <v>1799</v>
      </c>
      <c r="O156" s="46">
        <f>IF(VLOOKUP($C156,REV!$C:$AA,13,0)-'TRADE IN'!$F156=0,"",(VLOOKUP($C156,REV!$C:$AA,13,0)-'TRADE IN'!$F156))</f>
        <v>1699</v>
      </c>
      <c r="P156" s="46">
        <f>IF(VLOOKUP($C156,REV!$C:$AA,14,0)-'TRADE IN'!$F156=0,"",(VLOOKUP($C156,REV!$C:$AA,14,0)-'TRADE IN'!$F156))</f>
        <v>1599</v>
      </c>
      <c r="Q156" s="46">
        <f>IF(VLOOKUP($C156,REV!$C:$AA,15,0)-'TRADE IN'!$F156=0,"",(VLOOKUP($C156,REV!$C:$AA,15,0)-'TRADE IN'!$F156))</f>
        <v>1399</v>
      </c>
      <c r="R156" s="46">
        <f>IF(VLOOKUP($C156,REV!$C:$AA,16,0)-'TRADE IN'!$F156=0,"",(VLOOKUP($C156,REV!$C:$AA,16,0)-'TRADE IN'!$F156))</f>
        <v>1699</v>
      </c>
      <c r="S156" s="46">
        <f>IF(VLOOKUP($C156,REV!$C:$AA,17,0)-'TRADE IN'!$F156=0,"",(VLOOKUP($C156,REV!$C:$AA,17,0)-'TRADE IN'!$F156))</f>
        <v>1599</v>
      </c>
      <c r="T156" s="46">
        <f>IF(VLOOKUP($C156,REV!$C:$AA,18,0)-'TRADE IN'!$F156=0,"",(VLOOKUP($C156,REV!$C:$AA,18,0)-'TRADE IN'!$F156))</f>
        <v>1399</v>
      </c>
      <c r="U156" s="46">
        <f>IF(VLOOKUP($C156,REV!$C:$AA,19,0)-'TRADE IN'!$F156=0,"",(VLOOKUP($C156,REV!$C:$AA,19,0)-'TRADE IN'!$F156))</f>
        <v>1399</v>
      </c>
      <c r="V156" s="46">
        <f>IF(VLOOKUP($C156,REV!$C:$AA,20,0)-'TRADE IN'!$F156=0,"",(VLOOKUP($C156,REV!$C:$AA,20,0)-'TRADE IN'!$F156))</f>
        <v>1399</v>
      </c>
      <c r="W156" s="46">
        <f>IF(VLOOKUP($C156,REV!$C:$AA,21,0)-'TRADE IN'!$F156=0,"",(VLOOKUP($C156,REV!$C:$AA,21,0)-'TRADE IN'!$F156))</f>
        <v>1399</v>
      </c>
      <c r="X156" s="46">
        <f>IF(VLOOKUP($C156,REV!$C:$AA,22,0)-'TRADE IN'!$F156=0,"",(VLOOKUP($C156,REV!$C:$AA,22,0)-'TRADE IN'!$F156))</f>
        <v>1299</v>
      </c>
      <c r="Y156" s="46">
        <f>IF(VLOOKUP($C156,REV!$C:$AA,23,0)-'TRADE IN'!$F156=0,"",(VLOOKUP($C156,REV!$C:$AA,23,0)-'TRADE IN'!$F156))</f>
        <v>1199</v>
      </c>
      <c r="Z156" s="46">
        <f>IF(VLOOKUP($C156,REV!$C:$AA,24,0)-'TRADE IN'!$F156=0,"",(VLOOKUP($C156,REV!$C:$AA,24,0)-'TRADE IN'!$F156))</f>
        <v>1199</v>
      </c>
      <c r="AA156" s="46">
        <f>IF(VLOOKUP($C156,REV!$C:$AA,25,0)-'TRADE IN'!$F156=0,"",(VLOOKUP($C156,REV!$C:$AA,25,0)-'TRADE IN'!$F156))</f>
        <v>1199</v>
      </c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7"/>
      <c r="AW156" s="48" t="str">
        <f>REV!AW156</f>
        <v>01.12.2026</v>
      </c>
      <c r="AX156" s="153" t="str">
        <f>VLOOKUP(C156,REV!C:AX,48,0)</f>
        <v>4G</v>
      </c>
    </row>
    <row r="157" spans="1:50" ht="22.5" customHeight="1">
      <c r="A157" s="41" t="s">
        <v>63</v>
      </c>
      <c r="B157" s="42" t="s">
        <v>64</v>
      </c>
      <c r="C157" s="43">
        <v>4018015</v>
      </c>
      <c r="D157" s="52" t="s">
        <v>260</v>
      </c>
      <c r="E157" s="44" t="s">
        <v>261</v>
      </c>
      <c r="F157" s="54">
        <v>900</v>
      </c>
      <c r="G157" s="45"/>
      <c r="H157" s="45"/>
      <c r="I157" s="45"/>
      <c r="J157" s="46">
        <f>IF(VLOOKUP($C157,REV!$C:$AA,8,0)-'TRADE IN'!$F157=0,"",(VLOOKUP($C157,REV!$C:$AA,8,0)-'TRADE IN'!$F157))</f>
        <v>3999</v>
      </c>
      <c r="K157" s="46">
        <f>IF(VLOOKUP($C157,REV!$C:$AA,9,0)-'TRADE IN'!$F157=0,"",(VLOOKUP($C157,REV!$C:$AA,9,0)-'TRADE IN'!$F157))</f>
        <v>3999</v>
      </c>
      <c r="L157" s="46">
        <f>IF(VLOOKUP($C157,REV!$C:$AA,10,0)-'TRADE IN'!$F157=0,"",(VLOOKUP($C157,REV!$C:$AA,10,0)-'TRADE IN'!$F157))</f>
        <v>3999</v>
      </c>
      <c r="M157" s="46">
        <f>IF(VLOOKUP($C157,REV!$C:$AA,11,0)-'TRADE IN'!$F157=0,"",(VLOOKUP($C157,REV!$C:$AA,11,0)-'TRADE IN'!$F157))</f>
        <v>3999</v>
      </c>
      <c r="N157" s="46">
        <f>IF(VLOOKUP($C157,REV!$C:$AA,12,0)-'TRADE IN'!$F157=0,"",(VLOOKUP($C157,REV!$C:$AA,12,0)-'TRADE IN'!$F157))</f>
        <v>3999</v>
      </c>
      <c r="O157" s="46">
        <f>IF(VLOOKUP($C157,REV!$C:$AA,13,0)-'TRADE IN'!$F157=0,"",(VLOOKUP($C157,REV!$C:$AA,13,0)-'TRADE IN'!$F157))</f>
        <v>3899</v>
      </c>
      <c r="P157" s="46">
        <f>IF(VLOOKUP($C157,REV!$C:$AA,14,0)-'TRADE IN'!$F157=0,"",(VLOOKUP($C157,REV!$C:$AA,14,0)-'TRADE IN'!$F157))</f>
        <v>3799</v>
      </c>
      <c r="Q157" s="46">
        <f>IF(VLOOKUP($C157,REV!$C:$AA,15,0)-'TRADE IN'!$F157=0,"",(VLOOKUP($C157,REV!$C:$AA,15,0)-'TRADE IN'!$F157))</f>
        <v>3599</v>
      </c>
      <c r="R157" s="46">
        <f>IF(VLOOKUP($C157,REV!$C:$AA,16,0)-'TRADE IN'!$F157=0,"",(VLOOKUP($C157,REV!$C:$AA,16,0)-'TRADE IN'!$F157))</f>
        <v>3899</v>
      </c>
      <c r="S157" s="46">
        <f>IF(VLOOKUP($C157,REV!$C:$AA,17,0)-'TRADE IN'!$F157=0,"",(VLOOKUP($C157,REV!$C:$AA,17,0)-'TRADE IN'!$F157))</f>
        <v>3799</v>
      </c>
      <c r="T157" s="46">
        <f>IF(VLOOKUP($C157,REV!$C:$AA,18,0)-'TRADE IN'!$F157=0,"",(VLOOKUP($C157,REV!$C:$AA,18,0)-'TRADE IN'!$F157))</f>
        <v>3599</v>
      </c>
      <c r="U157" s="46">
        <f>IF(VLOOKUP($C157,REV!$C:$AA,19,0)-'TRADE IN'!$F157=0,"",(VLOOKUP($C157,REV!$C:$AA,19,0)-'TRADE IN'!$F157))</f>
        <v>3599</v>
      </c>
      <c r="V157" s="46">
        <f>IF(VLOOKUP($C157,REV!$C:$AA,20,0)-'TRADE IN'!$F157=0,"",(VLOOKUP($C157,REV!$C:$AA,20,0)-'TRADE IN'!$F157))</f>
        <v>3599</v>
      </c>
      <c r="W157" s="46">
        <f>IF(VLOOKUP($C157,REV!$C:$AA,21,0)-'TRADE IN'!$F157=0,"",(VLOOKUP($C157,REV!$C:$AA,21,0)-'TRADE IN'!$F157))</f>
        <v>3599</v>
      </c>
      <c r="X157" s="46">
        <f>IF(VLOOKUP($C157,REV!$C:$AA,22,0)-'TRADE IN'!$F157=0,"",(VLOOKUP($C157,REV!$C:$AA,22,0)-'TRADE IN'!$F157))</f>
        <v>3499</v>
      </c>
      <c r="Y157" s="46">
        <f>IF(VLOOKUP($C157,REV!$C:$AA,23,0)-'TRADE IN'!$F157=0,"",(VLOOKUP($C157,REV!$C:$AA,23,0)-'TRADE IN'!$F157))</f>
        <v>3099</v>
      </c>
      <c r="Z157" s="46">
        <f>IF(VLOOKUP($C157,REV!$C:$AA,24,0)-'TRADE IN'!$F157=0,"",(VLOOKUP($C157,REV!$C:$AA,24,0)-'TRADE IN'!$F157))</f>
        <v>3099</v>
      </c>
      <c r="AA157" s="46">
        <f>IF(VLOOKUP($C157,REV!$C:$AA,25,0)-'TRADE IN'!$F157=0,"",(VLOOKUP($C157,REV!$C:$AA,25,0)-'TRADE IN'!$F157))</f>
        <v>2899</v>
      </c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7"/>
      <c r="AW157" s="48" t="str">
        <f>REV!AW157</f>
        <v>01.12.2026</v>
      </c>
      <c r="AX157" s="153" t="str">
        <f>VLOOKUP(C157,REV!C:AX,48,0)</f>
        <v>5G</v>
      </c>
    </row>
    <row r="158" spans="1:50" ht="22.5" customHeight="1">
      <c r="A158" s="41" t="s">
        <v>63</v>
      </c>
      <c r="B158" s="42" t="s">
        <v>64</v>
      </c>
      <c r="C158" s="43">
        <v>4018017</v>
      </c>
      <c r="D158" s="52" t="s">
        <v>260</v>
      </c>
      <c r="E158" s="44" t="s">
        <v>262</v>
      </c>
      <c r="F158" s="54">
        <v>900</v>
      </c>
      <c r="G158" s="45"/>
      <c r="H158" s="45"/>
      <c r="I158" s="45"/>
      <c r="J158" s="46">
        <f>IF(VLOOKUP($C158,REV!$C:$AA,8,0)-'TRADE IN'!$F158=0,"",(VLOOKUP($C158,REV!$C:$AA,8,0)-'TRADE IN'!$F158))</f>
        <v>3999</v>
      </c>
      <c r="K158" s="46">
        <f>IF(VLOOKUP($C158,REV!$C:$AA,9,0)-'TRADE IN'!$F158=0,"",(VLOOKUP($C158,REV!$C:$AA,9,0)-'TRADE IN'!$F158))</f>
        <v>3999</v>
      </c>
      <c r="L158" s="46">
        <f>IF(VLOOKUP($C158,REV!$C:$AA,10,0)-'TRADE IN'!$F158=0,"",(VLOOKUP($C158,REV!$C:$AA,10,0)-'TRADE IN'!$F158))</f>
        <v>3999</v>
      </c>
      <c r="M158" s="46">
        <f>IF(VLOOKUP($C158,REV!$C:$AA,11,0)-'TRADE IN'!$F158=0,"",(VLOOKUP($C158,REV!$C:$AA,11,0)-'TRADE IN'!$F158))</f>
        <v>3999</v>
      </c>
      <c r="N158" s="46">
        <f>IF(VLOOKUP($C158,REV!$C:$AA,12,0)-'TRADE IN'!$F158=0,"",(VLOOKUP($C158,REV!$C:$AA,12,0)-'TRADE IN'!$F158))</f>
        <v>3999</v>
      </c>
      <c r="O158" s="46">
        <f>IF(VLOOKUP($C158,REV!$C:$AA,13,0)-'TRADE IN'!$F158=0,"",(VLOOKUP($C158,REV!$C:$AA,13,0)-'TRADE IN'!$F158))</f>
        <v>3899</v>
      </c>
      <c r="P158" s="46">
        <f>IF(VLOOKUP($C158,REV!$C:$AA,14,0)-'TRADE IN'!$F158=0,"",(VLOOKUP($C158,REV!$C:$AA,14,0)-'TRADE IN'!$F158))</f>
        <v>3799</v>
      </c>
      <c r="Q158" s="46">
        <f>IF(VLOOKUP($C158,REV!$C:$AA,15,0)-'TRADE IN'!$F158=0,"",(VLOOKUP($C158,REV!$C:$AA,15,0)-'TRADE IN'!$F158))</f>
        <v>3599</v>
      </c>
      <c r="R158" s="46">
        <f>IF(VLOOKUP($C158,REV!$C:$AA,16,0)-'TRADE IN'!$F158=0,"",(VLOOKUP($C158,REV!$C:$AA,16,0)-'TRADE IN'!$F158))</f>
        <v>3899</v>
      </c>
      <c r="S158" s="46">
        <f>IF(VLOOKUP($C158,REV!$C:$AA,17,0)-'TRADE IN'!$F158=0,"",(VLOOKUP($C158,REV!$C:$AA,17,0)-'TRADE IN'!$F158))</f>
        <v>3799</v>
      </c>
      <c r="T158" s="46">
        <f>IF(VLOOKUP($C158,REV!$C:$AA,18,0)-'TRADE IN'!$F158=0,"",(VLOOKUP($C158,REV!$C:$AA,18,0)-'TRADE IN'!$F158))</f>
        <v>3599</v>
      </c>
      <c r="U158" s="46">
        <f>IF(VLOOKUP($C158,REV!$C:$AA,19,0)-'TRADE IN'!$F158=0,"",(VLOOKUP($C158,REV!$C:$AA,19,0)-'TRADE IN'!$F158))</f>
        <v>3599</v>
      </c>
      <c r="V158" s="46">
        <f>IF(VLOOKUP($C158,REV!$C:$AA,20,0)-'TRADE IN'!$F158=0,"",(VLOOKUP($C158,REV!$C:$AA,20,0)-'TRADE IN'!$F158))</f>
        <v>3599</v>
      </c>
      <c r="W158" s="46">
        <f>IF(VLOOKUP($C158,REV!$C:$AA,21,0)-'TRADE IN'!$F158=0,"",(VLOOKUP($C158,REV!$C:$AA,21,0)-'TRADE IN'!$F158))</f>
        <v>3599</v>
      </c>
      <c r="X158" s="46">
        <f>IF(VLOOKUP($C158,REV!$C:$AA,22,0)-'TRADE IN'!$F158=0,"",(VLOOKUP($C158,REV!$C:$AA,22,0)-'TRADE IN'!$F158))</f>
        <v>3499</v>
      </c>
      <c r="Y158" s="46">
        <f>IF(VLOOKUP($C158,REV!$C:$AA,23,0)-'TRADE IN'!$F158=0,"",(VLOOKUP($C158,REV!$C:$AA,23,0)-'TRADE IN'!$F158))</f>
        <v>3099</v>
      </c>
      <c r="Z158" s="46">
        <f>IF(VLOOKUP($C158,REV!$C:$AA,24,0)-'TRADE IN'!$F158=0,"",(VLOOKUP($C158,REV!$C:$AA,24,0)-'TRADE IN'!$F158))</f>
        <v>3099</v>
      </c>
      <c r="AA158" s="46">
        <f>IF(VLOOKUP($C158,REV!$C:$AA,25,0)-'TRADE IN'!$F158=0,"",(VLOOKUP($C158,REV!$C:$AA,25,0)-'TRADE IN'!$F158))</f>
        <v>2899</v>
      </c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7"/>
      <c r="AW158" s="48" t="str">
        <f>REV!AW158</f>
        <v>01.12.2026</v>
      </c>
      <c r="AX158" s="153" t="str">
        <f>VLOOKUP(C158,REV!C:AX,48,0)</f>
        <v>5G</v>
      </c>
    </row>
    <row r="159" spans="1:50" ht="22.5" customHeight="1">
      <c r="A159" s="41" t="s">
        <v>63</v>
      </c>
      <c r="B159" s="42" t="s">
        <v>64</v>
      </c>
      <c r="C159" s="43">
        <v>4018013</v>
      </c>
      <c r="D159" s="52" t="s">
        <v>263</v>
      </c>
      <c r="E159" s="44" t="s">
        <v>264</v>
      </c>
      <c r="F159" s="54">
        <v>2000</v>
      </c>
      <c r="G159" s="45"/>
      <c r="H159" s="45"/>
      <c r="I159" s="45"/>
      <c r="J159" s="46">
        <f>IF(VLOOKUP($C159,REV!$C:$AA,8,0)-'TRADE IN'!$F159=0,"",(VLOOKUP($C159,REV!$C:$AA,8,0)-'TRADE IN'!$F159))</f>
        <v>12799</v>
      </c>
      <c r="K159" s="46">
        <f>IF(VLOOKUP($C159,REV!$C:$AA,9,0)-'TRADE IN'!$F159=0,"",(VLOOKUP($C159,REV!$C:$AA,9,0)-'TRADE IN'!$F159))</f>
        <v>12799</v>
      </c>
      <c r="L159" s="46">
        <f>IF(VLOOKUP($C159,REV!$C:$AA,10,0)-'TRADE IN'!$F159=0,"",(VLOOKUP($C159,REV!$C:$AA,10,0)-'TRADE IN'!$F159))</f>
        <v>12799</v>
      </c>
      <c r="M159" s="46">
        <f>IF(VLOOKUP($C159,REV!$C:$AA,11,0)-'TRADE IN'!$F159=0,"",(VLOOKUP($C159,REV!$C:$AA,11,0)-'TRADE IN'!$F159))</f>
        <v>12799</v>
      </c>
      <c r="N159" s="46">
        <f>IF(VLOOKUP($C159,REV!$C:$AA,12,0)-'TRADE IN'!$F159=0,"",(VLOOKUP($C159,REV!$C:$AA,12,0)-'TRADE IN'!$F159))</f>
        <v>12799</v>
      </c>
      <c r="O159" s="46">
        <f>IF(VLOOKUP($C159,REV!$C:$AA,13,0)-'TRADE IN'!$F159=0,"",(VLOOKUP($C159,REV!$C:$AA,13,0)-'TRADE IN'!$F159))</f>
        <v>12599</v>
      </c>
      <c r="P159" s="46">
        <f>IF(VLOOKUP($C159,REV!$C:$AA,14,0)-'TRADE IN'!$F159=0,"",(VLOOKUP($C159,REV!$C:$AA,14,0)-'TRADE IN'!$F159))</f>
        <v>12499</v>
      </c>
      <c r="Q159" s="46">
        <f>IF(VLOOKUP($C159,REV!$C:$AA,15,0)-'TRADE IN'!$F159=0,"",(VLOOKUP($C159,REV!$C:$AA,15,0)-'TRADE IN'!$F159))</f>
        <v>12299</v>
      </c>
      <c r="R159" s="46">
        <f>IF(VLOOKUP($C159,REV!$C:$AA,16,0)-'TRADE IN'!$F159=0,"",(VLOOKUP($C159,REV!$C:$AA,16,0)-'TRADE IN'!$F159))</f>
        <v>12599</v>
      </c>
      <c r="S159" s="46">
        <f>IF(VLOOKUP($C159,REV!$C:$AA,17,0)-'TRADE IN'!$F159=0,"",(VLOOKUP($C159,REV!$C:$AA,17,0)-'TRADE IN'!$F159))</f>
        <v>12499</v>
      </c>
      <c r="T159" s="46">
        <f>IF(VLOOKUP($C159,REV!$C:$AA,18,0)-'TRADE IN'!$F159=0,"",(VLOOKUP($C159,REV!$C:$AA,18,0)-'TRADE IN'!$F159))</f>
        <v>12299</v>
      </c>
      <c r="U159" s="46">
        <f>IF(VLOOKUP($C159,REV!$C:$AA,19,0)-'TRADE IN'!$F159=0,"",(VLOOKUP($C159,REV!$C:$AA,19,0)-'TRADE IN'!$F159))</f>
        <v>12299</v>
      </c>
      <c r="V159" s="46">
        <f>IF(VLOOKUP($C159,REV!$C:$AA,20,0)-'TRADE IN'!$F159=0,"",(VLOOKUP($C159,REV!$C:$AA,20,0)-'TRADE IN'!$F159))</f>
        <v>12299</v>
      </c>
      <c r="W159" s="46">
        <f>IF(VLOOKUP($C159,REV!$C:$AA,21,0)-'TRADE IN'!$F159=0,"",(VLOOKUP($C159,REV!$C:$AA,21,0)-'TRADE IN'!$F159))</f>
        <v>12299</v>
      </c>
      <c r="X159" s="46">
        <f>IF(VLOOKUP($C159,REV!$C:$AA,22,0)-'TRADE IN'!$F159=0,"",(VLOOKUP($C159,REV!$C:$AA,22,0)-'TRADE IN'!$F159))</f>
        <v>12199</v>
      </c>
      <c r="Y159" s="46">
        <f>IF(VLOOKUP($C159,REV!$C:$AA,23,0)-'TRADE IN'!$F159=0,"",(VLOOKUP($C159,REV!$C:$AA,23,0)-'TRADE IN'!$F159))</f>
        <v>11699</v>
      </c>
      <c r="Z159" s="46">
        <f>IF(VLOOKUP($C159,REV!$C:$AA,24,0)-'TRADE IN'!$F159=0,"",(VLOOKUP($C159,REV!$C:$AA,24,0)-'TRADE IN'!$F159))</f>
        <v>11699</v>
      </c>
      <c r="AA159" s="46">
        <f>IF(VLOOKUP($C159,REV!$C:$AA,25,0)-'TRADE IN'!$F159=0,"",(VLOOKUP($C159,REV!$C:$AA,25,0)-'TRADE IN'!$F159))</f>
        <v>11499</v>
      </c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7"/>
      <c r="AW159" s="48" t="str">
        <f>REV!AW159</f>
        <v>01.12.2026</v>
      </c>
      <c r="AX159" s="153" t="str">
        <f>VLOOKUP(C159,REV!C:AX,48,0)</f>
        <v>5G</v>
      </c>
    </row>
    <row r="160" spans="1:50" ht="22.5" customHeight="1">
      <c r="A160" s="41" t="s">
        <v>63</v>
      </c>
      <c r="B160" s="42" t="s">
        <v>64</v>
      </c>
      <c r="C160" s="43">
        <v>4018016</v>
      </c>
      <c r="D160" s="52" t="s">
        <v>263</v>
      </c>
      <c r="E160" s="44" t="s">
        <v>265</v>
      </c>
      <c r="F160" s="54">
        <v>2000</v>
      </c>
      <c r="G160" s="45"/>
      <c r="H160" s="45"/>
      <c r="I160" s="45"/>
      <c r="J160" s="46">
        <f>IF(VLOOKUP($C160,REV!$C:$AA,8,0)-'TRADE IN'!$F160=0,"",(VLOOKUP($C160,REV!$C:$AA,8,0)-'TRADE IN'!$F160))</f>
        <v>12799</v>
      </c>
      <c r="K160" s="46">
        <f>IF(VLOOKUP($C160,REV!$C:$AA,9,0)-'TRADE IN'!$F160=0,"",(VLOOKUP($C160,REV!$C:$AA,9,0)-'TRADE IN'!$F160))</f>
        <v>12799</v>
      </c>
      <c r="L160" s="46">
        <f>IF(VLOOKUP($C160,REV!$C:$AA,10,0)-'TRADE IN'!$F160=0,"",(VLOOKUP($C160,REV!$C:$AA,10,0)-'TRADE IN'!$F160))</f>
        <v>12799</v>
      </c>
      <c r="M160" s="46">
        <f>IF(VLOOKUP($C160,REV!$C:$AA,11,0)-'TRADE IN'!$F160=0,"",(VLOOKUP($C160,REV!$C:$AA,11,0)-'TRADE IN'!$F160))</f>
        <v>12799</v>
      </c>
      <c r="N160" s="46">
        <f>IF(VLOOKUP($C160,REV!$C:$AA,12,0)-'TRADE IN'!$F160=0,"",(VLOOKUP($C160,REV!$C:$AA,12,0)-'TRADE IN'!$F160))</f>
        <v>12799</v>
      </c>
      <c r="O160" s="46">
        <f>IF(VLOOKUP($C160,REV!$C:$AA,13,0)-'TRADE IN'!$F160=0,"",(VLOOKUP($C160,REV!$C:$AA,13,0)-'TRADE IN'!$F160))</f>
        <v>12599</v>
      </c>
      <c r="P160" s="46">
        <f>IF(VLOOKUP($C160,REV!$C:$AA,14,0)-'TRADE IN'!$F160=0,"",(VLOOKUP($C160,REV!$C:$AA,14,0)-'TRADE IN'!$F160))</f>
        <v>12499</v>
      </c>
      <c r="Q160" s="46">
        <f>IF(VLOOKUP($C160,REV!$C:$AA,15,0)-'TRADE IN'!$F160=0,"",(VLOOKUP($C160,REV!$C:$AA,15,0)-'TRADE IN'!$F160))</f>
        <v>12299</v>
      </c>
      <c r="R160" s="46">
        <f>IF(VLOOKUP($C160,REV!$C:$AA,16,0)-'TRADE IN'!$F160=0,"",(VLOOKUP($C160,REV!$C:$AA,16,0)-'TRADE IN'!$F160))</f>
        <v>12599</v>
      </c>
      <c r="S160" s="46">
        <f>IF(VLOOKUP($C160,REV!$C:$AA,17,0)-'TRADE IN'!$F160=0,"",(VLOOKUP($C160,REV!$C:$AA,17,0)-'TRADE IN'!$F160))</f>
        <v>12499</v>
      </c>
      <c r="T160" s="46">
        <f>IF(VLOOKUP($C160,REV!$C:$AA,18,0)-'TRADE IN'!$F160=0,"",(VLOOKUP($C160,REV!$C:$AA,18,0)-'TRADE IN'!$F160))</f>
        <v>12299</v>
      </c>
      <c r="U160" s="46">
        <f>IF(VLOOKUP($C160,REV!$C:$AA,19,0)-'TRADE IN'!$F160=0,"",(VLOOKUP($C160,REV!$C:$AA,19,0)-'TRADE IN'!$F160))</f>
        <v>12299</v>
      </c>
      <c r="V160" s="46">
        <f>IF(VLOOKUP($C160,REV!$C:$AA,20,0)-'TRADE IN'!$F160=0,"",(VLOOKUP($C160,REV!$C:$AA,20,0)-'TRADE IN'!$F160))</f>
        <v>12299</v>
      </c>
      <c r="W160" s="46">
        <f>IF(VLOOKUP($C160,REV!$C:$AA,21,0)-'TRADE IN'!$F160=0,"",(VLOOKUP($C160,REV!$C:$AA,21,0)-'TRADE IN'!$F160))</f>
        <v>12299</v>
      </c>
      <c r="X160" s="46">
        <f>IF(VLOOKUP($C160,REV!$C:$AA,22,0)-'TRADE IN'!$F160=0,"",(VLOOKUP($C160,REV!$C:$AA,22,0)-'TRADE IN'!$F160))</f>
        <v>12199</v>
      </c>
      <c r="Y160" s="46">
        <f>IF(VLOOKUP($C160,REV!$C:$AA,23,0)-'TRADE IN'!$F160=0,"",(VLOOKUP($C160,REV!$C:$AA,23,0)-'TRADE IN'!$F160))</f>
        <v>11699</v>
      </c>
      <c r="Z160" s="46">
        <f>IF(VLOOKUP($C160,REV!$C:$AA,24,0)-'TRADE IN'!$F160=0,"",(VLOOKUP($C160,REV!$C:$AA,24,0)-'TRADE IN'!$F160))</f>
        <v>11699</v>
      </c>
      <c r="AA160" s="46">
        <f>IF(VLOOKUP($C160,REV!$C:$AA,25,0)-'TRADE IN'!$F160=0,"",(VLOOKUP($C160,REV!$C:$AA,25,0)-'TRADE IN'!$F160))</f>
        <v>11499</v>
      </c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7"/>
      <c r="AW160" s="48" t="str">
        <f>REV!AW160</f>
        <v>01.12.2026</v>
      </c>
      <c r="AX160" s="153" t="str">
        <f>VLOOKUP(C160,REV!C:AX,48,0)</f>
        <v>5G</v>
      </c>
    </row>
    <row r="161" spans="1:50" ht="23" customHeight="1">
      <c r="A161" s="57" t="s">
        <v>247</v>
      </c>
      <c r="B161" s="42" t="s">
        <v>64</v>
      </c>
      <c r="C161" s="43">
        <v>4015390</v>
      </c>
      <c r="D161" s="58" t="s">
        <v>266</v>
      </c>
      <c r="E161" s="58" t="s">
        <v>267</v>
      </c>
      <c r="F161" s="45"/>
      <c r="G161" s="45"/>
      <c r="H161" s="45"/>
      <c r="I161" s="45"/>
      <c r="J161" s="46">
        <f>IF(VLOOKUP($C161,REV!$C:$AA,8,0)-'TRADE IN'!$F161=0,"",(VLOOKUP($C161,REV!$C:$AA,8,0)-'TRADE IN'!$F161))</f>
        <v>449</v>
      </c>
      <c r="K161" s="46">
        <f>IF(VLOOKUP($C161,REV!$C:$AA,9,0)-'TRADE IN'!$F161=0,"",(VLOOKUP($C161,REV!$C:$AA,9,0)-'TRADE IN'!$F161))</f>
        <v>449</v>
      </c>
      <c r="L161" s="46">
        <f>IF(VLOOKUP($C161,REV!$C:$AA,10,0)-'TRADE IN'!$F161=0,"",(VLOOKUP($C161,REV!$C:$AA,10,0)-'TRADE IN'!$F161))</f>
        <v>449</v>
      </c>
      <c r="M161" s="46">
        <f>IF(VLOOKUP($C161,REV!$C:$AA,11,0)-'TRADE IN'!$F161=0,"",(VLOOKUP($C161,REV!$C:$AA,11,0)-'TRADE IN'!$F161))</f>
        <v>449</v>
      </c>
      <c r="N161" s="46">
        <f>IF(VLOOKUP($C161,REV!$C:$AA,12,0)-'TRADE IN'!$F161=0,"",(VLOOKUP($C161,REV!$C:$AA,12,0)-'TRADE IN'!$F161))</f>
        <v>449</v>
      </c>
      <c r="O161" s="46">
        <f>IF(VLOOKUP($C161,REV!$C:$AA,13,0)-'TRADE IN'!$F161=0,"",(VLOOKUP($C161,REV!$C:$AA,13,0)-'TRADE IN'!$F161))</f>
        <v>399</v>
      </c>
      <c r="P161" s="46">
        <f>IF(VLOOKUP($C161,REV!$C:$AA,14,0)-'TRADE IN'!$F161=0,"",(VLOOKUP($C161,REV!$C:$AA,14,0)-'TRADE IN'!$F161))</f>
        <v>349</v>
      </c>
      <c r="Q161" s="46">
        <f>IF(VLOOKUP($C161,REV!$C:$AA,15,0)-'TRADE IN'!$F161=0,"",(VLOOKUP($C161,REV!$C:$AA,15,0)-'TRADE IN'!$F161))</f>
        <v>299</v>
      </c>
      <c r="R161" s="46">
        <f>IF(VLOOKUP($C161,REV!$C:$AA,16,0)-'TRADE IN'!$F161=0,"",(VLOOKUP($C161,REV!$C:$AA,16,0)-'TRADE IN'!$F161))</f>
        <v>399</v>
      </c>
      <c r="S161" s="46">
        <f>IF(VLOOKUP($C161,REV!$C:$AA,17,0)-'TRADE IN'!$F161=0,"",(VLOOKUP($C161,REV!$C:$AA,17,0)-'TRADE IN'!$F161))</f>
        <v>349</v>
      </c>
      <c r="T161" s="46">
        <f>IF(VLOOKUP($C161,REV!$C:$AA,18,0)-'TRADE IN'!$F161=0,"",(VLOOKUP($C161,REV!$C:$AA,18,0)-'TRADE IN'!$F161))</f>
        <v>299</v>
      </c>
      <c r="U161" s="46">
        <f>IF(VLOOKUP($C161,REV!$C:$AA,19,0)-'TRADE IN'!$F161=0,"",(VLOOKUP($C161,REV!$C:$AA,19,0)-'TRADE IN'!$F161))</f>
        <v>299</v>
      </c>
      <c r="V161" s="46">
        <f>IF(VLOOKUP($C161,REV!$C:$AA,20,0)-'TRADE IN'!$F161=0,"",(VLOOKUP($C161,REV!$C:$AA,20,0)-'TRADE IN'!$F161))</f>
        <v>299</v>
      </c>
      <c r="W161" s="46">
        <f>IF(VLOOKUP($C161,REV!$C:$AA,21,0)-'TRADE IN'!$F161=0,"",(VLOOKUP($C161,REV!$C:$AA,21,0)-'TRADE IN'!$F161))</f>
        <v>299</v>
      </c>
      <c r="X161" s="46">
        <f>IF(VLOOKUP($C161,REV!$C:$AA,22,0)-'TRADE IN'!$F161=0,"",(VLOOKUP($C161,REV!$C:$AA,22,0)-'TRADE IN'!$F161))</f>
        <v>299</v>
      </c>
      <c r="Y161" s="46">
        <f>IF(VLOOKUP($C161,REV!$C:$AA,23,0)-'TRADE IN'!$F161=0,"",(VLOOKUP($C161,REV!$C:$AA,23,0)-'TRADE IN'!$F161))</f>
        <v>299</v>
      </c>
      <c r="Z161" s="46">
        <f>IF(VLOOKUP($C161,REV!$C:$AA,24,0)-'TRADE IN'!$F161=0,"",(VLOOKUP($C161,REV!$C:$AA,24,0)-'TRADE IN'!$F161))</f>
        <v>299</v>
      </c>
      <c r="AA161" s="46">
        <f>IF(VLOOKUP($C161,REV!$C:$AA,25,0)-'TRADE IN'!$F161=0,"",(VLOOKUP($C161,REV!$C:$AA,25,0)-'TRADE IN'!$F161))</f>
        <v>299</v>
      </c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7"/>
      <c r="AW161" s="48" t="str">
        <f>REV!AW161</f>
        <v>01.12.2026</v>
      </c>
      <c r="AX161" s="153" t="str">
        <f>VLOOKUP(C161,REV!C:AX,48,0)</f>
        <v>4G</v>
      </c>
    </row>
    <row r="162" spans="1:50" ht="22.5" customHeight="1">
      <c r="A162" s="41" t="s">
        <v>63</v>
      </c>
      <c r="B162" s="42" t="s">
        <v>64</v>
      </c>
      <c r="C162" s="43">
        <v>4015070</v>
      </c>
      <c r="D162" s="58" t="s">
        <v>268</v>
      </c>
      <c r="E162" s="58" t="s">
        <v>269</v>
      </c>
      <c r="F162" s="45"/>
      <c r="G162" s="45"/>
      <c r="H162" s="45"/>
      <c r="I162" s="45"/>
      <c r="J162" s="46">
        <f>IF(VLOOKUP($C162,REV!$C:$AA,8,0)-'TRADE IN'!$F162=0,"",(VLOOKUP($C162,REV!$C:$AA,8,0)-'TRADE IN'!$F162))</f>
        <v>899</v>
      </c>
      <c r="K162" s="46">
        <f>IF(VLOOKUP($C162,REV!$C:$AA,9,0)-'TRADE IN'!$F162=0,"",(VLOOKUP($C162,REV!$C:$AA,9,0)-'TRADE IN'!$F162))</f>
        <v>799</v>
      </c>
      <c r="L162" s="46">
        <f>IF(VLOOKUP($C162,REV!$C:$AA,10,0)-'TRADE IN'!$F162=0,"",(VLOOKUP($C162,REV!$C:$AA,10,0)-'TRADE IN'!$F162))</f>
        <v>799</v>
      </c>
      <c r="M162" s="46">
        <f>IF(VLOOKUP($C162,REV!$C:$AA,11,0)-'TRADE IN'!$F162=0,"",(VLOOKUP($C162,REV!$C:$AA,11,0)-'TRADE IN'!$F162))</f>
        <v>899</v>
      </c>
      <c r="N162" s="46">
        <f>IF(VLOOKUP($C162,REV!$C:$AA,12,0)-'TRADE IN'!$F162=0,"",(VLOOKUP($C162,REV!$C:$AA,12,0)-'TRADE IN'!$F162))</f>
        <v>899</v>
      </c>
      <c r="O162" s="46">
        <f>IF(VLOOKUP($C162,REV!$C:$AA,13,0)-'TRADE IN'!$F162=0,"",(VLOOKUP($C162,REV!$C:$AA,13,0)-'TRADE IN'!$F162))</f>
        <v>749</v>
      </c>
      <c r="P162" s="46">
        <f>IF(VLOOKUP($C162,REV!$C:$AA,14,0)-'TRADE IN'!$F162=0,"",(VLOOKUP($C162,REV!$C:$AA,14,0)-'TRADE IN'!$F162))</f>
        <v>749</v>
      </c>
      <c r="Q162" s="46">
        <f>IF(VLOOKUP($C162,REV!$C:$AA,15,0)-'TRADE IN'!$F162=0,"",(VLOOKUP($C162,REV!$C:$AA,15,0)-'TRADE IN'!$F162))</f>
        <v>749</v>
      </c>
      <c r="R162" s="46">
        <f>IF(VLOOKUP($C162,REV!$C:$AA,16,0)-'TRADE IN'!$F162=0,"",(VLOOKUP($C162,REV!$C:$AA,16,0)-'TRADE IN'!$F162))</f>
        <v>749</v>
      </c>
      <c r="S162" s="46">
        <f>IF(VLOOKUP($C162,REV!$C:$AA,17,0)-'TRADE IN'!$F162=0,"",(VLOOKUP($C162,REV!$C:$AA,17,0)-'TRADE IN'!$F162))</f>
        <v>749</v>
      </c>
      <c r="T162" s="46">
        <f>IF(VLOOKUP($C162,REV!$C:$AA,18,0)-'TRADE IN'!$F162=0,"",(VLOOKUP($C162,REV!$C:$AA,18,0)-'TRADE IN'!$F162))</f>
        <v>749</v>
      </c>
      <c r="U162" s="46">
        <f>IF(VLOOKUP($C162,REV!$C:$AA,19,0)-'TRADE IN'!$F162=0,"",(VLOOKUP($C162,REV!$C:$AA,19,0)-'TRADE IN'!$F162))</f>
        <v>749</v>
      </c>
      <c r="V162" s="46">
        <f>IF(VLOOKUP($C162,REV!$C:$AA,20,0)-'TRADE IN'!$F162=0,"",(VLOOKUP($C162,REV!$C:$AA,20,0)-'TRADE IN'!$F162))</f>
        <v>749</v>
      </c>
      <c r="W162" s="46">
        <f>IF(VLOOKUP($C162,REV!$C:$AA,21,0)-'TRADE IN'!$F162=0,"",(VLOOKUP($C162,REV!$C:$AA,21,0)-'TRADE IN'!$F162))</f>
        <v>749</v>
      </c>
      <c r="X162" s="46">
        <f>IF(VLOOKUP($C162,REV!$C:$AA,22,0)-'TRADE IN'!$F162=0,"",(VLOOKUP($C162,REV!$C:$AA,22,0)-'TRADE IN'!$F162))</f>
        <v>749</v>
      </c>
      <c r="Y162" s="46">
        <f>IF(VLOOKUP($C162,REV!$C:$AA,23,0)-'TRADE IN'!$F162=0,"",(VLOOKUP($C162,REV!$C:$AA,23,0)-'TRADE IN'!$F162))</f>
        <v>749</v>
      </c>
      <c r="Z162" s="46">
        <f>IF(VLOOKUP($C162,REV!$C:$AA,24,0)-'TRADE IN'!$F162=0,"",(VLOOKUP($C162,REV!$C:$AA,24,0)-'TRADE IN'!$F162))</f>
        <v>749</v>
      </c>
      <c r="AA162" s="46">
        <f>IF(VLOOKUP($C162,REV!$C:$AA,25,0)-'TRADE IN'!$F162=0,"",(VLOOKUP($C162,REV!$C:$AA,25,0)-'TRADE IN'!$F162))</f>
        <v>749</v>
      </c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7"/>
      <c r="AW162" s="48" t="str">
        <f>REV!AW162</f>
        <v>01.12.2026</v>
      </c>
      <c r="AX162" s="153" t="str">
        <f>VLOOKUP(C162,REV!C:AX,48,0)</f>
        <v>5G</v>
      </c>
    </row>
    <row r="163" spans="1:50" ht="22.5" customHeight="1">
      <c r="A163" s="41" t="s">
        <v>63</v>
      </c>
      <c r="B163" s="42" t="s">
        <v>64</v>
      </c>
      <c r="C163" s="43">
        <v>4014800</v>
      </c>
      <c r="D163" s="58" t="s">
        <v>270</v>
      </c>
      <c r="E163" s="58" t="s">
        <v>271</v>
      </c>
      <c r="F163" s="45"/>
      <c r="G163" s="45"/>
      <c r="H163" s="45"/>
      <c r="I163" s="45"/>
      <c r="J163" s="46">
        <f>IF(VLOOKUP($C163,REV!$C:$AA,8,0)-'TRADE IN'!$F163=0,"",(VLOOKUP($C163,REV!$C:$AA,8,0)-'TRADE IN'!$F163))</f>
        <v>2299</v>
      </c>
      <c r="K163" s="46">
        <f>IF(VLOOKUP($C163,REV!$C:$AA,9,0)-'TRADE IN'!$F163=0,"",(VLOOKUP($C163,REV!$C:$AA,9,0)-'TRADE IN'!$F163))</f>
        <v>2299</v>
      </c>
      <c r="L163" s="46">
        <f>IF(VLOOKUP($C163,REV!$C:$AA,10,0)-'TRADE IN'!$F163=0,"",(VLOOKUP($C163,REV!$C:$AA,10,0)-'TRADE IN'!$F163))</f>
        <v>2299</v>
      </c>
      <c r="M163" s="46">
        <f>IF(VLOOKUP($C163,REV!$C:$AA,11,0)-'TRADE IN'!$F163=0,"",(VLOOKUP($C163,REV!$C:$AA,11,0)-'TRADE IN'!$F163))</f>
        <v>2299</v>
      </c>
      <c r="N163" s="46">
        <f>IF(VLOOKUP($C163,REV!$C:$AA,12,0)-'TRADE IN'!$F163=0,"",(VLOOKUP($C163,REV!$C:$AA,12,0)-'TRADE IN'!$F163))</f>
        <v>2299</v>
      </c>
      <c r="O163" s="46">
        <f>IF(VLOOKUP($C163,REV!$C:$AA,13,0)-'TRADE IN'!$F163=0,"",(VLOOKUP($C163,REV!$C:$AA,13,0)-'TRADE IN'!$F163))</f>
        <v>1899</v>
      </c>
      <c r="P163" s="46">
        <f>IF(VLOOKUP($C163,REV!$C:$AA,14,0)-'TRADE IN'!$F163=0,"",(VLOOKUP($C163,REV!$C:$AA,14,0)-'TRADE IN'!$F163))</f>
        <v>1799</v>
      </c>
      <c r="Q163" s="46">
        <f>IF(VLOOKUP($C163,REV!$C:$AA,15,0)-'TRADE IN'!$F163=0,"",(VLOOKUP($C163,REV!$C:$AA,15,0)-'TRADE IN'!$F163))</f>
        <v>1499</v>
      </c>
      <c r="R163" s="46">
        <f>IF(VLOOKUP($C163,REV!$C:$AA,16,0)-'TRADE IN'!$F163=0,"",(VLOOKUP($C163,REV!$C:$AA,16,0)-'TRADE IN'!$F163))</f>
        <v>1899</v>
      </c>
      <c r="S163" s="46">
        <f>IF(VLOOKUP($C163,REV!$C:$AA,17,0)-'TRADE IN'!$F163=0,"",(VLOOKUP($C163,REV!$C:$AA,17,0)-'TRADE IN'!$F163))</f>
        <v>1799</v>
      </c>
      <c r="T163" s="46">
        <f>IF(VLOOKUP($C163,REV!$C:$AA,18,0)-'TRADE IN'!$F163=0,"",(VLOOKUP($C163,REV!$C:$AA,18,0)-'TRADE IN'!$F163))</f>
        <v>1499</v>
      </c>
      <c r="U163" s="46">
        <f>IF(VLOOKUP($C163,REV!$C:$AA,19,0)-'TRADE IN'!$F163=0,"",(VLOOKUP($C163,REV!$C:$AA,19,0)-'TRADE IN'!$F163))</f>
        <v>1499</v>
      </c>
      <c r="V163" s="46">
        <f>IF(VLOOKUP($C163,REV!$C:$AA,20,0)-'TRADE IN'!$F163=0,"",(VLOOKUP($C163,REV!$C:$AA,20,0)-'TRADE IN'!$F163))</f>
        <v>1499</v>
      </c>
      <c r="W163" s="46">
        <f>IF(VLOOKUP($C163,REV!$C:$AA,21,0)-'TRADE IN'!$F163=0,"",(VLOOKUP($C163,REV!$C:$AA,21,0)-'TRADE IN'!$F163))</f>
        <v>1499</v>
      </c>
      <c r="X163" s="46">
        <f>IF(VLOOKUP($C163,REV!$C:$AA,22,0)-'TRADE IN'!$F163=0,"",(VLOOKUP($C163,REV!$C:$AA,22,0)-'TRADE IN'!$F163))</f>
        <v>1399</v>
      </c>
      <c r="Y163" s="46">
        <f>IF(VLOOKUP($C163,REV!$C:$AA,23,0)-'TRADE IN'!$F163=0,"",(VLOOKUP($C163,REV!$C:$AA,23,0)-'TRADE IN'!$F163))</f>
        <v>999</v>
      </c>
      <c r="Z163" s="46">
        <f>IF(VLOOKUP($C163,REV!$C:$AA,24,0)-'TRADE IN'!$F163=0,"",(VLOOKUP($C163,REV!$C:$AA,24,0)-'TRADE IN'!$F163))</f>
        <v>999</v>
      </c>
      <c r="AA163" s="46">
        <f>IF(VLOOKUP($C163,REV!$C:$AA,25,0)-'TRADE IN'!$F163=0,"",(VLOOKUP($C163,REV!$C:$AA,25,0)-'TRADE IN'!$F163))</f>
        <v>949</v>
      </c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7"/>
      <c r="AW163" s="48" t="str">
        <f>REV!AW163</f>
        <v>01.12.2026</v>
      </c>
      <c r="AX163" s="153" t="str">
        <f>VLOOKUP(C163,REV!C:AX,48,0)</f>
        <v>5G</v>
      </c>
    </row>
    <row r="164" spans="1:50" ht="22.5" customHeight="1">
      <c r="A164" s="41" t="s">
        <v>63</v>
      </c>
      <c r="B164" s="42" t="s">
        <v>64</v>
      </c>
      <c r="C164" s="43">
        <v>4015553</v>
      </c>
      <c r="D164" s="58" t="s">
        <v>272</v>
      </c>
      <c r="E164" s="58" t="s">
        <v>273</v>
      </c>
      <c r="F164" s="45"/>
      <c r="G164" s="45"/>
      <c r="H164" s="45"/>
      <c r="I164" s="45"/>
      <c r="J164" s="46">
        <f>IF(VLOOKUP($C164,REV!$C:$AA,8,0)-'TRADE IN'!$F164=0,"",(VLOOKUP($C164,REV!$C:$AA,8,0)-'TRADE IN'!$F164))</f>
        <v>1599</v>
      </c>
      <c r="K164" s="46">
        <f>IF(VLOOKUP($C164,REV!$C:$AA,9,0)-'TRADE IN'!$F164=0,"",(VLOOKUP($C164,REV!$C:$AA,9,0)-'TRADE IN'!$F164))</f>
        <v>1499</v>
      </c>
      <c r="L164" s="46">
        <f>IF(VLOOKUP($C164,REV!$C:$AA,10,0)-'TRADE IN'!$F164=0,"",(VLOOKUP($C164,REV!$C:$AA,10,0)-'TRADE IN'!$F164))</f>
        <v>1499</v>
      </c>
      <c r="M164" s="46">
        <f>IF(VLOOKUP($C164,REV!$C:$AA,11,0)-'TRADE IN'!$F164=0,"",(VLOOKUP($C164,REV!$C:$AA,11,0)-'TRADE IN'!$F164))</f>
        <v>1599</v>
      </c>
      <c r="N164" s="46">
        <f>IF(VLOOKUP($C164,REV!$C:$AA,12,0)-'TRADE IN'!$F164=0,"",(VLOOKUP($C164,REV!$C:$AA,12,0)-'TRADE IN'!$F164))</f>
        <v>1599</v>
      </c>
      <c r="O164" s="46">
        <f>IF(VLOOKUP($C164,REV!$C:$AA,13,0)-'TRADE IN'!$F164=0,"",(VLOOKUP($C164,REV!$C:$AA,13,0)-'TRADE IN'!$F164))</f>
        <v>1399</v>
      </c>
      <c r="P164" s="46">
        <f>IF(VLOOKUP($C164,REV!$C:$AA,14,0)-'TRADE IN'!$F164=0,"",(VLOOKUP($C164,REV!$C:$AA,14,0)-'TRADE IN'!$F164))</f>
        <v>1299</v>
      </c>
      <c r="Q164" s="46">
        <f>IF(VLOOKUP($C164,REV!$C:$AA,15,0)-'TRADE IN'!$F164=0,"",(VLOOKUP($C164,REV!$C:$AA,15,0)-'TRADE IN'!$F164))</f>
        <v>1099</v>
      </c>
      <c r="R164" s="46">
        <f>IF(VLOOKUP($C164,REV!$C:$AA,16,0)-'TRADE IN'!$F164=0,"",(VLOOKUP($C164,REV!$C:$AA,16,0)-'TRADE IN'!$F164))</f>
        <v>1399</v>
      </c>
      <c r="S164" s="46">
        <f>IF(VLOOKUP($C164,REV!$C:$AA,17,0)-'TRADE IN'!$F164=0,"",(VLOOKUP($C164,REV!$C:$AA,17,0)-'TRADE IN'!$F164))</f>
        <v>1299</v>
      </c>
      <c r="T164" s="46">
        <f>IF(VLOOKUP($C164,REV!$C:$AA,18,0)-'TRADE IN'!$F164=0,"",(VLOOKUP($C164,REV!$C:$AA,18,0)-'TRADE IN'!$F164))</f>
        <v>1099</v>
      </c>
      <c r="U164" s="46">
        <f>IF(VLOOKUP($C164,REV!$C:$AA,19,0)-'TRADE IN'!$F164=0,"",(VLOOKUP($C164,REV!$C:$AA,19,0)-'TRADE IN'!$F164))</f>
        <v>1099</v>
      </c>
      <c r="V164" s="46">
        <f>IF(VLOOKUP($C164,REV!$C:$AA,20,0)-'TRADE IN'!$F164=0,"",(VLOOKUP($C164,REV!$C:$AA,20,0)-'TRADE IN'!$F164))</f>
        <v>1099</v>
      </c>
      <c r="W164" s="46">
        <f>IF(VLOOKUP($C164,REV!$C:$AA,21,0)-'TRADE IN'!$F164=0,"",(VLOOKUP($C164,REV!$C:$AA,21,0)-'TRADE IN'!$F164))</f>
        <v>1099</v>
      </c>
      <c r="X164" s="46">
        <f>IF(VLOOKUP($C164,REV!$C:$AA,22,0)-'TRADE IN'!$F164=0,"",(VLOOKUP($C164,REV!$C:$AA,22,0)-'TRADE IN'!$F164))</f>
        <v>999</v>
      </c>
      <c r="Y164" s="46">
        <f>IF(VLOOKUP($C164,REV!$C:$AA,23,0)-'TRADE IN'!$F164=0,"",(VLOOKUP($C164,REV!$C:$AA,23,0)-'TRADE IN'!$F164))</f>
        <v>899</v>
      </c>
      <c r="Z164" s="46">
        <f>IF(VLOOKUP($C164,REV!$C:$AA,24,0)-'TRADE IN'!$F164=0,"",(VLOOKUP($C164,REV!$C:$AA,24,0)-'TRADE IN'!$F164))</f>
        <v>899</v>
      </c>
      <c r="AA164" s="46">
        <f>IF(VLOOKUP($C164,REV!$C:$AA,25,0)-'TRADE IN'!$F164=0,"",(VLOOKUP($C164,REV!$C:$AA,25,0)-'TRADE IN'!$F164))</f>
        <v>899</v>
      </c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7"/>
      <c r="AW164" s="48" t="str">
        <f>REV!AW164</f>
        <v>01.12.2026</v>
      </c>
      <c r="AX164" s="153" t="str">
        <f>VLOOKUP(C164,REV!C:AX,48,0)</f>
        <v>5G</v>
      </c>
    </row>
    <row r="165" spans="1:50" ht="22.5" customHeight="1">
      <c r="A165" s="41" t="s">
        <v>63</v>
      </c>
      <c r="B165" s="42" t="s">
        <v>64</v>
      </c>
      <c r="C165" s="43">
        <v>4015555</v>
      </c>
      <c r="D165" s="58" t="s">
        <v>272</v>
      </c>
      <c r="E165" s="58" t="s">
        <v>274</v>
      </c>
      <c r="F165" s="45"/>
      <c r="G165" s="45"/>
      <c r="H165" s="45"/>
      <c r="I165" s="45"/>
      <c r="J165" s="46">
        <f>IF(VLOOKUP($C165,REV!$C:$AA,8,0)-'TRADE IN'!$F165=0,"",(VLOOKUP($C165,REV!$C:$AA,8,0)-'TRADE IN'!$F165))</f>
        <v>1599</v>
      </c>
      <c r="K165" s="46">
        <f>IF(VLOOKUP($C165,REV!$C:$AA,9,0)-'TRADE IN'!$F165=0,"",(VLOOKUP($C165,REV!$C:$AA,9,0)-'TRADE IN'!$F165))</f>
        <v>1499</v>
      </c>
      <c r="L165" s="46">
        <f>IF(VLOOKUP($C165,REV!$C:$AA,10,0)-'TRADE IN'!$F165=0,"",(VLOOKUP($C165,REV!$C:$AA,10,0)-'TRADE IN'!$F165))</f>
        <v>1499</v>
      </c>
      <c r="M165" s="46">
        <f>IF(VLOOKUP($C165,REV!$C:$AA,11,0)-'TRADE IN'!$F165=0,"",(VLOOKUP($C165,REV!$C:$AA,11,0)-'TRADE IN'!$F165))</f>
        <v>1599</v>
      </c>
      <c r="N165" s="46">
        <f>IF(VLOOKUP($C165,REV!$C:$AA,12,0)-'TRADE IN'!$F165=0,"",(VLOOKUP($C165,REV!$C:$AA,12,0)-'TRADE IN'!$F165))</f>
        <v>1599</v>
      </c>
      <c r="O165" s="46">
        <f>IF(VLOOKUP($C165,REV!$C:$AA,13,0)-'TRADE IN'!$F165=0,"",(VLOOKUP($C165,REV!$C:$AA,13,0)-'TRADE IN'!$F165))</f>
        <v>1399</v>
      </c>
      <c r="P165" s="46">
        <f>IF(VLOOKUP($C165,REV!$C:$AA,14,0)-'TRADE IN'!$F165=0,"",(VLOOKUP($C165,REV!$C:$AA,14,0)-'TRADE IN'!$F165))</f>
        <v>1299</v>
      </c>
      <c r="Q165" s="46">
        <f>IF(VLOOKUP($C165,REV!$C:$AA,15,0)-'TRADE IN'!$F165=0,"",(VLOOKUP($C165,REV!$C:$AA,15,0)-'TRADE IN'!$F165))</f>
        <v>1099</v>
      </c>
      <c r="R165" s="46">
        <f>IF(VLOOKUP($C165,REV!$C:$AA,16,0)-'TRADE IN'!$F165=0,"",(VLOOKUP($C165,REV!$C:$AA,16,0)-'TRADE IN'!$F165))</f>
        <v>1399</v>
      </c>
      <c r="S165" s="46">
        <f>IF(VLOOKUP($C165,REV!$C:$AA,17,0)-'TRADE IN'!$F165=0,"",(VLOOKUP($C165,REV!$C:$AA,17,0)-'TRADE IN'!$F165))</f>
        <v>1299</v>
      </c>
      <c r="T165" s="46">
        <f>IF(VLOOKUP($C165,REV!$C:$AA,18,0)-'TRADE IN'!$F165=0,"",(VLOOKUP($C165,REV!$C:$AA,18,0)-'TRADE IN'!$F165))</f>
        <v>1099</v>
      </c>
      <c r="U165" s="46">
        <f>IF(VLOOKUP($C165,REV!$C:$AA,19,0)-'TRADE IN'!$F165=0,"",(VLOOKUP($C165,REV!$C:$AA,19,0)-'TRADE IN'!$F165))</f>
        <v>1099</v>
      </c>
      <c r="V165" s="46">
        <f>IF(VLOOKUP($C165,REV!$C:$AA,20,0)-'TRADE IN'!$F165=0,"",(VLOOKUP($C165,REV!$C:$AA,20,0)-'TRADE IN'!$F165))</f>
        <v>1099</v>
      </c>
      <c r="W165" s="46">
        <f>IF(VLOOKUP($C165,REV!$C:$AA,21,0)-'TRADE IN'!$F165=0,"",(VLOOKUP($C165,REV!$C:$AA,21,0)-'TRADE IN'!$F165))</f>
        <v>1099</v>
      </c>
      <c r="X165" s="46">
        <f>IF(VLOOKUP($C165,REV!$C:$AA,22,0)-'TRADE IN'!$F165=0,"",(VLOOKUP($C165,REV!$C:$AA,22,0)-'TRADE IN'!$F165))</f>
        <v>999</v>
      </c>
      <c r="Y165" s="46">
        <f>IF(VLOOKUP($C165,REV!$C:$AA,23,0)-'TRADE IN'!$F165=0,"",(VLOOKUP($C165,REV!$C:$AA,23,0)-'TRADE IN'!$F165))</f>
        <v>899</v>
      </c>
      <c r="Z165" s="46">
        <f>IF(VLOOKUP($C165,REV!$C:$AA,24,0)-'TRADE IN'!$F165=0,"",(VLOOKUP($C165,REV!$C:$AA,24,0)-'TRADE IN'!$F165))</f>
        <v>899</v>
      </c>
      <c r="AA165" s="46">
        <f>IF(VLOOKUP($C165,REV!$C:$AA,25,0)-'TRADE IN'!$F165=0,"",(VLOOKUP($C165,REV!$C:$AA,25,0)-'TRADE IN'!$F165))</f>
        <v>899</v>
      </c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7"/>
      <c r="AW165" s="48" t="str">
        <f>REV!AW165</f>
        <v>01.12.2026</v>
      </c>
      <c r="AX165" s="153" t="str">
        <f>VLOOKUP(C165,REV!C:AX,48,0)</f>
        <v>5G</v>
      </c>
    </row>
    <row r="166" spans="1:50" ht="22.5" customHeight="1">
      <c r="A166" s="41" t="s">
        <v>63</v>
      </c>
      <c r="B166" s="42" t="s">
        <v>64</v>
      </c>
      <c r="C166" s="43">
        <v>4015692</v>
      </c>
      <c r="D166" s="58" t="s">
        <v>275</v>
      </c>
      <c r="E166" s="58" t="s">
        <v>276</v>
      </c>
      <c r="F166" s="45"/>
      <c r="G166" s="45"/>
      <c r="H166" s="45"/>
      <c r="I166" s="45"/>
      <c r="J166" s="46">
        <f>IF(VLOOKUP($C166,REV!$C:$AA,8,0)-'TRADE IN'!$F166=0,"",(VLOOKUP($C166,REV!$C:$AA,8,0)-'TRADE IN'!$F166))</f>
        <v>1499</v>
      </c>
      <c r="K166" s="46">
        <f>IF(VLOOKUP($C166,REV!$C:$AA,9,0)-'TRADE IN'!$F166=0,"",(VLOOKUP($C166,REV!$C:$AA,9,0)-'TRADE IN'!$F166))</f>
        <v>1399</v>
      </c>
      <c r="L166" s="46">
        <f>IF(VLOOKUP($C166,REV!$C:$AA,10,0)-'TRADE IN'!$F166=0,"",(VLOOKUP($C166,REV!$C:$AA,10,0)-'TRADE IN'!$F166))</f>
        <v>1399</v>
      </c>
      <c r="M166" s="46">
        <f>IF(VLOOKUP($C166,REV!$C:$AA,11,0)-'TRADE IN'!$F166=0,"",(VLOOKUP($C166,REV!$C:$AA,11,0)-'TRADE IN'!$F166))</f>
        <v>1499</v>
      </c>
      <c r="N166" s="46">
        <f>IF(VLOOKUP($C166,REV!$C:$AA,12,0)-'TRADE IN'!$F166=0,"",(VLOOKUP($C166,REV!$C:$AA,12,0)-'TRADE IN'!$F166))</f>
        <v>1499</v>
      </c>
      <c r="O166" s="46">
        <f>IF(VLOOKUP($C166,REV!$C:$AA,13,0)-'TRADE IN'!$F166=0,"",(VLOOKUP($C166,REV!$C:$AA,13,0)-'TRADE IN'!$F166))</f>
        <v>1299</v>
      </c>
      <c r="P166" s="46">
        <f>IF(VLOOKUP($C166,REV!$C:$AA,14,0)-'TRADE IN'!$F166=0,"",(VLOOKUP($C166,REV!$C:$AA,14,0)-'TRADE IN'!$F166))</f>
        <v>1199</v>
      </c>
      <c r="Q166" s="46">
        <f>IF(VLOOKUP($C166,REV!$C:$AA,15,0)-'TRADE IN'!$F166=0,"",(VLOOKUP($C166,REV!$C:$AA,15,0)-'TRADE IN'!$F166))</f>
        <v>1099</v>
      </c>
      <c r="R166" s="46">
        <f>IF(VLOOKUP($C166,REV!$C:$AA,16,0)-'TRADE IN'!$F166=0,"",(VLOOKUP($C166,REV!$C:$AA,16,0)-'TRADE IN'!$F166))</f>
        <v>1299</v>
      </c>
      <c r="S166" s="46">
        <f>IF(VLOOKUP($C166,REV!$C:$AA,17,0)-'TRADE IN'!$F166=0,"",(VLOOKUP($C166,REV!$C:$AA,17,0)-'TRADE IN'!$F166))</f>
        <v>1199</v>
      </c>
      <c r="T166" s="46">
        <f>IF(VLOOKUP($C166,REV!$C:$AA,18,0)-'TRADE IN'!$F166=0,"",(VLOOKUP($C166,REV!$C:$AA,18,0)-'TRADE IN'!$F166))</f>
        <v>1099</v>
      </c>
      <c r="U166" s="46">
        <f>IF(VLOOKUP($C166,REV!$C:$AA,19,0)-'TRADE IN'!$F166=0,"",(VLOOKUP($C166,REV!$C:$AA,19,0)-'TRADE IN'!$F166))</f>
        <v>1099</v>
      </c>
      <c r="V166" s="46">
        <f>IF(VLOOKUP($C166,REV!$C:$AA,20,0)-'TRADE IN'!$F166=0,"",(VLOOKUP($C166,REV!$C:$AA,20,0)-'TRADE IN'!$F166))</f>
        <v>1099</v>
      </c>
      <c r="W166" s="46">
        <f>IF(VLOOKUP($C166,REV!$C:$AA,21,0)-'TRADE IN'!$F166=0,"",(VLOOKUP($C166,REV!$C:$AA,21,0)-'TRADE IN'!$F166))</f>
        <v>1099</v>
      </c>
      <c r="X166" s="46">
        <f>IF(VLOOKUP($C166,REV!$C:$AA,22,0)-'TRADE IN'!$F166=0,"",(VLOOKUP($C166,REV!$C:$AA,22,0)-'TRADE IN'!$F166))</f>
        <v>999</v>
      </c>
      <c r="Y166" s="46">
        <f>IF(VLOOKUP($C166,REV!$C:$AA,23,0)-'TRADE IN'!$F166=0,"",(VLOOKUP($C166,REV!$C:$AA,23,0)-'TRADE IN'!$F166))</f>
        <v>899</v>
      </c>
      <c r="Z166" s="46">
        <f>IF(VLOOKUP($C166,REV!$C:$AA,24,0)-'TRADE IN'!$F166=0,"",(VLOOKUP($C166,REV!$C:$AA,24,0)-'TRADE IN'!$F166))</f>
        <v>899</v>
      </c>
      <c r="AA166" s="46">
        <f>IF(VLOOKUP($C166,REV!$C:$AA,25,0)-'TRADE IN'!$F166=0,"",(VLOOKUP($C166,REV!$C:$AA,25,0)-'TRADE IN'!$F166))</f>
        <v>899</v>
      </c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7"/>
      <c r="AW166" s="48" t="str">
        <f>REV!AW166</f>
        <v>01.12.2026</v>
      </c>
      <c r="AX166" s="153" t="str">
        <f>VLOOKUP(C166,REV!C:AX,48,0)</f>
        <v>5G</v>
      </c>
    </row>
    <row r="167" spans="1:50" ht="22.5" customHeight="1">
      <c r="A167" s="41" t="s">
        <v>63</v>
      </c>
      <c r="B167" s="42" t="s">
        <v>64</v>
      </c>
      <c r="C167" s="43">
        <v>4016016</v>
      </c>
      <c r="D167" s="58" t="s">
        <v>275</v>
      </c>
      <c r="E167" s="58" t="s">
        <v>277</v>
      </c>
      <c r="F167" s="45"/>
      <c r="G167" s="45"/>
      <c r="H167" s="45"/>
      <c r="I167" s="45"/>
      <c r="J167" s="46">
        <f>IF(VLOOKUP($C167,REV!$C:$AA,8,0)-'TRADE IN'!$F167=0,"",(VLOOKUP($C167,REV!$C:$AA,8,0)-'TRADE IN'!$F167))</f>
        <v>1499</v>
      </c>
      <c r="K167" s="46">
        <f>IF(VLOOKUP($C167,REV!$C:$AA,9,0)-'TRADE IN'!$F167=0,"",(VLOOKUP($C167,REV!$C:$AA,9,0)-'TRADE IN'!$F167))</f>
        <v>1399</v>
      </c>
      <c r="L167" s="46">
        <f>IF(VLOOKUP($C167,REV!$C:$AA,10,0)-'TRADE IN'!$F167=0,"",(VLOOKUP($C167,REV!$C:$AA,10,0)-'TRADE IN'!$F167))</f>
        <v>1399</v>
      </c>
      <c r="M167" s="46">
        <f>IF(VLOOKUP($C167,REV!$C:$AA,11,0)-'TRADE IN'!$F167=0,"",(VLOOKUP($C167,REV!$C:$AA,11,0)-'TRADE IN'!$F167))</f>
        <v>1499</v>
      </c>
      <c r="N167" s="46">
        <f>IF(VLOOKUP($C167,REV!$C:$AA,12,0)-'TRADE IN'!$F167=0,"",(VLOOKUP($C167,REV!$C:$AA,12,0)-'TRADE IN'!$F167))</f>
        <v>1499</v>
      </c>
      <c r="O167" s="46">
        <f>IF(VLOOKUP($C167,REV!$C:$AA,13,0)-'TRADE IN'!$F167=0,"",(VLOOKUP($C167,REV!$C:$AA,13,0)-'TRADE IN'!$F167))</f>
        <v>1299</v>
      </c>
      <c r="P167" s="46">
        <f>IF(VLOOKUP($C167,REV!$C:$AA,14,0)-'TRADE IN'!$F167=0,"",(VLOOKUP($C167,REV!$C:$AA,14,0)-'TRADE IN'!$F167))</f>
        <v>1199</v>
      </c>
      <c r="Q167" s="46">
        <f>IF(VLOOKUP($C167,REV!$C:$AA,15,0)-'TRADE IN'!$F167=0,"",(VLOOKUP($C167,REV!$C:$AA,15,0)-'TRADE IN'!$F167))</f>
        <v>1099</v>
      </c>
      <c r="R167" s="46">
        <f>IF(VLOOKUP($C167,REV!$C:$AA,16,0)-'TRADE IN'!$F167=0,"",(VLOOKUP($C167,REV!$C:$AA,16,0)-'TRADE IN'!$F167))</f>
        <v>1299</v>
      </c>
      <c r="S167" s="46">
        <f>IF(VLOOKUP($C167,REV!$C:$AA,17,0)-'TRADE IN'!$F167=0,"",(VLOOKUP($C167,REV!$C:$AA,17,0)-'TRADE IN'!$F167))</f>
        <v>1199</v>
      </c>
      <c r="T167" s="46">
        <f>IF(VLOOKUP($C167,REV!$C:$AA,18,0)-'TRADE IN'!$F167=0,"",(VLOOKUP($C167,REV!$C:$AA,18,0)-'TRADE IN'!$F167))</f>
        <v>1099</v>
      </c>
      <c r="U167" s="46">
        <f>IF(VLOOKUP($C167,REV!$C:$AA,19,0)-'TRADE IN'!$F167=0,"",(VLOOKUP($C167,REV!$C:$AA,19,0)-'TRADE IN'!$F167))</f>
        <v>1099</v>
      </c>
      <c r="V167" s="46">
        <f>IF(VLOOKUP($C167,REV!$C:$AA,20,0)-'TRADE IN'!$F167=0,"",(VLOOKUP($C167,REV!$C:$AA,20,0)-'TRADE IN'!$F167))</f>
        <v>1099</v>
      </c>
      <c r="W167" s="46">
        <f>IF(VLOOKUP($C167,REV!$C:$AA,21,0)-'TRADE IN'!$F167=0,"",(VLOOKUP($C167,REV!$C:$AA,21,0)-'TRADE IN'!$F167))</f>
        <v>1099</v>
      </c>
      <c r="X167" s="46">
        <f>IF(VLOOKUP($C167,REV!$C:$AA,22,0)-'TRADE IN'!$F167=0,"",(VLOOKUP($C167,REV!$C:$AA,22,0)-'TRADE IN'!$F167))</f>
        <v>999</v>
      </c>
      <c r="Y167" s="46">
        <f>IF(VLOOKUP($C167,REV!$C:$AA,23,0)-'TRADE IN'!$F167=0,"",(VLOOKUP($C167,REV!$C:$AA,23,0)-'TRADE IN'!$F167))</f>
        <v>899</v>
      </c>
      <c r="Z167" s="46">
        <f>IF(VLOOKUP($C167,REV!$C:$AA,24,0)-'TRADE IN'!$F167=0,"",(VLOOKUP($C167,REV!$C:$AA,24,0)-'TRADE IN'!$F167))</f>
        <v>899</v>
      </c>
      <c r="AA167" s="46">
        <f>IF(VLOOKUP($C167,REV!$C:$AA,25,0)-'TRADE IN'!$F167=0,"",(VLOOKUP($C167,REV!$C:$AA,25,0)-'TRADE IN'!$F167))</f>
        <v>899</v>
      </c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7"/>
      <c r="AW167" s="48" t="str">
        <f>REV!AW167</f>
        <v>01.12.2026</v>
      </c>
      <c r="AX167" s="153" t="str">
        <f>VLOOKUP(C167,REV!C:AX,48,0)</f>
        <v>5G</v>
      </c>
    </row>
    <row r="168" spans="1:50" ht="22.5" customHeight="1">
      <c r="A168" s="41" t="s">
        <v>63</v>
      </c>
      <c r="B168" s="42" t="s">
        <v>64</v>
      </c>
      <c r="C168" s="43">
        <v>4016501</v>
      </c>
      <c r="D168" s="58" t="s">
        <v>278</v>
      </c>
      <c r="E168" s="58" t="s">
        <v>279</v>
      </c>
      <c r="F168" s="45"/>
      <c r="G168" s="45"/>
      <c r="H168" s="45"/>
      <c r="I168" s="45"/>
      <c r="J168" s="46">
        <f>IF(VLOOKUP($C168,REV!$C:$AA,8,0)-'TRADE IN'!$F168=0,"",(VLOOKUP($C168,REV!$C:$AA,8,0)-'TRADE IN'!$F168))</f>
        <v>1799</v>
      </c>
      <c r="K168" s="46">
        <f>IF(VLOOKUP($C168,REV!$C:$AA,9,0)-'TRADE IN'!$F168=0,"",(VLOOKUP($C168,REV!$C:$AA,9,0)-'TRADE IN'!$F168))</f>
        <v>1799</v>
      </c>
      <c r="L168" s="46">
        <f>IF(VLOOKUP($C168,REV!$C:$AA,10,0)-'TRADE IN'!$F168=0,"",(VLOOKUP($C168,REV!$C:$AA,10,0)-'TRADE IN'!$F168))</f>
        <v>1799</v>
      </c>
      <c r="M168" s="46">
        <f>IF(VLOOKUP($C168,REV!$C:$AA,11,0)-'TRADE IN'!$F168=0,"",(VLOOKUP($C168,REV!$C:$AA,11,0)-'TRADE IN'!$F168))</f>
        <v>1799</v>
      </c>
      <c r="N168" s="46">
        <f>IF(VLOOKUP($C168,REV!$C:$AA,12,0)-'TRADE IN'!$F168=0,"",(VLOOKUP($C168,REV!$C:$AA,12,0)-'TRADE IN'!$F168))</f>
        <v>1799</v>
      </c>
      <c r="O168" s="46">
        <f>IF(VLOOKUP($C168,REV!$C:$AA,13,0)-'TRADE IN'!$F168=0,"",(VLOOKUP($C168,REV!$C:$AA,13,0)-'TRADE IN'!$F168))</f>
        <v>1699</v>
      </c>
      <c r="P168" s="46">
        <f>IF(VLOOKUP($C168,REV!$C:$AA,14,0)-'TRADE IN'!$F168=0,"",(VLOOKUP($C168,REV!$C:$AA,14,0)-'TRADE IN'!$F168))</f>
        <v>1599</v>
      </c>
      <c r="Q168" s="46">
        <f>IF(VLOOKUP($C168,REV!$C:$AA,15,0)-'TRADE IN'!$F168=0,"",(VLOOKUP($C168,REV!$C:$AA,15,0)-'TRADE IN'!$F168))</f>
        <v>599</v>
      </c>
      <c r="R168" s="46">
        <f>IF(VLOOKUP($C168,REV!$C:$AA,16,0)-'TRADE IN'!$F168=0,"",(VLOOKUP($C168,REV!$C:$AA,16,0)-'TRADE IN'!$F168))</f>
        <v>1699</v>
      </c>
      <c r="S168" s="46">
        <f>IF(VLOOKUP($C168,REV!$C:$AA,17,0)-'TRADE IN'!$F168=0,"",(VLOOKUP($C168,REV!$C:$AA,17,0)-'TRADE IN'!$F168))</f>
        <v>1599</v>
      </c>
      <c r="T168" s="46">
        <f>IF(VLOOKUP($C168,REV!$C:$AA,18,0)-'TRADE IN'!$F168=0,"",(VLOOKUP($C168,REV!$C:$AA,18,0)-'TRADE IN'!$F168))</f>
        <v>599</v>
      </c>
      <c r="U168" s="46">
        <f>IF(VLOOKUP($C168,REV!$C:$AA,19,0)-'TRADE IN'!$F168=0,"",(VLOOKUP($C168,REV!$C:$AA,19,0)-'TRADE IN'!$F168))</f>
        <v>599</v>
      </c>
      <c r="V168" s="46">
        <f>IF(VLOOKUP($C168,REV!$C:$AA,20,0)-'TRADE IN'!$F168=0,"",(VLOOKUP($C168,REV!$C:$AA,20,0)-'TRADE IN'!$F168))</f>
        <v>599</v>
      </c>
      <c r="W168" s="46">
        <f>IF(VLOOKUP($C168,REV!$C:$AA,21,0)-'TRADE IN'!$F168=0,"",(VLOOKUP($C168,REV!$C:$AA,21,0)-'TRADE IN'!$F168))</f>
        <v>599</v>
      </c>
      <c r="X168" s="46">
        <f>IF(VLOOKUP($C168,REV!$C:$AA,22,0)-'TRADE IN'!$F168=0,"",(VLOOKUP($C168,REV!$C:$AA,22,0)-'TRADE IN'!$F168))</f>
        <v>599</v>
      </c>
      <c r="Y168" s="46">
        <f>IF(VLOOKUP($C168,REV!$C:$AA,23,0)-'TRADE IN'!$F168=0,"",(VLOOKUP($C168,REV!$C:$AA,23,0)-'TRADE IN'!$F168))</f>
        <v>599</v>
      </c>
      <c r="Z168" s="46">
        <f>IF(VLOOKUP($C168,REV!$C:$AA,24,0)-'TRADE IN'!$F168=0,"",(VLOOKUP($C168,REV!$C:$AA,24,0)-'TRADE IN'!$F168))</f>
        <v>599</v>
      </c>
      <c r="AA168" s="46">
        <f>IF(VLOOKUP($C168,REV!$C:$AA,25,0)-'TRADE IN'!$F168=0,"",(VLOOKUP($C168,REV!$C:$AA,25,0)-'TRADE IN'!$F168))</f>
        <v>599</v>
      </c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7"/>
      <c r="AW168" s="48" t="str">
        <f>REV!AW168</f>
        <v>01.12.2026</v>
      </c>
      <c r="AX168" s="153" t="str">
        <f>VLOOKUP(C168,REV!C:AX,48,0)</f>
        <v>5G</v>
      </c>
    </row>
    <row r="169" spans="1:50" ht="22.5" customHeight="1">
      <c r="A169" s="41" t="s">
        <v>63</v>
      </c>
      <c r="B169" s="42" t="s">
        <v>64</v>
      </c>
      <c r="C169" s="43">
        <v>4016503</v>
      </c>
      <c r="D169" s="58" t="s">
        <v>278</v>
      </c>
      <c r="E169" s="58" t="s">
        <v>280</v>
      </c>
      <c r="F169" s="45"/>
      <c r="G169" s="45"/>
      <c r="H169" s="45"/>
      <c r="I169" s="45"/>
      <c r="J169" s="46">
        <f>IF(VLOOKUP($C169,REV!$C:$AA,8,0)-'TRADE IN'!$F169=0,"",(VLOOKUP($C169,REV!$C:$AA,8,0)-'TRADE IN'!$F169))</f>
        <v>1799</v>
      </c>
      <c r="K169" s="46">
        <f>IF(VLOOKUP($C169,REV!$C:$AA,9,0)-'TRADE IN'!$F169=0,"",(VLOOKUP($C169,REV!$C:$AA,9,0)-'TRADE IN'!$F169))</f>
        <v>1799</v>
      </c>
      <c r="L169" s="46">
        <f>IF(VLOOKUP($C169,REV!$C:$AA,10,0)-'TRADE IN'!$F169=0,"",(VLOOKUP($C169,REV!$C:$AA,10,0)-'TRADE IN'!$F169))</f>
        <v>1799</v>
      </c>
      <c r="M169" s="46">
        <f>IF(VLOOKUP($C169,REV!$C:$AA,11,0)-'TRADE IN'!$F169=0,"",(VLOOKUP($C169,REV!$C:$AA,11,0)-'TRADE IN'!$F169))</f>
        <v>1799</v>
      </c>
      <c r="N169" s="46">
        <f>IF(VLOOKUP($C169,REV!$C:$AA,12,0)-'TRADE IN'!$F169=0,"",(VLOOKUP($C169,REV!$C:$AA,12,0)-'TRADE IN'!$F169))</f>
        <v>1799</v>
      </c>
      <c r="O169" s="46">
        <f>IF(VLOOKUP($C169,REV!$C:$AA,13,0)-'TRADE IN'!$F169=0,"",(VLOOKUP($C169,REV!$C:$AA,13,0)-'TRADE IN'!$F169))</f>
        <v>1699</v>
      </c>
      <c r="P169" s="46">
        <f>IF(VLOOKUP($C169,REV!$C:$AA,14,0)-'TRADE IN'!$F169=0,"",(VLOOKUP($C169,REV!$C:$AA,14,0)-'TRADE IN'!$F169))</f>
        <v>1599</v>
      </c>
      <c r="Q169" s="46">
        <f>IF(VLOOKUP($C169,REV!$C:$AA,15,0)-'TRADE IN'!$F169=0,"",(VLOOKUP($C169,REV!$C:$AA,15,0)-'TRADE IN'!$F169))</f>
        <v>599</v>
      </c>
      <c r="R169" s="46">
        <f>IF(VLOOKUP($C169,REV!$C:$AA,16,0)-'TRADE IN'!$F169=0,"",(VLOOKUP($C169,REV!$C:$AA,16,0)-'TRADE IN'!$F169))</f>
        <v>1699</v>
      </c>
      <c r="S169" s="46">
        <f>IF(VLOOKUP($C169,REV!$C:$AA,17,0)-'TRADE IN'!$F169=0,"",(VLOOKUP($C169,REV!$C:$AA,17,0)-'TRADE IN'!$F169))</f>
        <v>1599</v>
      </c>
      <c r="T169" s="46">
        <f>IF(VLOOKUP($C169,REV!$C:$AA,18,0)-'TRADE IN'!$F169=0,"",(VLOOKUP($C169,REV!$C:$AA,18,0)-'TRADE IN'!$F169))</f>
        <v>599</v>
      </c>
      <c r="U169" s="46">
        <f>IF(VLOOKUP($C169,REV!$C:$AA,19,0)-'TRADE IN'!$F169=0,"",(VLOOKUP($C169,REV!$C:$AA,19,0)-'TRADE IN'!$F169))</f>
        <v>599</v>
      </c>
      <c r="V169" s="46">
        <f>IF(VLOOKUP($C169,REV!$C:$AA,20,0)-'TRADE IN'!$F169=0,"",(VLOOKUP($C169,REV!$C:$AA,20,0)-'TRADE IN'!$F169))</f>
        <v>599</v>
      </c>
      <c r="W169" s="46">
        <f>IF(VLOOKUP($C169,REV!$C:$AA,21,0)-'TRADE IN'!$F169=0,"",(VLOOKUP($C169,REV!$C:$AA,21,0)-'TRADE IN'!$F169))</f>
        <v>599</v>
      </c>
      <c r="X169" s="46">
        <f>IF(VLOOKUP($C169,REV!$C:$AA,22,0)-'TRADE IN'!$F169=0,"",(VLOOKUP($C169,REV!$C:$AA,22,0)-'TRADE IN'!$F169))</f>
        <v>599</v>
      </c>
      <c r="Y169" s="46">
        <f>IF(VLOOKUP($C169,REV!$C:$AA,23,0)-'TRADE IN'!$F169=0,"",(VLOOKUP($C169,REV!$C:$AA,23,0)-'TRADE IN'!$F169))</f>
        <v>599</v>
      </c>
      <c r="Z169" s="46">
        <f>IF(VLOOKUP($C169,REV!$C:$AA,24,0)-'TRADE IN'!$F169=0,"",(VLOOKUP($C169,REV!$C:$AA,24,0)-'TRADE IN'!$F169))</f>
        <v>599</v>
      </c>
      <c r="AA169" s="46">
        <f>IF(VLOOKUP($C169,REV!$C:$AA,25,0)-'TRADE IN'!$F169=0,"",(VLOOKUP($C169,REV!$C:$AA,25,0)-'TRADE IN'!$F169))</f>
        <v>599</v>
      </c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7"/>
      <c r="AW169" s="48" t="str">
        <f>REV!AW169</f>
        <v>01.12.2026</v>
      </c>
      <c r="AX169" s="153" t="str">
        <f>VLOOKUP(C169,REV!C:AX,48,0)</f>
        <v>5G</v>
      </c>
    </row>
    <row r="170" spans="1:50" ht="22.5" customHeight="1">
      <c r="A170" s="41" t="s">
        <v>63</v>
      </c>
      <c r="B170" s="42" t="s">
        <v>64</v>
      </c>
      <c r="C170" s="43">
        <v>4016505</v>
      </c>
      <c r="D170" s="58" t="s">
        <v>278</v>
      </c>
      <c r="E170" s="58" t="s">
        <v>281</v>
      </c>
      <c r="F170" s="45"/>
      <c r="G170" s="45"/>
      <c r="H170" s="45"/>
      <c r="I170" s="45"/>
      <c r="J170" s="46">
        <f>IF(VLOOKUP($C170,REV!$C:$AA,8,0)-'TRADE IN'!$F170=0,"",(VLOOKUP($C170,REV!$C:$AA,8,0)-'TRADE IN'!$F170))</f>
        <v>1799</v>
      </c>
      <c r="K170" s="46">
        <f>IF(VLOOKUP($C170,REV!$C:$AA,9,0)-'TRADE IN'!$F170=0,"",(VLOOKUP($C170,REV!$C:$AA,9,0)-'TRADE IN'!$F170))</f>
        <v>1799</v>
      </c>
      <c r="L170" s="46">
        <f>IF(VLOOKUP($C170,REV!$C:$AA,10,0)-'TRADE IN'!$F170=0,"",(VLOOKUP($C170,REV!$C:$AA,10,0)-'TRADE IN'!$F170))</f>
        <v>1799</v>
      </c>
      <c r="M170" s="46">
        <f>IF(VLOOKUP($C170,REV!$C:$AA,11,0)-'TRADE IN'!$F170=0,"",(VLOOKUP($C170,REV!$C:$AA,11,0)-'TRADE IN'!$F170))</f>
        <v>1799</v>
      </c>
      <c r="N170" s="46">
        <f>IF(VLOOKUP($C170,REV!$C:$AA,12,0)-'TRADE IN'!$F170=0,"",(VLOOKUP($C170,REV!$C:$AA,12,0)-'TRADE IN'!$F170))</f>
        <v>1799</v>
      </c>
      <c r="O170" s="46">
        <f>IF(VLOOKUP($C170,REV!$C:$AA,13,0)-'TRADE IN'!$F170=0,"",(VLOOKUP($C170,REV!$C:$AA,13,0)-'TRADE IN'!$F170))</f>
        <v>1699</v>
      </c>
      <c r="P170" s="46">
        <f>IF(VLOOKUP($C170,REV!$C:$AA,14,0)-'TRADE IN'!$F170=0,"",(VLOOKUP($C170,REV!$C:$AA,14,0)-'TRADE IN'!$F170))</f>
        <v>1599</v>
      </c>
      <c r="Q170" s="46">
        <f>IF(VLOOKUP($C170,REV!$C:$AA,15,0)-'TRADE IN'!$F170=0,"",(VLOOKUP($C170,REV!$C:$AA,15,0)-'TRADE IN'!$F170))</f>
        <v>599</v>
      </c>
      <c r="R170" s="46">
        <f>IF(VLOOKUP($C170,REV!$C:$AA,16,0)-'TRADE IN'!$F170=0,"",(VLOOKUP($C170,REV!$C:$AA,16,0)-'TRADE IN'!$F170))</f>
        <v>1699</v>
      </c>
      <c r="S170" s="46">
        <f>IF(VLOOKUP($C170,REV!$C:$AA,17,0)-'TRADE IN'!$F170=0,"",(VLOOKUP($C170,REV!$C:$AA,17,0)-'TRADE IN'!$F170))</f>
        <v>1599</v>
      </c>
      <c r="T170" s="46">
        <f>IF(VLOOKUP($C170,REV!$C:$AA,18,0)-'TRADE IN'!$F170=0,"",(VLOOKUP($C170,REV!$C:$AA,18,0)-'TRADE IN'!$F170))</f>
        <v>599</v>
      </c>
      <c r="U170" s="46">
        <f>IF(VLOOKUP($C170,REV!$C:$AA,19,0)-'TRADE IN'!$F170=0,"",(VLOOKUP($C170,REV!$C:$AA,19,0)-'TRADE IN'!$F170))</f>
        <v>599</v>
      </c>
      <c r="V170" s="46">
        <f>IF(VLOOKUP($C170,REV!$C:$AA,20,0)-'TRADE IN'!$F170=0,"",(VLOOKUP($C170,REV!$C:$AA,20,0)-'TRADE IN'!$F170))</f>
        <v>599</v>
      </c>
      <c r="W170" s="46">
        <f>IF(VLOOKUP($C170,REV!$C:$AA,21,0)-'TRADE IN'!$F170=0,"",(VLOOKUP($C170,REV!$C:$AA,21,0)-'TRADE IN'!$F170))</f>
        <v>599</v>
      </c>
      <c r="X170" s="46">
        <f>IF(VLOOKUP($C170,REV!$C:$AA,22,0)-'TRADE IN'!$F170=0,"",(VLOOKUP($C170,REV!$C:$AA,22,0)-'TRADE IN'!$F170))</f>
        <v>599</v>
      </c>
      <c r="Y170" s="46">
        <f>IF(VLOOKUP($C170,REV!$C:$AA,23,0)-'TRADE IN'!$F170=0,"",(VLOOKUP($C170,REV!$C:$AA,23,0)-'TRADE IN'!$F170))</f>
        <v>599</v>
      </c>
      <c r="Z170" s="46">
        <f>IF(VLOOKUP($C170,REV!$C:$AA,24,0)-'TRADE IN'!$F170=0,"",(VLOOKUP($C170,REV!$C:$AA,24,0)-'TRADE IN'!$F170))</f>
        <v>599</v>
      </c>
      <c r="AA170" s="46">
        <f>IF(VLOOKUP($C170,REV!$C:$AA,25,0)-'TRADE IN'!$F170=0,"",(VLOOKUP($C170,REV!$C:$AA,25,0)-'TRADE IN'!$F170))</f>
        <v>599</v>
      </c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7"/>
      <c r="AW170" s="48" t="str">
        <f>REV!AW170</f>
        <v>01.12.2026</v>
      </c>
      <c r="AX170" s="153" t="str">
        <f>VLOOKUP(C170,REV!C:AX,48,0)</f>
        <v>5G</v>
      </c>
    </row>
    <row r="171" spans="1:50" ht="22" customHeight="1">
      <c r="A171" s="41" t="s">
        <v>63</v>
      </c>
      <c r="B171" s="42" t="s">
        <v>64</v>
      </c>
      <c r="C171" s="43">
        <v>4016284</v>
      </c>
      <c r="D171" s="58" t="s">
        <v>282</v>
      </c>
      <c r="E171" s="58" t="s">
        <v>283</v>
      </c>
      <c r="F171" s="45"/>
      <c r="G171" s="45"/>
      <c r="H171" s="45"/>
      <c r="I171" s="45"/>
      <c r="J171" s="46">
        <f>IF(VLOOKUP($C171,REV!$C:$AA,8,0)-'TRADE IN'!$F171=0,"",(VLOOKUP($C171,REV!$C:$AA,8,0)-'TRADE IN'!$F171))</f>
        <v>1799</v>
      </c>
      <c r="K171" s="46">
        <f>IF(VLOOKUP($C171,REV!$C:$AA,9,0)-'TRADE IN'!$F171=0,"",(VLOOKUP($C171,REV!$C:$AA,9,0)-'TRADE IN'!$F171))</f>
        <v>1799</v>
      </c>
      <c r="L171" s="46">
        <f>IF(VLOOKUP($C171,REV!$C:$AA,10,0)-'TRADE IN'!$F171=0,"",(VLOOKUP($C171,REV!$C:$AA,10,0)-'TRADE IN'!$F171))</f>
        <v>1799</v>
      </c>
      <c r="M171" s="46">
        <f>IF(VLOOKUP($C171,REV!$C:$AA,11,0)-'TRADE IN'!$F171=0,"",(VLOOKUP($C171,REV!$C:$AA,11,0)-'TRADE IN'!$F171))</f>
        <v>1799</v>
      </c>
      <c r="N171" s="46">
        <f>IF(VLOOKUP($C171,REV!$C:$AA,12,0)-'TRADE IN'!$F171=0,"",(VLOOKUP($C171,REV!$C:$AA,12,0)-'TRADE IN'!$F171))</f>
        <v>1799</v>
      </c>
      <c r="O171" s="46">
        <f>IF(VLOOKUP($C171,REV!$C:$AA,13,0)-'TRADE IN'!$F171=0,"",(VLOOKUP($C171,REV!$C:$AA,13,0)-'TRADE IN'!$F171))</f>
        <v>1699</v>
      </c>
      <c r="P171" s="46">
        <f>IF(VLOOKUP($C171,REV!$C:$AA,14,0)-'TRADE IN'!$F171=0,"",(VLOOKUP($C171,REV!$C:$AA,14,0)-'TRADE IN'!$F171))</f>
        <v>1649</v>
      </c>
      <c r="Q171" s="46">
        <f>IF(VLOOKUP($C171,REV!$C:$AA,15,0)-'TRADE IN'!$F171=0,"",(VLOOKUP($C171,REV!$C:$AA,15,0)-'TRADE IN'!$F171))</f>
        <v>1299</v>
      </c>
      <c r="R171" s="46">
        <f>IF(VLOOKUP($C171,REV!$C:$AA,16,0)-'TRADE IN'!$F171=0,"",(VLOOKUP($C171,REV!$C:$AA,16,0)-'TRADE IN'!$F171))</f>
        <v>1699</v>
      </c>
      <c r="S171" s="46">
        <f>IF(VLOOKUP($C171,REV!$C:$AA,17,0)-'TRADE IN'!$F171=0,"",(VLOOKUP($C171,REV!$C:$AA,17,0)-'TRADE IN'!$F171))</f>
        <v>1649</v>
      </c>
      <c r="T171" s="46">
        <f>IF(VLOOKUP($C171,REV!$C:$AA,18,0)-'TRADE IN'!$F171=0,"",(VLOOKUP($C171,REV!$C:$AA,18,0)-'TRADE IN'!$F171))</f>
        <v>1299</v>
      </c>
      <c r="U171" s="46">
        <f>IF(VLOOKUP($C171,REV!$C:$AA,19,0)-'TRADE IN'!$F171=0,"",(VLOOKUP($C171,REV!$C:$AA,19,0)-'TRADE IN'!$F171))</f>
        <v>1299</v>
      </c>
      <c r="V171" s="46">
        <f>IF(VLOOKUP($C171,REV!$C:$AA,20,0)-'TRADE IN'!$F171=0,"",(VLOOKUP($C171,REV!$C:$AA,20,0)-'TRADE IN'!$F171))</f>
        <v>1299</v>
      </c>
      <c r="W171" s="46">
        <f>IF(VLOOKUP($C171,REV!$C:$AA,21,0)-'TRADE IN'!$F171=0,"",(VLOOKUP($C171,REV!$C:$AA,21,0)-'TRADE IN'!$F171))</f>
        <v>1299</v>
      </c>
      <c r="X171" s="46">
        <f>IF(VLOOKUP($C171,REV!$C:$AA,22,0)-'TRADE IN'!$F171=0,"",(VLOOKUP($C171,REV!$C:$AA,22,0)-'TRADE IN'!$F171))</f>
        <v>1199</v>
      </c>
      <c r="Y171" s="46">
        <f>IF(VLOOKUP($C171,REV!$C:$AA,23,0)-'TRADE IN'!$F171=0,"",(VLOOKUP($C171,REV!$C:$AA,23,0)-'TRADE IN'!$F171))</f>
        <v>1199</v>
      </c>
      <c r="Z171" s="46">
        <f>IF(VLOOKUP($C171,REV!$C:$AA,24,0)-'TRADE IN'!$F171=0,"",(VLOOKUP($C171,REV!$C:$AA,24,0)-'TRADE IN'!$F171))</f>
        <v>1199</v>
      </c>
      <c r="AA171" s="46">
        <f>IF(VLOOKUP($C171,REV!$C:$AA,25,0)-'TRADE IN'!$F171=0,"",(VLOOKUP($C171,REV!$C:$AA,25,0)-'TRADE IN'!$F171))</f>
        <v>1199</v>
      </c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7"/>
      <c r="AW171" s="48" t="str">
        <f>REV!AW171</f>
        <v>01.12.2026</v>
      </c>
      <c r="AX171" s="153" t="str">
        <f>VLOOKUP(C171,REV!C:AX,48,0)</f>
        <v>5G</v>
      </c>
    </row>
    <row r="172" spans="1:50" ht="22" customHeight="1">
      <c r="A172" s="41" t="s">
        <v>63</v>
      </c>
      <c r="B172" s="42" t="s">
        <v>64</v>
      </c>
      <c r="C172" s="43">
        <v>4016285</v>
      </c>
      <c r="D172" s="58" t="s">
        <v>282</v>
      </c>
      <c r="E172" s="58" t="s">
        <v>284</v>
      </c>
      <c r="F172" s="45"/>
      <c r="G172" s="45"/>
      <c r="H172" s="45"/>
      <c r="I172" s="45"/>
      <c r="J172" s="46">
        <f>IF(VLOOKUP($C172,REV!$C:$AA,8,0)-'TRADE IN'!$F172=0,"",(VLOOKUP($C172,REV!$C:$AA,8,0)-'TRADE IN'!$F172))</f>
        <v>1799</v>
      </c>
      <c r="K172" s="46">
        <f>IF(VLOOKUP($C172,REV!$C:$AA,9,0)-'TRADE IN'!$F172=0,"",(VLOOKUP($C172,REV!$C:$AA,9,0)-'TRADE IN'!$F172))</f>
        <v>1799</v>
      </c>
      <c r="L172" s="46">
        <f>IF(VLOOKUP($C172,REV!$C:$AA,10,0)-'TRADE IN'!$F172=0,"",(VLOOKUP($C172,REV!$C:$AA,10,0)-'TRADE IN'!$F172))</f>
        <v>1799</v>
      </c>
      <c r="M172" s="46">
        <f>IF(VLOOKUP($C172,REV!$C:$AA,11,0)-'TRADE IN'!$F172=0,"",(VLOOKUP($C172,REV!$C:$AA,11,0)-'TRADE IN'!$F172))</f>
        <v>1799</v>
      </c>
      <c r="N172" s="46">
        <f>IF(VLOOKUP($C172,REV!$C:$AA,12,0)-'TRADE IN'!$F172=0,"",(VLOOKUP($C172,REV!$C:$AA,12,0)-'TRADE IN'!$F172))</f>
        <v>1799</v>
      </c>
      <c r="O172" s="46">
        <f>IF(VLOOKUP($C172,REV!$C:$AA,13,0)-'TRADE IN'!$F172=0,"",(VLOOKUP($C172,REV!$C:$AA,13,0)-'TRADE IN'!$F172))</f>
        <v>1699</v>
      </c>
      <c r="P172" s="46">
        <f>IF(VLOOKUP($C172,REV!$C:$AA,14,0)-'TRADE IN'!$F172=0,"",(VLOOKUP($C172,REV!$C:$AA,14,0)-'TRADE IN'!$F172))</f>
        <v>1649</v>
      </c>
      <c r="Q172" s="46">
        <f>IF(VLOOKUP($C172,REV!$C:$AA,15,0)-'TRADE IN'!$F172=0,"",(VLOOKUP($C172,REV!$C:$AA,15,0)-'TRADE IN'!$F172))</f>
        <v>1299</v>
      </c>
      <c r="R172" s="46">
        <f>IF(VLOOKUP($C172,REV!$C:$AA,16,0)-'TRADE IN'!$F172=0,"",(VLOOKUP($C172,REV!$C:$AA,16,0)-'TRADE IN'!$F172))</f>
        <v>1699</v>
      </c>
      <c r="S172" s="46">
        <f>IF(VLOOKUP($C172,REV!$C:$AA,17,0)-'TRADE IN'!$F172=0,"",(VLOOKUP($C172,REV!$C:$AA,17,0)-'TRADE IN'!$F172))</f>
        <v>1649</v>
      </c>
      <c r="T172" s="46">
        <f>IF(VLOOKUP($C172,REV!$C:$AA,18,0)-'TRADE IN'!$F172=0,"",(VLOOKUP($C172,REV!$C:$AA,18,0)-'TRADE IN'!$F172))</f>
        <v>1299</v>
      </c>
      <c r="U172" s="46">
        <f>IF(VLOOKUP($C172,REV!$C:$AA,19,0)-'TRADE IN'!$F172=0,"",(VLOOKUP($C172,REV!$C:$AA,19,0)-'TRADE IN'!$F172))</f>
        <v>1299</v>
      </c>
      <c r="V172" s="46">
        <f>IF(VLOOKUP($C172,REV!$C:$AA,20,0)-'TRADE IN'!$F172=0,"",(VLOOKUP($C172,REV!$C:$AA,20,0)-'TRADE IN'!$F172))</f>
        <v>1299</v>
      </c>
      <c r="W172" s="46">
        <f>IF(VLOOKUP($C172,REV!$C:$AA,21,0)-'TRADE IN'!$F172=0,"",(VLOOKUP($C172,REV!$C:$AA,21,0)-'TRADE IN'!$F172))</f>
        <v>1299</v>
      </c>
      <c r="X172" s="46">
        <f>IF(VLOOKUP($C172,REV!$C:$AA,22,0)-'TRADE IN'!$F172=0,"",(VLOOKUP($C172,REV!$C:$AA,22,0)-'TRADE IN'!$F172))</f>
        <v>1199</v>
      </c>
      <c r="Y172" s="46">
        <f>IF(VLOOKUP($C172,REV!$C:$AA,23,0)-'TRADE IN'!$F172=0,"",(VLOOKUP($C172,REV!$C:$AA,23,0)-'TRADE IN'!$F172))</f>
        <v>1199</v>
      </c>
      <c r="Z172" s="46">
        <f>IF(VLOOKUP($C172,REV!$C:$AA,24,0)-'TRADE IN'!$F172=0,"",(VLOOKUP($C172,REV!$C:$AA,24,0)-'TRADE IN'!$F172))</f>
        <v>1199</v>
      </c>
      <c r="AA172" s="46">
        <f>IF(VLOOKUP($C172,REV!$C:$AA,25,0)-'TRADE IN'!$F172=0,"",(VLOOKUP($C172,REV!$C:$AA,25,0)-'TRADE IN'!$F172))</f>
        <v>1199</v>
      </c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7"/>
      <c r="AW172" s="48" t="str">
        <f>REV!AW172</f>
        <v>01.12.2026</v>
      </c>
      <c r="AX172" s="153" t="str">
        <f>VLOOKUP(C172,REV!C:AX,48,0)</f>
        <v>5G</v>
      </c>
    </row>
    <row r="173" spans="1:50" ht="22" customHeight="1">
      <c r="A173" s="41" t="s">
        <v>63</v>
      </c>
      <c r="B173" s="42" t="s">
        <v>64</v>
      </c>
      <c r="C173" s="43">
        <v>4016922</v>
      </c>
      <c r="D173" s="58" t="s">
        <v>285</v>
      </c>
      <c r="E173" s="58" t="s">
        <v>286</v>
      </c>
      <c r="F173" s="45"/>
      <c r="G173" s="45"/>
      <c r="H173" s="45"/>
      <c r="I173" s="45"/>
      <c r="J173" s="46">
        <f>IF(VLOOKUP($C173,REV!$C:$AA,8,0)-'TRADE IN'!$F173=0,"",(VLOOKUP($C173,REV!$C:$AA,8,0)-'TRADE IN'!$F173))</f>
        <v>1999</v>
      </c>
      <c r="K173" s="46">
        <f>IF(VLOOKUP($C173,REV!$C:$AA,9,0)-'TRADE IN'!$F173=0,"",(VLOOKUP($C173,REV!$C:$AA,9,0)-'TRADE IN'!$F173))</f>
        <v>1999</v>
      </c>
      <c r="L173" s="46">
        <f>IF(VLOOKUP($C173,REV!$C:$AA,10,0)-'TRADE IN'!$F173=0,"",(VLOOKUP($C173,REV!$C:$AA,10,0)-'TRADE IN'!$F173))</f>
        <v>1999</v>
      </c>
      <c r="M173" s="46">
        <f>IF(VLOOKUP($C173,REV!$C:$AA,11,0)-'TRADE IN'!$F173=0,"",(VLOOKUP($C173,REV!$C:$AA,11,0)-'TRADE IN'!$F173))</f>
        <v>1999</v>
      </c>
      <c r="N173" s="46">
        <f>IF(VLOOKUP($C173,REV!$C:$AA,12,0)-'TRADE IN'!$F173=0,"",(VLOOKUP($C173,REV!$C:$AA,12,0)-'TRADE IN'!$F173))</f>
        <v>1999</v>
      </c>
      <c r="O173" s="46">
        <f>IF(VLOOKUP($C173,REV!$C:$AA,13,0)-'TRADE IN'!$F173=0,"",(VLOOKUP($C173,REV!$C:$AA,13,0)-'TRADE IN'!$F173))</f>
        <v>1899</v>
      </c>
      <c r="P173" s="46">
        <f>IF(VLOOKUP($C173,REV!$C:$AA,14,0)-'TRADE IN'!$F173=0,"",(VLOOKUP($C173,REV!$C:$AA,14,0)-'TRADE IN'!$F173))</f>
        <v>1799</v>
      </c>
      <c r="Q173" s="46">
        <f>IF(VLOOKUP($C173,REV!$C:$AA,15,0)-'TRADE IN'!$F173=0,"",(VLOOKUP($C173,REV!$C:$AA,15,0)-'TRADE IN'!$F173))</f>
        <v>799</v>
      </c>
      <c r="R173" s="46">
        <f>IF(VLOOKUP($C173,REV!$C:$AA,16,0)-'TRADE IN'!$F173=0,"",(VLOOKUP($C173,REV!$C:$AA,16,0)-'TRADE IN'!$F173))</f>
        <v>1899</v>
      </c>
      <c r="S173" s="46">
        <f>IF(VLOOKUP($C173,REV!$C:$AA,17,0)-'TRADE IN'!$F173=0,"",(VLOOKUP($C173,REV!$C:$AA,17,0)-'TRADE IN'!$F173))</f>
        <v>1799</v>
      </c>
      <c r="T173" s="46">
        <f>IF(VLOOKUP($C173,REV!$C:$AA,18,0)-'TRADE IN'!$F173=0,"",(VLOOKUP($C173,REV!$C:$AA,18,0)-'TRADE IN'!$F173))</f>
        <v>799</v>
      </c>
      <c r="U173" s="46">
        <f>IF(VLOOKUP($C173,REV!$C:$AA,19,0)-'TRADE IN'!$F173=0,"",(VLOOKUP($C173,REV!$C:$AA,19,0)-'TRADE IN'!$F173))</f>
        <v>799</v>
      </c>
      <c r="V173" s="46">
        <f>IF(VLOOKUP($C173,REV!$C:$AA,20,0)-'TRADE IN'!$F173=0,"",(VLOOKUP($C173,REV!$C:$AA,20,0)-'TRADE IN'!$F173))</f>
        <v>799</v>
      </c>
      <c r="W173" s="46">
        <f>IF(VLOOKUP($C173,REV!$C:$AA,21,0)-'TRADE IN'!$F173=0,"",(VLOOKUP($C173,REV!$C:$AA,21,0)-'TRADE IN'!$F173))</f>
        <v>799</v>
      </c>
      <c r="X173" s="46">
        <f>IF(VLOOKUP($C173,REV!$C:$AA,22,0)-'TRADE IN'!$F173=0,"",(VLOOKUP($C173,REV!$C:$AA,22,0)-'TRADE IN'!$F173))</f>
        <v>799</v>
      </c>
      <c r="Y173" s="46">
        <f>IF(VLOOKUP($C173,REV!$C:$AA,23,0)-'TRADE IN'!$F173=0,"",(VLOOKUP($C173,REV!$C:$AA,23,0)-'TRADE IN'!$F173))</f>
        <v>799</v>
      </c>
      <c r="Z173" s="46">
        <f>IF(VLOOKUP($C173,REV!$C:$AA,24,0)-'TRADE IN'!$F173=0,"",(VLOOKUP($C173,REV!$C:$AA,24,0)-'TRADE IN'!$F173))</f>
        <v>799</v>
      </c>
      <c r="AA173" s="46">
        <f>IF(VLOOKUP($C173,REV!$C:$AA,25,0)-'TRADE IN'!$F173=0,"",(VLOOKUP($C173,REV!$C:$AA,25,0)-'TRADE IN'!$F173))</f>
        <v>799</v>
      </c>
      <c r="AB173" s="45" t="str">
        <f>IF(VLOOKUP($C173,REV!$C:$AL,27,0)-'TRADE IN'!$F173=0,"",(VLOOKUP($C173,REV!$C:$AL,27,0)-'TRADE IN'!$F173))</f>
        <v/>
      </c>
      <c r="AC173" s="45" t="str">
        <f>IF(VLOOKUP($C173,REV!$C:$AL,28,0)-'TRADE IN'!$F173=0,"",(VLOOKUP($C173,REV!$C:$AL,28,0)-'TRADE IN'!$F173))</f>
        <v/>
      </c>
      <c r="AD173" s="45" t="str">
        <f>IF(VLOOKUP($C173,REV!$C:$AL,29,0)-'TRADE IN'!$F173=0,"",(VLOOKUP($C173,REV!$C:$AL,29,0)-'TRADE IN'!$F173))</f>
        <v/>
      </c>
      <c r="AE173" s="45" t="str">
        <f>IF(VLOOKUP($C173,REV!$C:$AL,30,0)-'TRADE IN'!$F173=0,"",(VLOOKUP($C173,REV!$C:$AL,30,0)-'TRADE IN'!$F173))</f>
        <v/>
      </c>
      <c r="AF173" s="45" t="str">
        <f>IF(VLOOKUP($C173,REV!$C:$AL,31,0)-'TRADE IN'!$F173=0,"",(VLOOKUP($C173,REV!$C:$AL,31,0)-'TRADE IN'!$F173))</f>
        <v/>
      </c>
      <c r="AG173" s="45" t="str">
        <f>IF(VLOOKUP($C173,REV!$C:$AL,31,0)-'TRADE IN'!$F173=0,"",(VLOOKUP($C173,REV!$C:$AL,31,0)-'TRADE IN'!$F173))</f>
        <v/>
      </c>
      <c r="AH173" s="45" t="str">
        <f>IF(VLOOKUP($C173,REV!$C:$AL,32,0)-'TRADE IN'!$F173=0,"",(VLOOKUP($C173,REV!$C:$AL,32,0)-'TRADE IN'!$F173))</f>
        <v/>
      </c>
      <c r="AI173" s="45" t="str">
        <f>IF(VLOOKUP($C173,REV!$C:$AL,33,0)-'TRADE IN'!$F173=0,"",(VLOOKUP($C173,REV!$C:$AL,33,0)-'TRADE IN'!$F173))</f>
        <v/>
      </c>
      <c r="AJ173" s="45" t="str">
        <f>IF(VLOOKUP($C173,REV!$C:$AL,34,0)-'TRADE IN'!$F173=0,"",(VLOOKUP($C173,REV!$C:$AL,34,0)-'TRADE IN'!$F173))</f>
        <v/>
      </c>
      <c r="AK173" s="45" t="str">
        <f>IF(VLOOKUP($C173,REV!$C:$AL,35,0)-'TRADE IN'!$F173=0,"",(VLOOKUP($C173,REV!$C:$AL,35,0)-'TRADE IN'!$F173))</f>
        <v/>
      </c>
      <c r="AL173" s="45" t="str">
        <f>IF(VLOOKUP($C173,REV!$C:$AL,36,0)-'TRADE IN'!$F173=0,"",(VLOOKUP($C173,REV!$C:$AL,36,0)-'TRADE IN'!$F173))</f>
        <v/>
      </c>
      <c r="AM173" s="45"/>
      <c r="AN173" s="45"/>
      <c r="AO173" s="45"/>
      <c r="AP173" s="45"/>
      <c r="AQ173" s="45"/>
      <c r="AR173" s="45"/>
      <c r="AS173" s="45"/>
      <c r="AT173" s="45"/>
      <c r="AU173" s="45"/>
      <c r="AV173" s="47"/>
      <c r="AW173" s="48" t="str">
        <f>REV!AW173</f>
        <v>01.12.2026</v>
      </c>
      <c r="AX173" s="153" t="str">
        <f>VLOOKUP(C173,REV!C:AX,48,0)</f>
        <v>5G</v>
      </c>
    </row>
    <row r="174" spans="1:50" ht="22" customHeight="1">
      <c r="A174" s="41" t="s">
        <v>63</v>
      </c>
      <c r="B174" s="42" t="s">
        <v>64</v>
      </c>
      <c r="C174" s="43">
        <v>4016923</v>
      </c>
      <c r="D174" s="58" t="s">
        <v>285</v>
      </c>
      <c r="E174" s="58" t="s">
        <v>287</v>
      </c>
      <c r="F174" s="45"/>
      <c r="G174" s="45"/>
      <c r="H174" s="45"/>
      <c r="I174" s="45"/>
      <c r="J174" s="46">
        <f>IF(VLOOKUP($C174,REV!$C:$AA,8,0)-'TRADE IN'!$F174=0,"",(VLOOKUP($C174,REV!$C:$AA,8,0)-'TRADE IN'!$F174))</f>
        <v>1999</v>
      </c>
      <c r="K174" s="46">
        <f>IF(VLOOKUP($C174,REV!$C:$AA,9,0)-'TRADE IN'!$F174=0,"",(VLOOKUP($C174,REV!$C:$AA,9,0)-'TRADE IN'!$F174))</f>
        <v>1999</v>
      </c>
      <c r="L174" s="46">
        <f>IF(VLOOKUP($C174,REV!$C:$AA,10,0)-'TRADE IN'!$F174=0,"",(VLOOKUP($C174,REV!$C:$AA,10,0)-'TRADE IN'!$F174))</f>
        <v>1999</v>
      </c>
      <c r="M174" s="46">
        <f>IF(VLOOKUP($C174,REV!$C:$AA,11,0)-'TRADE IN'!$F174=0,"",(VLOOKUP($C174,REV!$C:$AA,11,0)-'TRADE IN'!$F174))</f>
        <v>1999</v>
      </c>
      <c r="N174" s="46">
        <f>IF(VLOOKUP($C174,REV!$C:$AA,12,0)-'TRADE IN'!$F174=0,"",(VLOOKUP($C174,REV!$C:$AA,12,0)-'TRADE IN'!$F174))</f>
        <v>1999</v>
      </c>
      <c r="O174" s="46">
        <f>IF(VLOOKUP($C174,REV!$C:$AA,13,0)-'TRADE IN'!$F174=0,"",(VLOOKUP($C174,REV!$C:$AA,13,0)-'TRADE IN'!$F174))</f>
        <v>1899</v>
      </c>
      <c r="P174" s="46">
        <f>IF(VLOOKUP($C174,REV!$C:$AA,14,0)-'TRADE IN'!$F174=0,"",(VLOOKUP($C174,REV!$C:$AA,14,0)-'TRADE IN'!$F174))</f>
        <v>1799</v>
      </c>
      <c r="Q174" s="46">
        <f>IF(VLOOKUP($C174,REV!$C:$AA,15,0)-'TRADE IN'!$F174=0,"",(VLOOKUP($C174,REV!$C:$AA,15,0)-'TRADE IN'!$F174))</f>
        <v>799</v>
      </c>
      <c r="R174" s="46">
        <f>IF(VLOOKUP($C174,REV!$C:$AA,16,0)-'TRADE IN'!$F174=0,"",(VLOOKUP($C174,REV!$C:$AA,16,0)-'TRADE IN'!$F174))</f>
        <v>1899</v>
      </c>
      <c r="S174" s="46">
        <f>IF(VLOOKUP($C174,REV!$C:$AA,17,0)-'TRADE IN'!$F174=0,"",(VLOOKUP($C174,REV!$C:$AA,17,0)-'TRADE IN'!$F174))</f>
        <v>1799</v>
      </c>
      <c r="T174" s="46">
        <f>IF(VLOOKUP($C174,REV!$C:$AA,18,0)-'TRADE IN'!$F174=0,"",(VLOOKUP($C174,REV!$C:$AA,18,0)-'TRADE IN'!$F174))</f>
        <v>799</v>
      </c>
      <c r="U174" s="46">
        <f>IF(VLOOKUP($C174,REV!$C:$AA,19,0)-'TRADE IN'!$F174=0,"",(VLOOKUP($C174,REV!$C:$AA,19,0)-'TRADE IN'!$F174))</f>
        <v>799</v>
      </c>
      <c r="V174" s="46">
        <f>IF(VLOOKUP($C174,REV!$C:$AA,20,0)-'TRADE IN'!$F174=0,"",(VLOOKUP($C174,REV!$C:$AA,20,0)-'TRADE IN'!$F174))</f>
        <v>799</v>
      </c>
      <c r="W174" s="46">
        <f>IF(VLOOKUP($C174,REV!$C:$AA,21,0)-'TRADE IN'!$F174=0,"",(VLOOKUP($C174,REV!$C:$AA,21,0)-'TRADE IN'!$F174))</f>
        <v>799</v>
      </c>
      <c r="X174" s="46">
        <f>IF(VLOOKUP($C174,REV!$C:$AA,22,0)-'TRADE IN'!$F174=0,"",(VLOOKUP($C174,REV!$C:$AA,22,0)-'TRADE IN'!$F174))</f>
        <v>799</v>
      </c>
      <c r="Y174" s="46">
        <f>IF(VLOOKUP($C174,REV!$C:$AA,23,0)-'TRADE IN'!$F174=0,"",(VLOOKUP($C174,REV!$C:$AA,23,0)-'TRADE IN'!$F174))</f>
        <v>799</v>
      </c>
      <c r="Z174" s="46">
        <f>IF(VLOOKUP($C174,REV!$C:$AA,24,0)-'TRADE IN'!$F174=0,"",(VLOOKUP($C174,REV!$C:$AA,24,0)-'TRADE IN'!$F174))</f>
        <v>799</v>
      </c>
      <c r="AA174" s="46">
        <f>IF(VLOOKUP($C174,REV!$C:$AA,25,0)-'TRADE IN'!$F174=0,"",(VLOOKUP($C174,REV!$C:$AA,25,0)-'TRADE IN'!$F174))</f>
        <v>799</v>
      </c>
      <c r="AB174" s="45" t="str">
        <f>IF(VLOOKUP($C174,REV!$C:$AL,27,0)-'TRADE IN'!$F174=0,"",(VLOOKUP($C174,REV!$C:$AL,27,0)-'TRADE IN'!$F174))</f>
        <v/>
      </c>
      <c r="AC174" s="45" t="str">
        <f>IF(VLOOKUP($C174,REV!$C:$AL,28,0)-'TRADE IN'!$F174=0,"",(VLOOKUP($C174,REV!$C:$AL,28,0)-'TRADE IN'!$F174))</f>
        <v/>
      </c>
      <c r="AD174" s="45" t="str">
        <f>IF(VLOOKUP($C174,REV!$C:$AL,29,0)-'TRADE IN'!$F174=0,"",(VLOOKUP($C174,REV!$C:$AL,29,0)-'TRADE IN'!$F174))</f>
        <v/>
      </c>
      <c r="AE174" s="45" t="str">
        <f>IF(VLOOKUP($C174,REV!$C:$AL,30,0)-'TRADE IN'!$F174=0,"",(VLOOKUP($C174,REV!$C:$AL,30,0)-'TRADE IN'!$F174))</f>
        <v/>
      </c>
      <c r="AF174" s="45" t="str">
        <f>IF(VLOOKUP($C174,REV!$C:$AL,31,0)-'TRADE IN'!$F174=0,"",(VLOOKUP($C174,REV!$C:$AL,31,0)-'TRADE IN'!$F174))</f>
        <v/>
      </c>
      <c r="AG174" s="45" t="str">
        <f>IF(VLOOKUP($C174,REV!$C:$AL,31,0)-'TRADE IN'!$F174=0,"",(VLOOKUP($C174,REV!$C:$AL,31,0)-'TRADE IN'!$F174))</f>
        <v/>
      </c>
      <c r="AH174" s="45" t="str">
        <f>IF(VLOOKUP($C174,REV!$C:$AL,32,0)-'TRADE IN'!$F174=0,"",(VLOOKUP($C174,REV!$C:$AL,32,0)-'TRADE IN'!$F174))</f>
        <v/>
      </c>
      <c r="AI174" s="45" t="str">
        <f>IF(VLOOKUP($C174,REV!$C:$AL,33,0)-'TRADE IN'!$F174=0,"",(VLOOKUP($C174,REV!$C:$AL,33,0)-'TRADE IN'!$F174))</f>
        <v/>
      </c>
      <c r="AJ174" s="45" t="str">
        <f>IF(VLOOKUP($C174,REV!$C:$AL,34,0)-'TRADE IN'!$F174=0,"",(VLOOKUP($C174,REV!$C:$AL,34,0)-'TRADE IN'!$F174))</f>
        <v/>
      </c>
      <c r="AK174" s="45" t="str">
        <f>IF(VLOOKUP($C174,REV!$C:$AL,35,0)-'TRADE IN'!$F174=0,"",(VLOOKUP($C174,REV!$C:$AL,35,0)-'TRADE IN'!$F174))</f>
        <v/>
      </c>
      <c r="AL174" s="45" t="str">
        <f>IF(VLOOKUP($C174,REV!$C:$AL,36,0)-'TRADE IN'!$F174=0,"",(VLOOKUP($C174,REV!$C:$AL,36,0)-'TRADE IN'!$F174))</f>
        <v/>
      </c>
      <c r="AM174" s="45"/>
      <c r="AN174" s="45"/>
      <c r="AO174" s="45"/>
      <c r="AP174" s="45"/>
      <c r="AQ174" s="45"/>
      <c r="AR174" s="45"/>
      <c r="AS174" s="45"/>
      <c r="AT174" s="45"/>
      <c r="AU174" s="45"/>
      <c r="AV174" s="47"/>
      <c r="AW174" s="48" t="str">
        <f>REV!AW174</f>
        <v>01.12.2026</v>
      </c>
      <c r="AX174" s="153" t="str">
        <f>VLOOKUP(C174,REV!C:AX,48,0)</f>
        <v>5G</v>
      </c>
    </row>
    <row r="175" spans="1:50" ht="22" customHeight="1">
      <c r="A175" s="41" t="s">
        <v>63</v>
      </c>
      <c r="B175" s="42" t="s">
        <v>64</v>
      </c>
      <c r="C175" s="43">
        <v>4017420</v>
      </c>
      <c r="D175" s="58" t="s">
        <v>288</v>
      </c>
      <c r="E175" s="58" t="s">
        <v>289</v>
      </c>
      <c r="F175" s="45"/>
      <c r="G175" s="45"/>
      <c r="H175" s="45"/>
      <c r="I175" s="45"/>
      <c r="J175" s="46">
        <f>IF(VLOOKUP($C175,REV!$C:$AA,8,0)-'TRADE IN'!$F175=0,"",(VLOOKUP($C175,REV!$C:$AA,8,0)-'TRADE IN'!$F175))</f>
        <v>3399</v>
      </c>
      <c r="K175" s="46">
        <f>IF(VLOOKUP($C175,REV!$C:$AA,9,0)-'TRADE IN'!$F175=0,"",(VLOOKUP($C175,REV!$C:$AA,9,0)-'TRADE IN'!$F175))</f>
        <v>3399</v>
      </c>
      <c r="L175" s="46">
        <f>IF(VLOOKUP($C175,REV!$C:$AA,10,0)-'TRADE IN'!$F175=0,"",(VLOOKUP($C175,REV!$C:$AA,10,0)-'TRADE IN'!$F175))</f>
        <v>3399</v>
      </c>
      <c r="M175" s="46">
        <f>IF(VLOOKUP($C175,REV!$C:$AA,11,0)-'TRADE IN'!$F175=0,"",(VLOOKUP($C175,REV!$C:$AA,11,0)-'TRADE IN'!$F175))</f>
        <v>3399</v>
      </c>
      <c r="N175" s="46">
        <f>IF(VLOOKUP($C175,REV!$C:$AA,12,0)-'TRADE IN'!$F175=0,"",(VLOOKUP($C175,REV!$C:$AA,12,0)-'TRADE IN'!$F175))</f>
        <v>3399</v>
      </c>
      <c r="O175" s="46">
        <f>IF(VLOOKUP($C175,REV!$C:$AA,13,0)-'TRADE IN'!$F175=0,"",(VLOOKUP($C175,REV!$C:$AA,13,0)-'TRADE IN'!$F175))</f>
        <v>3299</v>
      </c>
      <c r="P175" s="46">
        <f>IF(VLOOKUP($C175,REV!$C:$AA,14,0)-'TRADE IN'!$F175=0,"",(VLOOKUP($C175,REV!$C:$AA,14,0)-'TRADE IN'!$F175))</f>
        <v>3199</v>
      </c>
      <c r="Q175" s="46">
        <f>IF(VLOOKUP($C175,REV!$C:$AA,15,0)-'TRADE IN'!$F175=0,"",(VLOOKUP($C175,REV!$C:$AA,15,0)-'TRADE IN'!$F175))</f>
        <v>2499</v>
      </c>
      <c r="R175" s="46">
        <f>IF(VLOOKUP($C175,REV!$C:$AA,16,0)-'TRADE IN'!$F175=0,"",(VLOOKUP($C175,REV!$C:$AA,16,0)-'TRADE IN'!$F175))</f>
        <v>3299</v>
      </c>
      <c r="S175" s="46">
        <f>IF(VLOOKUP($C175,REV!$C:$AA,17,0)-'TRADE IN'!$F175=0,"",(VLOOKUP($C175,REV!$C:$AA,17,0)-'TRADE IN'!$F175))</f>
        <v>3199</v>
      </c>
      <c r="T175" s="46">
        <f>IF(VLOOKUP($C175,REV!$C:$AA,18,0)-'TRADE IN'!$F175=0,"",(VLOOKUP($C175,REV!$C:$AA,18,0)-'TRADE IN'!$F175))</f>
        <v>2499</v>
      </c>
      <c r="U175" s="46">
        <f>IF(VLOOKUP($C175,REV!$C:$AA,19,0)-'TRADE IN'!$F175=0,"",(VLOOKUP($C175,REV!$C:$AA,19,0)-'TRADE IN'!$F175))</f>
        <v>2499</v>
      </c>
      <c r="V175" s="46">
        <f>IF(VLOOKUP($C175,REV!$C:$AA,20,0)-'TRADE IN'!$F175=0,"",(VLOOKUP($C175,REV!$C:$AA,20,0)-'TRADE IN'!$F175))</f>
        <v>2499</v>
      </c>
      <c r="W175" s="46">
        <f>IF(VLOOKUP($C175,REV!$C:$AA,21,0)-'TRADE IN'!$F175=0,"",(VLOOKUP($C175,REV!$C:$AA,21,0)-'TRADE IN'!$F175))</f>
        <v>2499</v>
      </c>
      <c r="X175" s="46">
        <f>IF(VLOOKUP($C175,REV!$C:$AA,22,0)-'TRADE IN'!$F175=0,"",(VLOOKUP($C175,REV!$C:$AA,22,0)-'TRADE IN'!$F175))</f>
        <v>2399</v>
      </c>
      <c r="Y175" s="46">
        <f>IF(VLOOKUP($C175,REV!$C:$AA,23,0)-'TRADE IN'!$F175=0,"",(VLOOKUP($C175,REV!$C:$AA,23,0)-'TRADE IN'!$F175))</f>
        <v>1799</v>
      </c>
      <c r="Z175" s="46">
        <f>IF(VLOOKUP($C175,REV!$C:$AA,24,0)-'TRADE IN'!$F175=0,"",(VLOOKUP($C175,REV!$C:$AA,24,0)-'TRADE IN'!$F175))</f>
        <v>1799</v>
      </c>
      <c r="AA175" s="46">
        <f>IF(VLOOKUP($C175,REV!$C:$AA,25,0)-'TRADE IN'!$F175=0,"",(VLOOKUP($C175,REV!$C:$AA,25,0)-'TRADE IN'!$F175))</f>
        <v>1499</v>
      </c>
      <c r="AB175" s="45">
        <f>IF(VLOOKUP($C175,REV!$C:$AL,27,0)-'TRADE IN'!$F175=0,"",(VLOOKUP($C175,REV!$C:$AL,27,0)-'TRADE IN'!$F175))</f>
        <v>3399</v>
      </c>
      <c r="AC175" s="45">
        <f>IF(VLOOKUP($C175,REV!$C:$AL,28,0)-'TRADE IN'!$F175=0,"",(VLOOKUP($C175,REV!$C:$AL,28,0)-'TRADE IN'!$F175))</f>
        <v>3399</v>
      </c>
      <c r="AD175" s="45">
        <f>IF(VLOOKUP($C175,REV!$C:$AL,29,0)-'TRADE IN'!$F175=0,"",(VLOOKUP($C175,REV!$C:$AL,29,0)-'TRADE IN'!$F175))</f>
        <v>3399</v>
      </c>
      <c r="AE175" s="45">
        <f>IF(VLOOKUP($C175,REV!$C:$AL,30,0)-'TRADE IN'!$F175=0,"",(VLOOKUP($C175,REV!$C:$AL,30,0)-'TRADE IN'!$F175))</f>
        <v>3299</v>
      </c>
      <c r="AF175" s="45">
        <f>IF(VLOOKUP($C175,REV!$C:$AL,31,0)-'TRADE IN'!$F175=0,"",(VLOOKUP($C175,REV!$C:$AL,31,0)-'TRADE IN'!$F175))</f>
        <v>3199</v>
      </c>
      <c r="AG175" s="45">
        <f>IF(VLOOKUP($C175,REV!$C:$AL,31,0)-'TRADE IN'!$F175=0,"",(VLOOKUP($C175,REV!$C:$AL,31,0)-'TRADE IN'!$F175))</f>
        <v>3199</v>
      </c>
      <c r="AH175" s="45">
        <f>IF(VLOOKUP($C175,REV!$C:$AL,32,0)-'TRADE IN'!$F175=0,"",(VLOOKUP($C175,REV!$C:$AL,32,0)-'TRADE IN'!$F175))</f>
        <v>2499</v>
      </c>
      <c r="AI175" s="45">
        <f>IF(VLOOKUP($C175,REV!$C:$AL,33,0)-'TRADE IN'!$F175=0,"",(VLOOKUP($C175,REV!$C:$AL,33,0)-'TRADE IN'!$F175))</f>
        <v>2499</v>
      </c>
      <c r="AJ175" s="45">
        <f>IF(VLOOKUP($C175,REV!$C:$AL,34,0)-'TRADE IN'!$F175=0,"",(VLOOKUP($C175,REV!$C:$AL,34,0)-'TRADE IN'!$F175))</f>
        <v>2499</v>
      </c>
      <c r="AK175" s="45">
        <f>IF(VLOOKUP($C175,REV!$C:$AL,35,0)-'TRADE IN'!$F175=0,"",(VLOOKUP($C175,REV!$C:$AL,35,0)-'TRADE IN'!$F175))</f>
        <v>2499</v>
      </c>
      <c r="AL175" s="45">
        <f>IF(VLOOKUP($C175,REV!$C:$AL,36,0)-'TRADE IN'!$F175=0,"",(VLOOKUP($C175,REV!$C:$AL,36,0)-'TRADE IN'!$F175))</f>
        <v>1799</v>
      </c>
      <c r="AM175" s="45"/>
      <c r="AN175" s="45"/>
      <c r="AO175" s="45"/>
      <c r="AP175" s="45"/>
      <c r="AQ175" s="45"/>
      <c r="AR175" s="45"/>
      <c r="AS175" s="45"/>
      <c r="AT175" s="45"/>
      <c r="AU175" s="45"/>
      <c r="AV175" s="47"/>
      <c r="AW175" s="48" t="str">
        <f>REV!AW175</f>
        <v>01.12.2026</v>
      </c>
      <c r="AX175" s="153" t="str">
        <f>VLOOKUP(C175,REV!C:AX,48,0)</f>
        <v>5G</v>
      </c>
    </row>
    <row r="176" spans="1:50" ht="22" customHeight="1">
      <c r="A176" s="41" t="s">
        <v>63</v>
      </c>
      <c r="B176" s="42" t="s">
        <v>64</v>
      </c>
      <c r="C176" s="43">
        <v>4017415</v>
      </c>
      <c r="D176" s="58" t="s">
        <v>288</v>
      </c>
      <c r="E176" s="58" t="s">
        <v>290</v>
      </c>
      <c r="F176" s="45"/>
      <c r="G176" s="45"/>
      <c r="H176" s="45"/>
      <c r="I176" s="45"/>
      <c r="J176" s="46">
        <f>IF(VLOOKUP($C176,REV!$C:$AA,8,0)-'TRADE IN'!$F176=0,"",(VLOOKUP($C176,REV!$C:$AA,8,0)-'TRADE IN'!$F176))</f>
        <v>3399</v>
      </c>
      <c r="K176" s="46">
        <f>IF(VLOOKUP($C176,REV!$C:$AA,9,0)-'TRADE IN'!$F176=0,"",(VLOOKUP($C176,REV!$C:$AA,9,0)-'TRADE IN'!$F176))</f>
        <v>3399</v>
      </c>
      <c r="L176" s="46">
        <f>IF(VLOOKUP($C176,REV!$C:$AA,10,0)-'TRADE IN'!$F176=0,"",(VLOOKUP($C176,REV!$C:$AA,10,0)-'TRADE IN'!$F176))</f>
        <v>3399</v>
      </c>
      <c r="M176" s="46">
        <f>IF(VLOOKUP($C176,REV!$C:$AA,11,0)-'TRADE IN'!$F176=0,"",(VLOOKUP($C176,REV!$C:$AA,11,0)-'TRADE IN'!$F176))</f>
        <v>3399</v>
      </c>
      <c r="N176" s="46">
        <f>IF(VLOOKUP($C176,REV!$C:$AA,12,0)-'TRADE IN'!$F176=0,"",(VLOOKUP($C176,REV!$C:$AA,12,0)-'TRADE IN'!$F176))</f>
        <v>3399</v>
      </c>
      <c r="O176" s="46">
        <f>IF(VLOOKUP($C176,REV!$C:$AA,13,0)-'TRADE IN'!$F176=0,"",(VLOOKUP($C176,REV!$C:$AA,13,0)-'TRADE IN'!$F176))</f>
        <v>3299</v>
      </c>
      <c r="P176" s="46">
        <f>IF(VLOOKUP($C176,REV!$C:$AA,14,0)-'TRADE IN'!$F176=0,"",(VLOOKUP($C176,REV!$C:$AA,14,0)-'TRADE IN'!$F176))</f>
        <v>3199</v>
      </c>
      <c r="Q176" s="46">
        <f>IF(VLOOKUP($C176,REV!$C:$AA,15,0)-'TRADE IN'!$F176=0,"",(VLOOKUP($C176,REV!$C:$AA,15,0)-'TRADE IN'!$F176))</f>
        <v>2499</v>
      </c>
      <c r="R176" s="46">
        <f>IF(VLOOKUP($C176,REV!$C:$AA,16,0)-'TRADE IN'!$F176=0,"",(VLOOKUP($C176,REV!$C:$AA,16,0)-'TRADE IN'!$F176))</f>
        <v>3299</v>
      </c>
      <c r="S176" s="46">
        <f>IF(VLOOKUP($C176,REV!$C:$AA,17,0)-'TRADE IN'!$F176=0,"",(VLOOKUP($C176,REV!$C:$AA,17,0)-'TRADE IN'!$F176))</f>
        <v>3199</v>
      </c>
      <c r="T176" s="46">
        <f>IF(VLOOKUP($C176,REV!$C:$AA,18,0)-'TRADE IN'!$F176=0,"",(VLOOKUP($C176,REV!$C:$AA,18,0)-'TRADE IN'!$F176))</f>
        <v>2499</v>
      </c>
      <c r="U176" s="46">
        <f>IF(VLOOKUP($C176,REV!$C:$AA,19,0)-'TRADE IN'!$F176=0,"",(VLOOKUP($C176,REV!$C:$AA,19,0)-'TRADE IN'!$F176))</f>
        <v>2499</v>
      </c>
      <c r="V176" s="46">
        <f>IF(VLOOKUP($C176,REV!$C:$AA,20,0)-'TRADE IN'!$F176=0,"",(VLOOKUP($C176,REV!$C:$AA,20,0)-'TRADE IN'!$F176))</f>
        <v>2499</v>
      </c>
      <c r="W176" s="46">
        <f>IF(VLOOKUP($C176,REV!$C:$AA,21,0)-'TRADE IN'!$F176=0,"",(VLOOKUP($C176,REV!$C:$AA,21,0)-'TRADE IN'!$F176))</f>
        <v>2499</v>
      </c>
      <c r="X176" s="46">
        <f>IF(VLOOKUP($C176,REV!$C:$AA,22,0)-'TRADE IN'!$F176=0,"",(VLOOKUP($C176,REV!$C:$AA,22,0)-'TRADE IN'!$F176))</f>
        <v>2399</v>
      </c>
      <c r="Y176" s="46">
        <f>IF(VLOOKUP($C176,REV!$C:$AA,23,0)-'TRADE IN'!$F176=0,"",(VLOOKUP($C176,REV!$C:$AA,23,0)-'TRADE IN'!$F176))</f>
        <v>1799</v>
      </c>
      <c r="Z176" s="46">
        <f>IF(VLOOKUP($C176,REV!$C:$AA,24,0)-'TRADE IN'!$F176=0,"",(VLOOKUP($C176,REV!$C:$AA,24,0)-'TRADE IN'!$F176))</f>
        <v>1799</v>
      </c>
      <c r="AA176" s="46">
        <f>IF(VLOOKUP($C176,REV!$C:$AA,25,0)-'TRADE IN'!$F176=0,"",(VLOOKUP($C176,REV!$C:$AA,25,0)-'TRADE IN'!$F176))</f>
        <v>1499</v>
      </c>
      <c r="AB176" s="45">
        <f>IF(VLOOKUP($C176,REV!$C:$AL,27,0)-'TRADE IN'!$F176=0,"",(VLOOKUP($C176,REV!$C:$AL,27,0)-'TRADE IN'!$F176))</f>
        <v>3399</v>
      </c>
      <c r="AC176" s="45">
        <f>IF(VLOOKUP($C176,REV!$C:$AL,28,0)-'TRADE IN'!$F176=0,"",(VLOOKUP($C176,REV!$C:$AL,28,0)-'TRADE IN'!$F176))</f>
        <v>3399</v>
      </c>
      <c r="AD176" s="45">
        <f>IF(VLOOKUP($C176,REV!$C:$AL,29,0)-'TRADE IN'!$F176=0,"",(VLOOKUP($C176,REV!$C:$AL,29,0)-'TRADE IN'!$F176))</f>
        <v>3399</v>
      </c>
      <c r="AE176" s="45">
        <f>IF(VLOOKUP($C176,REV!$C:$AL,30,0)-'TRADE IN'!$F176=0,"",(VLOOKUP($C176,REV!$C:$AL,30,0)-'TRADE IN'!$F176))</f>
        <v>3299</v>
      </c>
      <c r="AF176" s="45">
        <f>IF(VLOOKUP($C176,REV!$C:$AL,31,0)-'TRADE IN'!$F176=0,"",(VLOOKUP($C176,REV!$C:$AL,31,0)-'TRADE IN'!$F176))</f>
        <v>3199</v>
      </c>
      <c r="AG176" s="45">
        <f>IF(VLOOKUP($C176,REV!$C:$AL,31,0)-'TRADE IN'!$F176=0,"",(VLOOKUP($C176,REV!$C:$AL,31,0)-'TRADE IN'!$F176))</f>
        <v>3199</v>
      </c>
      <c r="AH176" s="45">
        <f>IF(VLOOKUP($C176,REV!$C:$AL,32,0)-'TRADE IN'!$F176=0,"",(VLOOKUP($C176,REV!$C:$AL,32,0)-'TRADE IN'!$F176))</f>
        <v>2499</v>
      </c>
      <c r="AI176" s="45">
        <f>IF(VLOOKUP($C176,REV!$C:$AL,33,0)-'TRADE IN'!$F176=0,"",(VLOOKUP($C176,REV!$C:$AL,33,0)-'TRADE IN'!$F176))</f>
        <v>2499</v>
      </c>
      <c r="AJ176" s="45">
        <f>IF(VLOOKUP($C176,REV!$C:$AL,34,0)-'TRADE IN'!$F176=0,"",(VLOOKUP($C176,REV!$C:$AL,34,0)-'TRADE IN'!$F176))</f>
        <v>2499</v>
      </c>
      <c r="AK176" s="45">
        <f>IF(VLOOKUP($C176,REV!$C:$AL,35,0)-'TRADE IN'!$F176=0,"",(VLOOKUP($C176,REV!$C:$AL,35,0)-'TRADE IN'!$F176))</f>
        <v>2499</v>
      </c>
      <c r="AL176" s="45">
        <f>IF(VLOOKUP($C176,REV!$C:$AL,36,0)-'TRADE IN'!$F176=0,"",(VLOOKUP($C176,REV!$C:$AL,36,0)-'TRADE IN'!$F176))</f>
        <v>1799</v>
      </c>
      <c r="AM176" s="45"/>
      <c r="AN176" s="45"/>
      <c r="AO176" s="45"/>
      <c r="AP176" s="45"/>
      <c r="AQ176" s="45"/>
      <c r="AR176" s="45"/>
      <c r="AS176" s="45"/>
      <c r="AT176" s="45"/>
      <c r="AU176" s="45"/>
      <c r="AV176" s="47"/>
      <c r="AW176" s="48" t="str">
        <f>REV!AW176</f>
        <v>01.12.2026</v>
      </c>
      <c r="AX176" s="153" t="str">
        <f>VLOOKUP(C176,REV!C:AX,48,0)</f>
        <v>5G</v>
      </c>
    </row>
    <row r="177" spans="1:50" ht="22" customHeight="1">
      <c r="A177" s="41" t="s">
        <v>63</v>
      </c>
      <c r="B177" s="42" t="s">
        <v>64</v>
      </c>
      <c r="C177" s="43">
        <v>4017041</v>
      </c>
      <c r="D177" s="58" t="s">
        <v>291</v>
      </c>
      <c r="E177" s="58" t="s">
        <v>292</v>
      </c>
      <c r="F177" s="45"/>
      <c r="G177" s="45"/>
      <c r="H177" s="45"/>
      <c r="I177" s="45"/>
      <c r="J177" s="46">
        <f>IF(VLOOKUP($C177,REV!$C:$AA,8,0)-'TRADE IN'!$F177=0,"",(VLOOKUP($C177,REV!$C:$AA,8,0)-'TRADE IN'!$F177))</f>
        <v>2999</v>
      </c>
      <c r="K177" s="46">
        <f>IF(VLOOKUP($C177,REV!$C:$AA,9,0)-'TRADE IN'!$F177=0,"",(VLOOKUP($C177,REV!$C:$AA,9,0)-'TRADE IN'!$F177))</f>
        <v>2999</v>
      </c>
      <c r="L177" s="46">
        <f>IF(VLOOKUP($C177,REV!$C:$AA,10,0)-'TRADE IN'!$F177=0,"",(VLOOKUP($C177,REV!$C:$AA,10,0)-'TRADE IN'!$F177))</f>
        <v>2999</v>
      </c>
      <c r="M177" s="46">
        <f>IF(VLOOKUP($C177,REV!$C:$AA,11,0)-'TRADE IN'!$F177=0,"",(VLOOKUP($C177,REV!$C:$AA,11,0)-'TRADE IN'!$F177))</f>
        <v>2999</v>
      </c>
      <c r="N177" s="46">
        <f>IF(VLOOKUP($C177,REV!$C:$AA,12,0)-'TRADE IN'!$F177=0,"",(VLOOKUP($C177,REV!$C:$AA,12,0)-'TRADE IN'!$F177))</f>
        <v>2999</v>
      </c>
      <c r="O177" s="46">
        <f>IF(VLOOKUP($C177,REV!$C:$AA,13,0)-'TRADE IN'!$F177=0,"",(VLOOKUP($C177,REV!$C:$AA,13,0)-'TRADE IN'!$F177))</f>
        <v>2899</v>
      </c>
      <c r="P177" s="46">
        <f>IF(VLOOKUP($C177,REV!$C:$AA,14,0)-'TRADE IN'!$F177=0,"",(VLOOKUP($C177,REV!$C:$AA,14,0)-'TRADE IN'!$F177))</f>
        <v>2799</v>
      </c>
      <c r="Q177" s="46">
        <f>IF(VLOOKUP($C177,REV!$C:$AA,15,0)-'TRADE IN'!$F177=0,"",(VLOOKUP($C177,REV!$C:$AA,15,0)-'TRADE IN'!$F177))</f>
        <v>1499</v>
      </c>
      <c r="R177" s="46">
        <f>IF(VLOOKUP($C177,REV!$C:$AA,16,0)-'TRADE IN'!$F177=0,"",(VLOOKUP($C177,REV!$C:$AA,16,0)-'TRADE IN'!$F177))</f>
        <v>2899</v>
      </c>
      <c r="S177" s="46">
        <f>IF(VLOOKUP($C177,REV!$C:$AA,17,0)-'TRADE IN'!$F177=0,"",(VLOOKUP($C177,REV!$C:$AA,17,0)-'TRADE IN'!$F177))</f>
        <v>2799</v>
      </c>
      <c r="T177" s="46">
        <f>IF(VLOOKUP($C177,REV!$C:$AA,18,0)-'TRADE IN'!$F177=0,"",(VLOOKUP($C177,REV!$C:$AA,18,0)-'TRADE IN'!$F177))</f>
        <v>1499</v>
      </c>
      <c r="U177" s="46">
        <f>IF(VLOOKUP($C177,REV!$C:$AA,19,0)-'TRADE IN'!$F177=0,"",(VLOOKUP($C177,REV!$C:$AA,19,0)-'TRADE IN'!$F177))</f>
        <v>1499</v>
      </c>
      <c r="V177" s="46">
        <f>IF(VLOOKUP($C177,REV!$C:$AA,20,0)-'TRADE IN'!$F177=0,"",(VLOOKUP($C177,REV!$C:$AA,20,0)-'TRADE IN'!$F177))</f>
        <v>1499</v>
      </c>
      <c r="W177" s="46">
        <f>IF(VLOOKUP($C177,REV!$C:$AA,21,0)-'TRADE IN'!$F177=0,"",(VLOOKUP($C177,REV!$C:$AA,21,0)-'TRADE IN'!$F177))</f>
        <v>1499</v>
      </c>
      <c r="X177" s="46">
        <f>IF(VLOOKUP($C177,REV!$C:$AA,22,0)-'TRADE IN'!$F177=0,"",(VLOOKUP($C177,REV!$C:$AA,22,0)-'TRADE IN'!$F177))</f>
        <v>1499</v>
      </c>
      <c r="Y177" s="46">
        <f>IF(VLOOKUP($C177,REV!$C:$AA,23,0)-'TRADE IN'!$F177=0,"",(VLOOKUP($C177,REV!$C:$AA,23,0)-'TRADE IN'!$F177))</f>
        <v>1499</v>
      </c>
      <c r="Z177" s="46">
        <f>IF(VLOOKUP($C177,REV!$C:$AA,24,0)-'TRADE IN'!$F177=0,"",(VLOOKUP($C177,REV!$C:$AA,24,0)-'TRADE IN'!$F177))</f>
        <v>1499</v>
      </c>
      <c r="AA177" s="46">
        <f>IF(VLOOKUP($C177,REV!$C:$AA,25,0)-'TRADE IN'!$F177=0,"",(VLOOKUP($C177,REV!$C:$AA,25,0)-'TRADE IN'!$F177))</f>
        <v>1499</v>
      </c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7"/>
      <c r="AW177" s="48" t="str">
        <f>REV!AW177</f>
        <v>01.12.2026</v>
      </c>
      <c r="AX177" s="153" t="str">
        <f>VLOOKUP(C177,REV!C:AX,48,0)</f>
        <v>5G</v>
      </c>
    </row>
    <row r="178" spans="1:50" ht="22" customHeight="1">
      <c r="A178" s="41" t="s">
        <v>63</v>
      </c>
      <c r="B178" s="42" t="s">
        <v>64</v>
      </c>
      <c r="C178" s="43">
        <v>4017646</v>
      </c>
      <c r="D178" s="58" t="s">
        <v>293</v>
      </c>
      <c r="E178" s="58" t="s">
        <v>294</v>
      </c>
      <c r="F178" s="45"/>
      <c r="G178" s="45"/>
      <c r="H178" s="45"/>
      <c r="I178" s="45"/>
      <c r="J178" s="46">
        <f>IF(VLOOKUP($C178,REV!$C:$AA,8,0)-'TRADE IN'!$F178=0,"",(VLOOKUP($C178,REV!$C:$AA,8,0)-'TRADE IN'!$F178))</f>
        <v>4899</v>
      </c>
      <c r="K178" s="46">
        <f>IF(VLOOKUP($C178,REV!$C:$AA,9,0)-'TRADE IN'!$F178=0,"",(VLOOKUP($C178,REV!$C:$AA,9,0)-'TRADE IN'!$F178))</f>
        <v>4899</v>
      </c>
      <c r="L178" s="46">
        <f>IF(VLOOKUP($C178,REV!$C:$AA,10,0)-'TRADE IN'!$F178=0,"",(VLOOKUP($C178,REV!$C:$AA,10,0)-'TRADE IN'!$F178))</f>
        <v>4899</v>
      </c>
      <c r="M178" s="46">
        <f>IF(VLOOKUP($C178,REV!$C:$AA,11,0)-'TRADE IN'!$F178=0,"",(VLOOKUP($C178,REV!$C:$AA,11,0)-'TRADE IN'!$F178))</f>
        <v>4899</v>
      </c>
      <c r="N178" s="46">
        <f>IF(VLOOKUP($C178,REV!$C:$AA,12,0)-'TRADE IN'!$F178=0,"",(VLOOKUP($C178,REV!$C:$AA,12,0)-'TRADE IN'!$F178))</f>
        <v>4899</v>
      </c>
      <c r="O178" s="46">
        <f>IF(VLOOKUP($C178,REV!$C:$AA,13,0)-'TRADE IN'!$F178=0,"",(VLOOKUP($C178,REV!$C:$AA,13,0)-'TRADE IN'!$F178))</f>
        <v>4799</v>
      </c>
      <c r="P178" s="46">
        <f>IF(VLOOKUP($C178,REV!$C:$AA,14,0)-'TRADE IN'!$F178=0,"",(VLOOKUP($C178,REV!$C:$AA,14,0)-'TRADE IN'!$F178))</f>
        <v>4699</v>
      </c>
      <c r="Q178" s="46">
        <f>IF(VLOOKUP($C178,REV!$C:$AA,15,0)-'TRADE IN'!$F178=0,"",(VLOOKUP($C178,REV!$C:$AA,15,0)-'TRADE IN'!$F178))</f>
        <v>3499</v>
      </c>
      <c r="R178" s="46">
        <f>IF(VLOOKUP($C178,REV!$C:$AA,16,0)-'TRADE IN'!$F178=0,"",(VLOOKUP($C178,REV!$C:$AA,16,0)-'TRADE IN'!$F178))</f>
        <v>4799</v>
      </c>
      <c r="S178" s="46">
        <f>IF(VLOOKUP($C178,REV!$C:$AA,17,0)-'TRADE IN'!$F178=0,"",(VLOOKUP($C178,REV!$C:$AA,17,0)-'TRADE IN'!$F178))</f>
        <v>4699</v>
      </c>
      <c r="T178" s="46">
        <f>IF(VLOOKUP($C178,REV!$C:$AA,18,0)-'TRADE IN'!$F178=0,"",(VLOOKUP($C178,REV!$C:$AA,18,0)-'TRADE IN'!$F178))</f>
        <v>3499</v>
      </c>
      <c r="U178" s="46">
        <f>IF(VLOOKUP($C178,REV!$C:$AA,19,0)-'TRADE IN'!$F178=0,"",(VLOOKUP($C178,REV!$C:$AA,19,0)-'TRADE IN'!$F178))</f>
        <v>3499</v>
      </c>
      <c r="V178" s="46">
        <f>IF(VLOOKUP($C178,REV!$C:$AA,20,0)-'TRADE IN'!$F178=0,"",(VLOOKUP($C178,REV!$C:$AA,20,0)-'TRADE IN'!$F178))</f>
        <v>3499</v>
      </c>
      <c r="W178" s="46">
        <f>IF(VLOOKUP($C178,REV!$C:$AA,21,0)-'TRADE IN'!$F178=0,"",(VLOOKUP($C178,REV!$C:$AA,21,0)-'TRADE IN'!$F178))</f>
        <v>3499</v>
      </c>
      <c r="X178" s="46">
        <f>IF(VLOOKUP($C178,REV!$C:$AA,22,0)-'TRADE IN'!$F178=0,"",(VLOOKUP($C178,REV!$C:$AA,22,0)-'TRADE IN'!$F178))</f>
        <v>3399</v>
      </c>
      <c r="Y178" s="46">
        <f>IF(VLOOKUP($C178,REV!$C:$AA,23,0)-'TRADE IN'!$F178=0,"",(VLOOKUP($C178,REV!$C:$AA,23,0)-'TRADE IN'!$F178))</f>
        <v>1799</v>
      </c>
      <c r="Z178" s="46">
        <f>IF(VLOOKUP($C178,REV!$C:$AA,24,0)-'TRADE IN'!$F178=0,"",(VLOOKUP($C178,REV!$C:$AA,24,0)-'TRADE IN'!$F178))</f>
        <v>1799</v>
      </c>
      <c r="AA178" s="46">
        <f>IF(VLOOKUP($C178,REV!$C:$AA,25,0)-'TRADE IN'!$F178=0,"",(VLOOKUP($C178,REV!$C:$AA,25,0)-'TRADE IN'!$F178))</f>
        <v>1699</v>
      </c>
      <c r="AB178" s="45">
        <f>IF(VLOOKUP($C178,REV!$C:$AL,27,0)-'TRADE IN'!$F178=0,"",(VLOOKUP($C178,REV!$C:$AL,27,0)-'TRADE IN'!$F178))</f>
        <v>4899</v>
      </c>
      <c r="AC178" s="45">
        <f>IF(VLOOKUP($C178,REV!$C:$AL,28,0)-'TRADE IN'!$F178=0,"",(VLOOKUP($C178,REV!$C:$AL,28,0)-'TRADE IN'!$F178))</f>
        <v>4899</v>
      </c>
      <c r="AD178" s="45">
        <f>IF(VLOOKUP($C178,REV!$C:$AL,29,0)-'TRADE IN'!$F178=0,"",(VLOOKUP($C178,REV!$C:$AL,29,0)-'TRADE IN'!$F178))</f>
        <v>4899</v>
      </c>
      <c r="AE178" s="45">
        <f>IF(VLOOKUP($C178,REV!$C:$AL,30,0)-'TRADE IN'!$F178=0,"",(VLOOKUP($C178,REV!$C:$AL,30,0)-'TRADE IN'!$F178))</f>
        <v>4799</v>
      </c>
      <c r="AF178" s="45">
        <f>IF(VLOOKUP($C178,REV!$C:$AL,31,0)-'TRADE IN'!$F178=0,"",(VLOOKUP($C178,REV!$C:$AL,31,0)-'TRADE IN'!$F178))</f>
        <v>4699</v>
      </c>
      <c r="AG178" s="45">
        <f>IF(VLOOKUP($C178,REV!$C:$AL,31,0)-'TRADE IN'!$F178=0,"",(VLOOKUP($C178,REV!$C:$AL,31,0)-'TRADE IN'!$F178))</f>
        <v>4699</v>
      </c>
      <c r="AH178" s="45">
        <f>IF(VLOOKUP($C178,REV!$C:$AL,32,0)-'TRADE IN'!$F178=0,"",(VLOOKUP($C178,REV!$C:$AL,32,0)-'TRADE IN'!$F178))</f>
        <v>3499</v>
      </c>
      <c r="AI178" s="45">
        <f>IF(VLOOKUP($C178,REV!$C:$AL,33,0)-'TRADE IN'!$F178=0,"",(VLOOKUP($C178,REV!$C:$AL,33,0)-'TRADE IN'!$F178))</f>
        <v>3499</v>
      </c>
      <c r="AJ178" s="45">
        <f>IF(VLOOKUP($C178,REV!$C:$AL,34,0)-'TRADE IN'!$F178=0,"",(VLOOKUP($C178,REV!$C:$AL,34,0)-'TRADE IN'!$F178))</f>
        <v>3499</v>
      </c>
      <c r="AK178" s="45">
        <f>IF(VLOOKUP($C178,REV!$C:$AL,35,0)-'TRADE IN'!$F178=0,"",(VLOOKUP($C178,REV!$C:$AL,35,0)-'TRADE IN'!$F178))</f>
        <v>3499</v>
      </c>
      <c r="AL178" s="45">
        <f>IF(VLOOKUP($C178,REV!$C:$AL,36,0)-'TRADE IN'!$F178=0,"",(VLOOKUP($C178,REV!$C:$AL,36,0)-'TRADE IN'!$F178))</f>
        <v>1799</v>
      </c>
      <c r="AM178" s="45"/>
      <c r="AN178" s="45"/>
      <c r="AO178" s="45"/>
      <c r="AP178" s="45"/>
      <c r="AQ178" s="45"/>
      <c r="AR178" s="45"/>
      <c r="AS178" s="45"/>
      <c r="AT178" s="45"/>
      <c r="AU178" s="45"/>
      <c r="AV178" s="47"/>
      <c r="AW178" s="48" t="str">
        <f>REV!AW178</f>
        <v>01.12.2026</v>
      </c>
      <c r="AX178" s="153" t="str">
        <f>VLOOKUP(C178,REV!C:AX,48,0)</f>
        <v>5G</v>
      </c>
    </row>
    <row r="179" spans="1:50" ht="22" customHeight="1">
      <c r="A179" s="41" t="s">
        <v>63</v>
      </c>
      <c r="B179" s="42" t="s">
        <v>64</v>
      </c>
      <c r="C179" s="43">
        <v>4017644</v>
      </c>
      <c r="D179" s="58" t="s">
        <v>293</v>
      </c>
      <c r="E179" s="58" t="s">
        <v>295</v>
      </c>
      <c r="F179" s="45"/>
      <c r="G179" s="45"/>
      <c r="H179" s="45"/>
      <c r="I179" s="45"/>
      <c r="J179" s="46">
        <f>IF(VLOOKUP($C179,REV!$C:$AA,8,0)-'TRADE IN'!$F179=0,"",(VLOOKUP($C179,REV!$C:$AA,8,0)-'TRADE IN'!$F179))</f>
        <v>4899</v>
      </c>
      <c r="K179" s="46">
        <f>IF(VLOOKUP($C179,REV!$C:$AA,9,0)-'TRADE IN'!$F179=0,"",(VLOOKUP($C179,REV!$C:$AA,9,0)-'TRADE IN'!$F179))</f>
        <v>4899</v>
      </c>
      <c r="L179" s="46">
        <f>IF(VLOOKUP($C179,REV!$C:$AA,10,0)-'TRADE IN'!$F179=0,"",(VLOOKUP($C179,REV!$C:$AA,10,0)-'TRADE IN'!$F179))</f>
        <v>4899</v>
      </c>
      <c r="M179" s="46">
        <f>IF(VLOOKUP($C179,REV!$C:$AA,11,0)-'TRADE IN'!$F179=0,"",(VLOOKUP($C179,REV!$C:$AA,11,0)-'TRADE IN'!$F179))</f>
        <v>4899</v>
      </c>
      <c r="N179" s="46">
        <f>IF(VLOOKUP($C179,REV!$C:$AA,12,0)-'TRADE IN'!$F179=0,"",(VLOOKUP($C179,REV!$C:$AA,12,0)-'TRADE IN'!$F179))</f>
        <v>4899</v>
      </c>
      <c r="O179" s="46">
        <f>IF(VLOOKUP($C179,REV!$C:$AA,13,0)-'TRADE IN'!$F179=0,"",(VLOOKUP($C179,REV!$C:$AA,13,0)-'TRADE IN'!$F179))</f>
        <v>4799</v>
      </c>
      <c r="P179" s="46">
        <f>IF(VLOOKUP($C179,REV!$C:$AA,14,0)-'TRADE IN'!$F179=0,"",(VLOOKUP($C179,REV!$C:$AA,14,0)-'TRADE IN'!$F179))</f>
        <v>4699</v>
      </c>
      <c r="Q179" s="46">
        <f>IF(VLOOKUP($C179,REV!$C:$AA,15,0)-'TRADE IN'!$F179=0,"",(VLOOKUP($C179,REV!$C:$AA,15,0)-'TRADE IN'!$F179))</f>
        <v>3499</v>
      </c>
      <c r="R179" s="46">
        <f>IF(VLOOKUP($C179,REV!$C:$AA,16,0)-'TRADE IN'!$F179=0,"",(VLOOKUP($C179,REV!$C:$AA,16,0)-'TRADE IN'!$F179))</f>
        <v>4799</v>
      </c>
      <c r="S179" s="46">
        <f>IF(VLOOKUP($C179,REV!$C:$AA,17,0)-'TRADE IN'!$F179=0,"",(VLOOKUP($C179,REV!$C:$AA,17,0)-'TRADE IN'!$F179))</f>
        <v>4699</v>
      </c>
      <c r="T179" s="46">
        <f>IF(VLOOKUP($C179,REV!$C:$AA,18,0)-'TRADE IN'!$F179=0,"",(VLOOKUP($C179,REV!$C:$AA,18,0)-'TRADE IN'!$F179))</f>
        <v>3499</v>
      </c>
      <c r="U179" s="46">
        <f>IF(VLOOKUP($C179,REV!$C:$AA,19,0)-'TRADE IN'!$F179=0,"",(VLOOKUP($C179,REV!$C:$AA,19,0)-'TRADE IN'!$F179))</f>
        <v>3499</v>
      </c>
      <c r="V179" s="46">
        <f>IF(VLOOKUP($C179,REV!$C:$AA,20,0)-'TRADE IN'!$F179=0,"",(VLOOKUP($C179,REV!$C:$AA,20,0)-'TRADE IN'!$F179))</f>
        <v>3499</v>
      </c>
      <c r="W179" s="46">
        <f>IF(VLOOKUP($C179,REV!$C:$AA,21,0)-'TRADE IN'!$F179=0,"",(VLOOKUP($C179,REV!$C:$AA,21,0)-'TRADE IN'!$F179))</f>
        <v>3499</v>
      </c>
      <c r="X179" s="46">
        <f>IF(VLOOKUP($C179,REV!$C:$AA,22,0)-'TRADE IN'!$F179=0,"",(VLOOKUP($C179,REV!$C:$AA,22,0)-'TRADE IN'!$F179))</f>
        <v>3399</v>
      </c>
      <c r="Y179" s="46">
        <f>IF(VLOOKUP($C179,REV!$C:$AA,23,0)-'TRADE IN'!$F179=0,"",(VLOOKUP($C179,REV!$C:$AA,23,0)-'TRADE IN'!$F179))</f>
        <v>1799</v>
      </c>
      <c r="Z179" s="46">
        <f>IF(VLOOKUP($C179,REV!$C:$AA,24,0)-'TRADE IN'!$F179=0,"",(VLOOKUP($C179,REV!$C:$AA,24,0)-'TRADE IN'!$F179))</f>
        <v>1799</v>
      </c>
      <c r="AA179" s="46">
        <f>IF(VLOOKUP($C179,REV!$C:$AA,25,0)-'TRADE IN'!$F179=0,"",(VLOOKUP($C179,REV!$C:$AA,25,0)-'TRADE IN'!$F179))</f>
        <v>1699</v>
      </c>
      <c r="AB179" s="45">
        <f>IF(VLOOKUP($C179,REV!$C:$AL,27,0)-'TRADE IN'!$F179=0,"",(VLOOKUP($C179,REV!$C:$AL,27,0)-'TRADE IN'!$F179))</f>
        <v>4899</v>
      </c>
      <c r="AC179" s="45">
        <f>IF(VLOOKUP($C179,REV!$C:$AL,28,0)-'TRADE IN'!$F179=0,"",(VLOOKUP($C179,REV!$C:$AL,28,0)-'TRADE IN'!$F179))</f>
        <v>4899</v>
      </c>
      <c r="AD179" s="45">
        <f>IF(VLOOKUP($C179,REV!$C:$AL,29,0)-'TRADE IN'!$F179=0,"",(VLOOKUP($C179,REV!$C:$AL,29,0)-'TRADE IN'!$F179))</f>
        <v>4899</v>
      </c>
      <c r="AE179" s="45">
        <f>IF(VLOOKUP($C179,REV!$C:$AL,30,0)-'TRADE IN'!$F179=0,"",(VLOOKUP($C179,REV!$C:$AL,30,0)-'TRADE IN'!$F179))</f>
        <v>4799</v>
      </c>
      <c r="AF179" s="45">
        <f>IF(VLOOKUP($C179,REV!$C:$AL,31,0)-'TRADE IN'!$F179=0,"",(VLOOKUP($C179,REV!$C:$AL,31,0)-'TRADE IN'!$F179))</f>
        <v>4699</v>
      </c>
      <c r="AG179" s="45">
        <f>IF(VLOOKUP($C179,REV!$C:$AL,31,0)-'TRADE IN'!$F179=0,"",(VLOOKUP($C179,REV!$C:$AL,31,0)-'TRADE IN'!$F179))</f>
        <v>4699</v>
      </c>
      <c r="AH179" s="45">
        <f>IF(VLOOKUP($C179,REV!$C:$AL,32,0)-'TRADE IN'!$F179=0,"",(VLOOKUP($C179,REV!$C:$AL,32,0)-'TRADE IN'!$F179))</f>
        <v>3499</v>
      </c>
      <c r="AI179" s="45">
        <f>IF(VLOOKUP($C179,REV!$C:$AL,33,0)-'TRADE IN'!$F179=0,"",(VLOOKUP($C179,REV!$C:$AL,33,0)-'TRADE IN'!$F179))</f>
        <v>3499</v>
      </c>
      <c r="AJ179" s="45">
        <f>IF(VLOOKUP($C179,REV!$C:$AL,34,0)-'TRADE IN'!$F179=0,"",(VLOOKUP($C179,REV!$C:$AL,34,0)-'TRADE IN'!$F179))</f>
        <v>3499</v>
      </c>
      <c r="AK179" s="45">
        <f>IF(VLOOKUP($C179,REV!$C:$AL,35,0)-'TRADE IN'!$F179=0,"",(VLOOKUP($C179,REV!$C:$AL,35,0)-'TRADE IN'!$F179))</f>
        <v>3499</v>
      </c>
      <c r="AL179" s="45">
        <f>IF(VLOOKUP($C179,REV!$C:$AL,36,0)-'TRADE IN'!$F179=0,"",(VLOOKUP($C179,REV!$C:$AL,36,0)-'TRADE IN'!$F179))</f>
        <v>1799</v>
      </c>
      <c r="AM179" s="45"/>
      <c r="AN179" s="45"/>
      <c r="AO179" s="45"/>
      <c r="AP179" s="45"/>
      <c r="AQ179" s="45"/>
      <c r="AR179" s="45"/>
      <c r="AS179" s="45"/>
      <c r="AT179" s="45"/>
      <c r="AU179" s="45"/>
      <c r="AV179" s="47"/>
      <c r="AW179" s="48" t="str">
        <f>REV!AW179</f>
        <v>01.12.2026</v>
      </c>
      <c r="AX179" s="153" t="str">
        <f>VLOOKUP(C179,REV!C:AX,48,0)</f>
        <v>5G</v>
      </c>
    </row>
    <row r="180" spans="1:50" ht="22" customHeight="1">
      <c r="A180" s="41" t="s">
        <v>63</v>
      </c>
      <c r="B180" s="42" t="s">
        <v>64</v>
      </c>
      <c r="C180" s="43">
        <v>4018070</v>
      </c>
      <c r="D180" s="58" t="s">
        <v>296</v>
      </c>
      <c r="E180" s="58" t="s">
        <v>297</v>
      </c>
      <c r="F180" s="45"/>
      <c r="G180" s="45"/>
      <c r="H180" s="45"/>
      <c r="I180" s="45"/>
      <c r="J180" s="46">
        <f>IF(VLOOKUP($C180,REV!$C:$AA,8,0)-'TRADE IN'!$F180=0,"",(VLOOKUP($C180,REV!$C:$AA,8,0)-'TRADE IN'!$F180))</f>
        <v>2699</v>
      </c>
      <c r="K180" s="46">
        <f>IF(VLOOKUP($C180,REV!$C:$AA,9,0)-'TRADE IN'!$F180=0,"",(VLOOKUP($C180,REV!$C:$AA,9,0)-'TRADE IN'!$F180))</f>
        <v>2699</v>
      </c>
      <c r="L180" s="46">
        <f>IF(VLOOKUP($C180,REV!$C:$AA,10,0)-'TRADE IN'!$F180=0,"",(VLOOKUP($C180,REV!$C:$AA,10,0)-'TRADE IN'!$F180))</f>
        <v>2699</v>
      </c>
      <c r="M180" s="46">
        <f>IF(VLOOKUP($C180,REV!$C:$AA,11,0)-'TRADE IN'!$F180=0,"",(VLOOKUP($C180,REV!$C:$AA,11,0)-'TRADE IN'!$F180))</f>
        <v>2699</v>
      </c>
      <c r="N180" s="46">
        <f>IF(VLOOKUP($C180,REV!$C:$AA,12,0)-'TRADE IN'!$F180=0,"",(VLOOKUP($C180,REV!$C:$AA,12,0)-'TRADE IN'!$F180))</f>
        <v>2699</v>
      </c>
      <c r="O180" s="46">
        <f>IF(VLOOKUP($C180,REV!$C:$AA,13,0)-'TRADE IN'!$F180=0,"",(VLOOKUP($C180,REV!$C:$AA,13,0)-'TRADE IN'!$F180))</f>
        <v>2599</v>
      </c>
      <c r="P180" s="46">
        <f>IF(VLOOKUP($C180,REV!$C:$AA,14,0)-'TRADE IN'!$F180=0,"",(VLOOKUP($C180,REV!$C:$AA,14,0)-'TRADE IN'!$F180))</f>
        <v>2499</v>
      </c>
      <c r="Q180" s="46">
        <f>IF(VLOOKUP($C180,REV!$C:$AA,15,0)-'TRADE IN'!$F180=0,"",(VLOOKUP($C180,REV!$C:$AA,15,0)-'TRADE IN'!$F180))</f>
        <v>1999</v>
      </c>
      <c r="R180" s="46">
        <f>IF(VLOOKUP($C180,REV!$C:$AA,16,0)-'TRADE IN'!$F180=0,"",(VLOOKUP($C180,REV!$C:$AA,16,0)-'TRADE IN'!$F180))</f>
        <v>2599</v>
      </c>
      <c r="S180" s="46">
        <f>IF(VLOOKUP($C180,REV!$C:$AA,17,0)-'TRADE IN'!$F180=0,"",(VLOOKUP($C180,REV!$C:$AA,17,0)-'TRADE IN'!$F180))</f>
        <v>2499</v>
      </c>
      <c r="T180" s="46">
        <f>IF(VLOOKUP($C180,REV!$C:$AA,18,0)-'TRADE IN'!$F180=0,"",(VLOOKUP($C180,REV!$C:$AA,18,0)-'TRADE IN'!$F180))</f>
        <v>1999</v>
      </c>
      <c r="U180" s="46">
        <f>IF(VLOOKUP($C180,REV!$C:$AA,19,0)-'TRADE IN'!$F180=0,"",(VLOOKUP($C180,REV!$C:$AA,19,0)-'TRADE IN'!$F180))</f>
        <v>1999</v>
      </c>
      <c r="V180" s="46">
        <f>IF(VLOOKUP($C180,REV!$C:$AA,20,0)-'TRADE IN'!$F180=0,"",(VLOOKUP($C180,REV!$C:$AA,20,0)-'TRADE IN'!$F180))</f>
        <v>1999</v>
      </c>
      <c r="W180" s="46">
        <f>IF(VLOOKUP($C180,REV!$C:$AA,21,0)-'TRADE IN'!$F180=0,"",(VLOOKUP($C180,REV!$C:$AA,21,0)-'TRADE IN'!$F180))</f>
        <v>1999</v>
      </c>
      <c r="X180" s="46">
        <f>IF(VLOOKUP($C180,REV!$C:$AA,22,0)-'TRADE IN'!$F180=0,"",(VLOOKUP($C180,REV!$C:$AA,22,0)-'TRADE IN'!$F180))</f>
        <v>1899</v>
      </c>
      <c r="Y180" s="46">
        <f>IF(VLOOKUP($C180,REV!$C:$AA,23,0)-'TRADE IN'!$F180=0,"",(VLOOKUP($C180,REV!$C:$AA,23,0)-'TRADE IN'!$F180))</f>
        <v>1699</v>
      </c>
      <c r="Z180" s="46">
        <f>IF(VLOOKUP($C180,REV!$C:$AA,24,0)-'TRADE IN'!$F180=0,"",(VLOOKUP($C180,REV!$C:$AA,24,0)-'TRADE IN'!$F180))</f>
        <v>1699</v>
      </c>
      <c r="AA180" s="46">
        <f>IF(VLOOKUP($C180,REV!$C:$AA,25,0)-'TRADE IN'!$F180=0,"",(VLOOKUP($C180,REV!$C:$AA,25,0)-'TRADE IN'!$F180))</f>
        <v>1499</v>
      </c>
      <c r="AB180" s="45" t="str">
        <f>IF(VLOOKUP($C180,REV!$C:$AL,27,0)-'TRADE IN'!$F180=0,"",(VLOOKUP($C180,REV!$C:$AL,27,0)-'TRADE IN'!$F180))</f>
        <v/>
      </c>
      <c r="AC180" s="45" t="str">
        <f>IF(VLOOKUP($C180,REV!$C:$AL,28,0)-'TRADE IN'!$F180=0,"",(VLOOKUP($C180,REV!$C:$AL,28,0)-'TRADE IN'!$F180))</f>
        <v/>
      </c>
      <c r="AD180" s="45" t="str">
        <f>IF(VLOOKUP($C180,REV!$C:$AL,29,0)-'TRADE IN'!$F180=0,"",(VLOOKUP($C180,REV!$C:$AL,29,0)-'TRADE IN'!$F180))</f>
        <v/>
      </c>
      <c r="AE180" s="45" t="str">
        <f>IF(VLOOKUP($C180,REV!$C:$AL,30,0)-'TRADE IN'!$F180=0,"",(VLOOKUP($C180,REV!$C:$AL,30,0)-'TRADE IN'!$F180))</f>
        <v/>
      </c>
      <c r="AF180" s="45" t="str">
        <f>IF(VLOOKUP($C180,REV!$C:$AL,31,0)-'TRADE IN'!$F180=0,"",(VLOOKUP($C180,REV!$C:$AL,31,0)-'TRADE IN'!$F180))</f>
        <v/>
      </c>
      <c r="AG180" s="45" t="str">
        <f>IF(VLOOKUP($C180,REV!$C:$AL,31,0)-'TRADE IN'!$F180=0,"",(VLOOKUP($C180,REV!$C:$AL,31,0)-'TRADE IN'!$F180))</f>
        <v/>
      </c>
      <c r="AH180" s="45" t="str">
        <f>IF(VLOOKUP($C180,REV!$C:$AL,32,0)-'TRADE IN'!$F180=0,"",(VLOOKUP($C180,REV!$C:$AL,32,0)-'TRADE IN'!$F180))</f>
        <v/>
      </c>
      <c r="AI180" s="45" t="str">
        <f>IF(VLOOKUP($C180,REV!$C:$AL,33,0)-'TRADE IN'!$F180=0,"",(VLOOKUP($C180,REV!$C:$AL,33,0)-'TRADE IN'!$F180))</f>
        <v/>
      </c>
      <c r="AJ180" s="45" t="str">
        <f>IF(VLOOKUP($C180,REV!$C:$AL,34,0)-'TRADE IN'!$F180=0,"",(VLOOKUP($C180,REV!$C:$AL,34,0)-'TRADE IN'!$F180))</f>
        <v/>
      </c>
      <c r="AK180" s="45" t="str">
        <f>IF(VLOOKUP($C180,REV!$C:$AL,35,0)-'TRADE IN'!$F180=0,"",(VLOOKUP($C180,REV!$C:$AL,35,0)-'TRADE IN'!$F180))</f>
        <v/>
      </c>
      <c r="AL180" s="45" t="str">
        <f>IF(VLOOKUP($C180,REV!$C:$AL,36,0)-'TRADE IN'!$F180=0,"",(VLOOKUP($C180,REV!$C:$AL,36,0)-'TRADE IN'!$F180))</f>
        <v/>
      </c>
      <c r="AM180" s="45"/>
      <c r="AN180" s="45"/>
      <c r="AO180" s="45"/>
      <c r="AP180" s="45"/>
      <c r="AQ180" s="45"/>
      <c r="AR180" s="45"/>
      <c r="AS180" s="45"/>
      <c r="AT180" s="45"/>
      <c r="AU180" s="45"/>
      <c r="AV180" s="47"/>
      <c r="AW180" s="48" t="str">
        <f>REV!AW180</f>
        <v>01.12.2026</v>
      </c>
      <c r="AX180" s="153" t="str">
        <f>VLOOKUP(C180,REV!C:AX,48,0)</f>
        <v>5G</v>
      </c>
    </row>
    <row r="181" spans="1:50" ht="22" customHeight="1">
      <c r="A181" s="41" t="s">
        <v>63</v>
      </c>
      <c r="B181" s="42" t="s">
        <v>64</v>
      </c>
      <c r="C181" s="43">
        <v>4017666</v>
      </c>
      <c r="D181" s="58" t="s">
        <v>298</v>
      </c>
      <c r="E181" s="58" t="s">
        <v>299</v>
      </c>
      <c r="F181" s="45"/>
      <c r="G181" s="45"/>
      <c r="H181" s="45"/>
      <c r="I181" s="45"/>
      <c r="J181" s="46">
        <f>IF(VLOOKUP($C181,REV!$C:$AA,8,0)-'TRADE IN'!$F181=0,"",(VLOOKUP($C181,REV!$C:$AA,8,0)-'TRADE IN'!$F181))</f>
        <v>4899</v>
      </c>
      <c r="K181" s="46">
        <f>IF(VLOOKUP($C181,REV!$C:$AA,9,0)-'TRADE IN'!$F181=0,"",(VLOOKUP($C181,REV!$C:$AA,9,0)-'TRADE IN'!$F181))</f>
        <v>4899</v>
      </c>
      <c r="L181" s="46">
        <f>IF(VLOOKUP($C181,REV!$C:$AA,10,0)-'TRADE IN'!$F181=0,"",(VLOOKUP($C181,REV!$C:$AA,10,0)-'TRADE IN'!$F181))</f>
        <v>4899</v>
      </c>
      <c r="M181" s="46">
        <f>IF(VLOOKUP($C181,REV!$C:$AA,11,0)-'TRADE IN'!$F181=0,"",(VLOOKUP($C181,REV!$C:$AA,11,0)-'TRADE IN'!$F181))</f>
        <v>4899</v>
      </c>
      <c r="N181" s="46">
        <f>IF(VLOOKUP($C181,REV!$C:$AA,12,0)-'TRADE IN'!$F181=0,"",(VLOOKUP($C181,REV!$C:$AA,12,0)-'TRADE IN'!$F181))</f>
        <v>4899</v>
      </c>
      <c r="O181" s="46">
        <f>IF(VLOOKUP($C181,REV!$C:$AA,13,0)-'TRADE IN'!$F181=0,"",(VLOOKUP($C181,REV!$C:$AA,13,0)-'TRADE IN'!$F181))</f>
        <v>4799</v>
      </c>
      <c r="P181" s="46">
        <f>IF(VLOOKUP($C181,REV!$C:$AA,14,0)-'TRADE IN'!$F181=0,"",(VLOOKUP($C181,REV!$C:$AA,14,0)-'TRADE IN'!$F181))</f>
        <v>4699</v>
      </c>
      <c r="Q181" s="46">
        <f>IF(VLOOKUP($C181,REV!$C:$AA,15,0)-'TRADE IN'!$F181=0,"",(VLOOKUP($C181,REV!$C:$AA,15,0)-'TRADE IN'!$F181))</f>
        <v>3499</v>
      </c>
      <c r="R181" s="46">
        <f>IF(VLOOKUP($C181,REV!$C:$AA,16,0)-'TRADE IN'!$F181=0,"",(VLOOKUP($C181,REV!$C:$AA,16,0)-'TRADE IN'!$F181))</f>
        <v>4799</v>
      </c>
      <c r="S181" s="46">
        <f>IF(VLOOKUP($C181,REV!$C:$AA,17,0)-'TRADE IN'!$F181=0,"",(VLOOKUP($C181,REV!$C:$AA,17,0)-'TRADE IN'!$F181))</f>
        <v>4699</v>
      </c>
      <c r="T181" s="46">
        <f>IF(VLOOKUP($C181,REV!$C:$AA,18,0)-'TRADE IN'!$F181=0,"",(VLOOKUP($C181,REV!$C:$AA,18,0)-'TRADE IN'!$F181))</f>
        <v>3499</v>
      </c>
      <c r="U181" s="46">
        <f>IF(VLOOKUP($C181,REV!$C:$AA,19,0)-'TRADE IN'!$F181=0,"",(VLOOKUP($C181,REV!$C:$AA,19,0)-'TRADE IN'!$F181))</f>
        <v>3499</v>
      </c>
      <c r="V181" s="46">
        <f>IF(VLOOKUP($C181,REV!$C:$AA,20,0)-'TRADE IN'!$F181=0,"",(VLOOKUP($C181,REV!$C:$AA,20,0)-'TRADE IN'!$F181))</f>
        <v>3499</v>
      </c>
      <c r="W181" s="46">
        <f>IF(VLOOKUP($C181,REV!$C:$AA,21,0)-'TRADE IN'!$F181=0,"",(VLOOKUP($C181,REV!$C:$AA,21,0)-'TRADE IN'!$F181))</f>
        <v>3499</v>
      </c>
      <c r="X181" s="46">
        <f>IF(VLOOKUP($C181,REV!$C:$AA,22,0)-'TRADE IN'!$F181=0,"",(VLOOKUP($C181,REV!$C:$AA,22,0)-'TRADE IN'!$F181))</f>
        <v>3399</v>
      </c>
      <c r="Y181" s="46">
        <f>IF(VLOOKUP($C181,REV!$C:$AA,23,0)-'TRADE IN'!$F181=0,"",(VLOOKUP($C181,REV!$C:$AA,23,0)-'TRADE IN'!$F181))</f>
        <v>1799</v>
      </c>
      <c r="Z181" s="46">
        <f>IF(VLOOKUP($C181,REV!$C:$AA,24,0)-'TRADE IN'!$F181=0,"",(VLOOKUP($C181,REV!$C:$AA,24,0)-'TRADE IN'!$F181))</f>
        <v>1799</v>
      </c>
      <c r="AA181" s="46">
        <f>IF(VLOOKUP($C181,REV!$C:$AA,25,0)-'TRADE IN'!$F181=0,"",(VLOOKUP($C181,REV!$C:$AA,25,0)-'TRADE IN'!$F181))</f>
        <v>1699</v>
      </c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7"/>
      <c r="AW181" s="48" t="str">
        <f>REV!AW181</f>
        <v>01.12.2026</v>
      </c>
      <c r="AX181" s="153" t="str">
        <f>VLOOKUP(C181,REV!C:AX,48,0)</f>
        <v>5G</v>
      </c>
    </row>
    <row r="182" spans="1:50" ht="22.5" customHeight="1">
      <c r="A182" s="57" t="s">
        <v>247</v>
      </c>
      <c r="B182" s="42" t="s">
        <v>64</v>
      </c>
      <c r="C182" s="43">
        <v>4014667</v>
      </c>
      <c r="D182" s="58" t="s">
        <v>300</v>
      </c>
      <c r="E182" s="58" t="s">
        <v>301</v>
      </c>
      <c r="F182" s="45"/>
      <c r="G182" s="45"/>
      <c r="H182" s="45"/>
      <c r="I182" s="45"/>
      <c r="J182" s="46">
        <f>IF(VLOOKUP($C182,REV!$C:$AA,8,0)-'TRADE IN'!$F182=0,"",(VLOOKUP($C182,REV!$C:$AA,8,0)-'TRADE IN'!$F182))</f>
        <v>399</v>
      </c>
      <c r="K182" s="46">
        <f>IF(VLOOKUP($C182,REV!$C:$AA,9,0)-'TRADE IN'!$F182=0,"",(VLOOKUP($C182,REV!$C:$AA,9,0)-'TRADE IN'!$F182))</f>
        <v>399</v>
      </c>
      <c r="L182" s="46">
        <f>IF(VLOOKUP($C182,REV!$C:$AA,10,0)-'TRADE IN'!$F182=0,"",(VLOOKUP($C182,REV!$C:$AA,10,0)-'TRADE IN'!$F182))</f>
        <v>399</v>
      </c>
      <c r="M182" s="46">
        <f>IF(VLOOKUP($C182,REV!$C:$AA,11,0)-'TRADE IN'!$F182=0,"",(VLOOKUP($C182,REV!$C:$AA,11,0)-'TRADE IN'!$F182))</f>
        <v>399</v>
      </c>
      <c r="N182" s="46">
        <f>IF(VLOOKUP($C182,REV!$C:$AA,12,0)-'TRADE IN'!$F182=0,"",(VLOOKUP($C182,REV!$C:$AA,12,0)-'TRADE IN'!$F182))</f>
        <v>399</v>
      </c>
      <c r="O182" s="46">
        <f>IF(VLOOKUP($C182,REV!$C:$AA,13,0)-'TRADE IN'!$F182=0,"",(VLOOKUP($C182,REV!$C:$AA,13,0)-'TRADE IN'!$F182))</f>
        <v>349</v>
      </c>
      <c r="P182" s="46">
        <f>IF(VLOOKUP($C182,REV!$C:$AA,14,0)-'TRADE IN'!$F182=0,"",(VLOOKUP($C182,REV!$C:$AA,14,0)-'TRADE IN'!$F182))</f>
        <v>299</v>
      </c>
      <c r="Q182" s="46">
        <f>IF(VLOOKUP($C182,REV!$C:$AA,15,0)-'TRADE IN'!$F182=0,"",(VLOOKUP($C182,REV!$C:$AA,15,0)-'TRADE IN'!$F182))</f>
        <v>299</v>
      </c>
      <c r="R182" s="46">
        <f>IF(VLOOKUP($C182,REV!$C:$AA,16,0)-'TRADE IN'!$F182=0,"",(VLOOKUP($C182,REV!$C:$AA,16,0)-'TRADE IN'!$F182))</f>
        <v>349</v>
      </c>
      <c r="S182" s="46">
        <f>IF(VLOOKUP($C182,REV!$C:$AA,17,0)-'TRADE IN'!$F182=0,"",(VLOOKUP($C182,REV!$C:$AA,17,0)-'TRADE IN'!$F182))</f>
        <v>299</v>
      </c>
      <c r="T182" s="46">
        <f>IF(VLOOKUP($C182,REV!$C:$AA,18,0)-'TRADE IN'!$F182=0,"",(VLOOKUP($C182,REV!$C:$AA,18,0)-'TRADE IN'!$F182))</f>
        <v>299</v>
      </c>
      <c r="U182" s="46">
        <f>IF(VLOOKUP($C182,REV!$C:$AA,19,0)-'TRADE IN'!$F182=0,"",(VLOOKUP($C182,REV!$C:$AA,19,0)-'TRADE IN'!$F182))</f>
        <v>299</v>
      </c>
      <c r="V182" s="46">
        <f>IF(VLOOKUP($C182,REV!$C:$AA,20,0)-'TRADE IN'!$F182=0,"",(VLOOKUP($C182,REV!$C:$AA,20,0)-'TRADE IN'!$F182))</f>
        <v>299</v>
      </c>
      <c r="W182" s="46">
        <f>IF(VLOOKUP($C182,REV!$C:$AA,21,0)-'TRADE IN'!$F182=0,"",(VLOOKUP($C182,REV!$C:$AA,21,0)-'TRADE IN'!$F182))</f>
        <v>299</v>
      </c>
      <c r="X182" s="46">
        <f>IF(VLOOKUP($C182,REV!$C:$AA,22,0)-'TRADE IN'!$F182=0,"",(VLOOKUP($C182,REV!$C:$AA,22,0)-'TRADE IN'!$F182))</f>
        <v>299</v>
      </c>
      <c r="Y182" s="46">
        <f>IF(VLOOKUP($C182,REV!$C:$AA,23,0)-'TRADE IN'!$F182=0,"",(VLOOKUP($C182,REV!$C:$AA,23,0)-'TRADE IN'!$F182))</f>
        <v>299</v>
      </c>
      <c r="Z182" s="46">
        <f>IF(VLOOKUP($C182,REV!$C:$AA,24,0)-'TRADE IN'!$F182=0,"",(VLOOKUP($C182,REV!$C:$AA,24,0)-'TRADE IN'!$F182))</f>
        <v>299</v>
      </c>
      <c r="AA182" s="46">
        <f>IF(VLOOKUP($C182,REV!$C:$AA,25,0)-'TRADE IN'!$F182=0,"",(VLOOKUP($C182,REV!$C:$AA,25,0)-'TRADE IN'!$F182))</f>
        <v>299</v>
      </c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7"/>
      <c r="AW182" s="48" t="str">
        <f>REV!AW182</f>
        <v>01.12.2026</v>
      </c>
      <c r="AX182" s="153" t="str">
        <f>VLOOKUP(C182,REV!C:AX,48,0)</f>
        <v>4G</v>
      </c>
    </row>
    <row r="183" spans="1:50" ht="22.5" customHeight="1">
      <c r="A183" s="57" t="s">
        <v>247</v>
      </c>
      <c r="B183" s="42" t="s">
        <v>64</v>
      </c>
      <c r="C183" s="43">
        <v>4014668</v>
      </c>
      <c r="D183" s="58" t="s">
        <v>300</v>
      </c>
      <c r="E183" s="58" t="s">
        <v>302</v>
      </c>
      <c r="F183" s="45"/>
      <c r="G183" s="45"/>
      <c r="H183" s="45"/>
      <c r="I183" s="45"/>
      <c r="J183" s="46">
        <f>IF(VLOOKUP($C183,REV!$C:$AA,8,0)-'TRADE IN'!$F183=0,"",(VLOOKUP($C183,REV!$C:$AA,8,0)-'TRADE IN'!$F183))</f>
        <v>399</v>
      </c>
      <c r="K183" s="46">
        <f>IF(VLOOKUP($C183,REV!$C:$AA,9,0)-'TRADE IN'!$F183=0,"",(VLOOKUP($C183,REV!$C:$AA,9,0)-'TRADE IN'!$F183))</f>
        <v>399</v>
      </c>
      <c r="L183" s="46">
        <f>IF(VLOOKUP($C183,REV!$C:$AA,10,0)-'TRADE IN'!$F183=0,"",(VLOOKUP($C183,REV!$C:$AA,10,0)-'TRADE IN'!$F183))</f>
        <v>399</v>
      </c>
      <c r="M183" s="46">
        <f>IF(VLOOKUP($C183,REV!$C:$AA,11,0)-'TRADE IN'!$F183=0,"",(VLOOKUP($C183,REV!$C:$AA,11,0)-'TRADE IN'!$F183))</f>
        <v>399</v>
      </c>
      <c r="N183" s="46">
        <f>IF(VLOOKUP($C183,REV!$C:$AA,12,0)-'TRADE IN'!$F183=0,"",(VLOOKUP($C183,REV!$C:$AA,12,0)-'TRADE IN'!$F183))</f>
        <v>399</v>
      </c>
      <c r="O183" s="46">
        <f>IF(VLOOKUP($C183,REV!$C:$AA,13,0)-'TRADE IN'!$F183=0,"",(VLOOKUP($C183,REV!$C:$AA,13,0)-'TRADE IN'!$F183))</f>
        <v>349</v>
      </c>
      <c r="P183" s="46">
        <f>IF(VLOOKUP($C183,REV!$C:$AA,14,0)-'TRADE IN'!$F183=0,"",(VLOOKUP($C183,REV!$C:$AA,14,0)-'TRADE IN'!$F183))</f>
        <v>299</v>
      </c>
      <c r="Q183" s="46">
        <f>IF(VLOOKUP($C183,REV!$C:$AA,15,0)-'TRADE IN'!$F183=0,"",(VLOOKUP($C183,REV!$C:$AA,15,0)-'TRADE IN'!$F183))</f>
        <v>299</v>
      </c>
      <c r="R183" s="46">
        <f>IF(VLOOKUP($C183,REV!$C:$AA,16,0)-'TRADE IN'!$F183=0,"",(VLOOKUP($C183,REV!$C:$AA,16,0)-'TRADE IN'!$F183))</f>
        <v>349</v>
      </c>
      <c r="S183" s="46">
        <f>IF(VLOOKUP($C183,REV!$C:$AA,17,0)-'TRADE IN'!$F183=0,"",(VLOOKUP($C183,REV!$C:$AA,17,0)-'TRADE IN'!$F183))</f>
        <v>299</v>
      </c>
      <c r="T183" s="46">
        <f>IF(VLOOKUP($C183,REV!$C:$AA,18,0)-'TRADE IN'!$F183=0,"",(VLOOKUP($C183,REV!$C:$AA,18,0)-'TRADE IN'!$F183))</f>
        <v>299</v>
      </c>
      <c r="U183" s="46">
        <f>IF(VLOOKUP($C183,REV!$C:$AA,19,0)-'TRADE IN'!$F183=0,"",(VLOOKUP($C183,REV!$C:$AA,19,0)-'TRADE IN'!$F183))</f>
        <v>299</v>
      </c>
      <c r="V183" s="46">
        <f>IF(VLOOKUP($C183,REV!$C:$AA,20,0)-'TRADE IN'!$F183=0,"",(VLOOKUP($C183,REV!$C:$AA,20,0)-'TRADE IN'!$F183))</f>
        <v>299</v>
      </c>
      <c r="W183" s="46">
        <f>IF(VLOOKUP($C183,REV!$C:$AA,21,0)-'TRADE IN'!$F183=0,"",(VLOOKUP($C183,REV!$C:$AA,21,0)-'TRADE IN'!$F183))</f>
        <v>299</v>
      </c>
      <c r="X183" s="46">
        <f>IF(VLOOKUP($C183,REV!$C:$AA,22,0)-'TRADE IN'!$F183=0,"",(VLOOKUP($C183,REV!$C:$AA,22,0)-'TRADE IN'!$F183))</f>
        <v>299</v>
      </c>
      <c r="Y183" s="46">
        <f>IF(VLOOKUP($C183,REV!$C:$AA,23,0)-'TRADE IN'!$F183=0,"",(VLOOKUP($C183,REV!$C:$AA,23,0)-'TRADE IN'!$F183))</f>
        <v>299</v>
      </c>
      <c r="Z183" s="46">
        <f>IF(VLOOKUP($C183,REV!$C:$AA,24,0)-'TRADE IN'!$F183=0,"",(VLOOKUP($C183,REV!$C:$AA,24,0)-'TRADE IN'!$F183))</f>
        <v>299</v>
      </c>
      <c r="AA183" s="46">
        <f>IF(VLOOKUP($C183,REV!$C:$AA,25,0)-'TRADE IN'!$F183=0,"",(VLOOKUP($C183,REV!$C:$AA,25,0)-'TRADE IN'!$F183))</f>
        <v>299</v>
      </c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7"/>
      <c r="AW183" s="48" t="str">
        <f>REV!AW183</f>
        <v>01.12.2026</v>
      </c>
      <c r="AX183" s="153" t="str">
        <f>VLOOKUP(C183,REV!C:AX,48,0)</f>
        <v>4G</v>
      </c>
    </row>
    <row r="184" spans="1:50" ht="22.5" customHeight="1">
      <c r="A184" s="57" t="s">
        <v>247</v>
      </c>
      <c r="B184" s="42" t="s">
        <v>64</v>
      </c>
      <c r="C184" s="43">
        <v>4016017</v>
      </c>
      <c r="D184" s="44" t="s">
        <v>303</v>
      </c>
      <c r="E184" s="44" t="s">
        <v>304</v>
      </c>
      <c r="F184" s="45"/>
      <c r="G184" s="45"/>
      <c r="H184" s="45"/>
      <c r="I184" s="45"/>
      <c r="J184" s="46">
        <f>IF(VLOOKUP($C184,REV!$C:$AA,8,0)-'TRADE IN'!$F184=0,"",(VLOOKUP($C184,REV!$C:$AA,8,0)-'TRADE IN'!$F184))</f>
        <v>699</v>
      </c>
      <c r="K184" s="46">
        <f>IF(VLOOKUP($C184,REV!$C:$AA,9,0)-'TRADE IN'!$F184=0,"",(VLOOKUP($C184,REV!$C:$AA,9,0)-'TRADE IN'!$F184))</f>
        <v>699</v>
      </c>
      <c r="L184" s="46">
        <f>IF(VLOOKUP($C184,REV!$C:$AA,10,0)-'TRADE IN'!$F184=0,"",(VLOOKUP($C184,REV!$C:$AA,10,0)-'TRADE IN'!$F184))</f>
        <v>699</v>
      </c>
      <c r="M184" s="46">
        <f>IF(VLOOKUP($C184,REV!$C:$AA,11,0)-'TRADE IN'!$F184=0,"",(VLOOKUP($C184,REV!$C:$AA,11,0)-'TRADE IN'!$F184))</f>
        <v>699</v>
      </c>
      <c r="N184" s="46">
        <f>IF(VLOOKUP($C184,REV!$C:$AA,12,0)-'TRADE IN'!$F184=0,"",(VLOOKUP($C184,REV!$C:$AA,12,0)-'TRADE IN'!$F184))</f>
        <v>699</v>
      </c>
      <c r="O184" s="46">
        <f>IF(VLOOKUP($C184,REV!$C:$AA,13,0)-'TRADE IN'!$F184=0,"",(VLOOKUP($C184,REV!$C:$AA,13,0)-'TRADE IN'!$F184))</f>
        <v>649</v>
      </c>
      <c r="P184" s="46">
        <f>IF(VLOOKUP($C184,REV!$C:$AA,14,0)-'TRADE IN'!$F184=0,"",(VLOOKUP($C184,REV!$C:$AA,14,0)-'TRADE IN'!$F184))</f>
        <v>599</v>
      </c>
      <c r="Q184" s="46">
        <f>IF(VLOOKUP($C184,REV!$C:$AA,15,0)-'TRADE IN'!$F184=0,"",(VLOOKUP($C184,REV!$C:$AA,15,0)-'TRADE IN'!$F184))</f>
        <v>599</v>
      </c>
      <c r="R184" s="46">
        <f>IF(VLOOKUP($C184,REV!$C:$AA,16,0)-'TRADE IN'!$F184=0,"",(VLOOKUP($C184,REV!$C:$AA,16,0)-'TRADE IN'!$F184))</f>
        <v>649</v>
      </c>
      <c r="S184" s="46">
        <f>IF(VLOOKUP($C184,REV!$C:$AA,17,0)-'TRADE IN'!$F184=0,"",(VLOOKUP($C184,REV!$C:$AA,17,0)-'TRADE IN'!$F184))</f>
        <v>599</v>
      </c>
      <c r="T184" s="46">
        <f>IF(VLOOKUP($C184,REV!$C:$AA,18,0)-'TRADE IN'!$F184=0,"",(VLOOKUP($C184,REV!$C:$AA,18,0)-'TRADE IN'!$F184))</f>
        <v>599</v>
      </c>
      <c r="U184" s="46">
        <f>IF(VLOOKUP($C184,REV!$C:$AA,19,0)-'TRADE IN'!$F184=0,"",(VLOOKUP($C184,REV!$C:$AA,19,0)-'TRADE IN'!$F184))</f>
        <v>599</v>
      </c>
      <c r="V184" s="46">
        <f>IF(VLOOKUP($C184,REV!$C:$AA,20,0)-'TRADE IN'!$F184=0,"",(VLOOKUP($C184,REV!$C:$AA,20,0)-'TRADE IN'!$F184))</f>
        <v>599</v>
      </c>
      <c r="W184" s="46">
        <f>IF(VLOOKUP($C184,REV!$C:$AA,21,0)-'TRADE IN'!$F184=0,"",(VLOOKUP($C184,REV!$C:$AA,21,0)-'TRADE IN'!$F184))</f>
        <v>599</v>
      </c>
      <c r="X184" s="46">
        <f>IF(VLOOKUP($C184,REV!$C:$AA,22,0)-'TRADE IN'!$F184=0,"",(VLOOKUP($C184,REV!$C:$AA,22,0)-'TRADE IN'!$F184))</f>
        <v>599</v>
      </c>
      <c r="Y184" s="46">
        <f>IF(VLOOKUP($C184,REV!$C:$AA,23,0)-'TRADE IN'!$F184=0,"",(VLOOKUP($C184,REV!$C:$AA,23,0)-'TRADE IN'!$F184))</f>
        <v>599</v>
      </c>
      <c r="Z184" s="46">
        <f>IF(VLOOKUP($C184,REV!$C:$AA,24,0)-'TRADE IN'!$F184=0,"",(VLOOKUP($C184,REV!$C:$AA,24,0)-'TRADE IN'!$F184))</f>
        <v>599</v>
      </c>
      <c r="AA184" s="46">
        <f>IF(VLOOKUP($C184,REV!$C:$AA,25,0)-'TRADE IN'!$F184=0,"",(VLOOKUP($C184,REV!$C:$AA,25,0)-'TRADE IN'!$F184))</f>
        <v>599</v>
      </c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7"/>
      <c r="AW184" s="48" t="str">
        <f>REV!AW184</f>
        <v>01.12.2026</v>
      </c>
      <c r="AX184" s="153" t="str">
        <f>VLOOKUP(C184,REV!C:AX,48,0)</f>
        <v>4G</v>
      </c>
    </row>
    <row r="185" spans="1:50" ht="22.5" customHeight="1">
      <c r="A185" s="57" t="s">
        <v>247</v>
      </c>
      <c r="B185" s="42" t="s">
        <v>64</v>
      </c>
      <c r="C185" s="43">
        <v>4016281</v>
      </c>
      <c r="D185" s="44" t="s">
        <v>305</v>
      </c>
      <c r="E185" s="44" t="s">
        <v>306</v>
      </c>
      <c r="F185" s="45"/>
      <c r="G185" s="45"/>
      <c r="H185" s="45"/>
      <c r="I185" s="45"/>
      <c r="J185" s="46">
        <f>IF(VLOOKUP($C185,REV!$C:$AA,8,0)-'TRADE IN'!$F185=0,"",(VLOOKUP($C185,REV!$C:$AA,8,0)-'TRADE IN'!$F185))</f>
        <v>699</v>
      </c>
      <c r="K185" s="46">
        <f>IF(VLOOKUP($C185,REV!$C:$AA,9,0)-'TRADE IN'!$F185=0,"",(VLOOKUP($C185,REV!$C:$AA,9,0)-'TRADE IN'!$F185))</f>
        <v>699</v>
      </c>
      <c r="L185" s="46">
        <f>IF(VLOOKUP($C185,REV!$C:$AA,10,0)-'TRADE IN'!$F185=0,"",(VLOOKUP($C185,REV!$C:$AA,10,0)-'TRADE IN'!$F185))</f>
        <v>699</v>
      </c>
      <c r="M185" s="46">
        <f>IF(VLOOKUP($C185,REV!$C:$AA,11,0)-'TRADE IN'!$F185=0,"",(VLOOKUP($C185,REV!$C:$AA,11,0)-'TRADE IN'!$F185))</f>
        <v>699</v>
      </c>
      <c r="N185" s="46">
        <f>IF(VLOOKUP($C185,REV!$C:$AA,12,0)-'TRADE IN'!$F185=0,"",(VLOOKUP($C185,REV!$C:$AA,12,0)-'TRADE IN'!$F185))</f>
        <v>699</v>
      </c>
      <c r="O185" s="46">
        <f>IF(VLOOKUP($C185,REV!$C:$AA,13,0)-'TRADE IN'!$F185=0,"",(VLOOKUP($C185,REV!$C:$AA,13,0)-'TRADE IN'!$F185))</f>
        <v>649</v>
      </c>
      <c r="P185" s="46">
        <f>IF(VLOOKUP($C185,REV!$C:$AA,14,0)-'TRADE IN'!$F185=0,"",(VLOOKUP($C185,REV!$C:$AA,14,0)-'TRADE IN'!$F185))</f>
        <v>649</v>
      </c>
      <c r="Q185" s="46">
        <f>IF(VLOOKUP($C185,REV!$C:$AA,15,0)-'TRADE IN'!$F185=0,"",(VLOOKUP($C185,REV!$C:$AA,15,0)-'TRADE IN'!$F185))</f>
        <v>649</v>
      </c>
      <c r="R185" s="46">
        <f>IF(VLOOKUP($C185,REV!$C:$AA,16,0)-'TRADE IN'!$F185=0,"",(VLOOKUP($C185,REV!$C:$AA,16,0)-'TRADE IN'!$F185))</f>
        <v>649</v>
      </c>
      <c r="S185" s="46">
        <f>IF(VLOOKUP($C185,REV!$C:$AA,17,0)-'TRADE IN'!$F185=0,"",(VLOOKUP($C185,REV!$C:$AA,17,0)-'TRADE IN'!$F185))</f>
        <v>649</v>
      </c>
      <c r="T185" s="46">
        <f>IF(VLOOKUP($C185,REV!$C:$AA,18,0)-'TRADE IN'!$F185=0,"",(VLOOKUP($C185,REV!$C:$AA,18,0)-'TRADE IN'!$F185))</f>
        <v>649</v>
      </c>
      <c r="U185" s="46">
        <f>IF(VLOOKUP($C185,REV!$C:$AA,19,0)-'TRADE IN'!$F185=0,"",(VLOOKUP($C185,REV!$C:$AA,19,0)-'TRADE IN'!$F185))</f>
        <v>649</v>
      </c>
      <c r="V185" s="46">
        <f>IF(VLOOKUP($C185,REV!$C:$AA,20,0)-'TRADE IN'!$F185=0,"",(VLOOKUP($C185,REV!$C:$AA,20,0)-'TRADE IN'!$F185))</f>
        <v>649</v>
      </c>
      <c r="W185" s="46">
        <f>IF(VLOOKUP($C185,REV!$C:$AA,21,0)-'TRADE IN'!$F185=0,"",(VLOOKUP($C185,REV!$C:$AA,21,0)-'TRADE IN'!$F185))</f>
        <v>649</v>
      </c>
      <c r="X185" s="46">
        <f>IF(VLOOKUP($C185,REV!$C:$AA,22,0)-'TRADE IN'!$F185=0,"",(VLOOKUP($C185,REV!$C:$AA,22,0)-'TRADE IN'!$F185))</f>
        <v>649</v>
      </c>
      <c r="Y185" s="46">
        <f>IF(VLOOKUP($C185,REV!$C:$AA,23,0)-'TRADE IN'!$F185=0,"",(VLOOKUP($C185,REV!$C:$AA,23,0)-'TRADE IN'!$F185))</f>
        <v>649</v>
      </c>
      <c r="Z185" s="46">
        <f>IF(VLOOKUP($C185,REV!$C:$AA,24,0)-'TRADE IN'!$F185=0,"",(VLOOKUP($C185,REV!$C:$AA,24,0)-'TRADE IN'!$F185))</f>
        <v>649</v>
      </c>
      <c r="AA185" s="46">
        <f>IF(VLOOKUP($C185,REV!$C:$AA,25,0)-'TRADE IN'!$F185=0,"",(VLOOKUP($C185,REV!$C:$AA,25,0)-'TRADE IN'!$F185))</f>
        <v>649</v>
      </c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7"/>
      <c r="AW185" s="48" t="str">
        <f>REV!AW185</f>
        <v>01.12.2026</v>
      </c>
      <c r="AX185" s="153" t="str">
        <f>VLOOKUP(C185,REV!C:AX,48,0)</f>
        <v>4G</v>
      </c>
    </row>
    <row r="186" spans="1:50" ht="22.5" customHeight="1">
      <c r="A186" s="57" t="s">
        <v>247</v>
      </c>
      <c r="B186" s="42" t="s">
        <v>64</v>
      </c>
      <c r="C186" s="43">
        <v>4016801</v>
      </c>
      <c r="D186" s="60" t="s">
        <v>307</v>
      </c>
      <c r="E186" s="60" t="s">
        <v>308</v>
      </c>
      <c r="F186" s="45"/>
      <c r="G186" s="45"/>
      <c r="H186" s="45"/>
      <c r="I186" s="45"/>
      <c r="J186" s="46">
        <f>IF(VLOOKUP($C186,REV!$C:$AA,8,0)-'TRADE IN'!$F186=0,"",(VLOOKUP($C186,REV!$C:$AA,8,0)-'TRADE IN'!$F186))</f>
        <v>599</v>
      </c>
      <c r="K186" s="46">
        <f>IF(VLOOKUP($C186,REV!$C:$AA,9,0)-'TRADE IN'!$F186=0,"",(VLOOKUP($C186,REV!$C:$AA,9,0)-'TRADE IN'!$F186))</f>
        <v>499</v>
      </c>
      <c r="L186" s="46">
        <f>IF(VLOOKUP($C186,REV!$C:$AA,10,0)-'TRADE IN'!$F186=0,"",(VLOOKUP($C186,REV!$C:$AA,10,0)-'TRADE IN'!$F186))</f>
        <v>499</v>
      </c>
      <c r="M186" s="46">
        <f>IF(VLOOKUP($C186,REV!$C:$AA,11,0)-'TRADE IN'!$F186=0,"",(VLOOKUP($C186,REV!$C:$AA,11,0)-'TRADE IN'!$F186))</f>
        <v>599</v>
      </c>
      <c r="N186" s="46">
        <f>IF(VLOOKUP($C186,REV!$C:$AA,12,0)-'TRADE IN'!$F186=0,"",(VLOOKUP($C186,REV!$C:$AA,12,0)-'TRADE IN'!$F186))</f>
        <v>499</v>
      </c>
      <c r="O186" s="46">
        <f>IF(VLOOKUP($C186,REV!$C:$AA,13,0)-'TRADE IN'!$F186=0,"",(VLOOKUP($C186,REV!$C:$AA,13,0)-'TRADE IN'!$F186))</f>
        <v>499</v>
      </c>
      <c r="P186" s="46">
        <f>IF(VLOOKUP($C186,REV!$C:$AA,14,0)-'TRADE IN'!$F186=0,"",(VLOOKUP($C186,REV!$C:$AA,14,0)-'TRADE IN'!$F186))</f>
        <v>499</v>
      </c>
      <c r="Q186" s="46">
        <f>IF(VLOOKUP($C186,REV!$C:$AA,15,0)-'TRADE IN'!$F186=0,"",(VLOOKUP($C186,REV!$C:$AA,15,0)-'TRADE IN'!$F186))</f>
        <v>499</v>
      </c>
      <c r="R186" s="46">
        <f>IF(VLOOKUP($C186,REV!$C:$AA,16,0)-'TRADE IN'!$F186=0,"",(VLOOKUP($C186,REV!$C:$AA,16,0)-'TRADE IN'!$F186))</f>
        <v>499</v>
      </c>
      <c r="S186" s="46">
        <f>IF(VLOOKUP($C186,REV!$C:$AA,17,0)-'TRADE IN'!$F186=0,"",(VLOOKUP($C186,REV!$C:$AA,17,0)-'TRADE IN'!$F186))</f>
        <v>499</v>
      </c>
      <c r="T186" s="46">
        <f>IF(VLOOKUP($C186,REV!$C:$AA,18,0)-'TRADE IN'!$F186=0,"",(VLOOKUP($C186,REV!$C:$AA,18,0)-'TRADE IN'!$F186))</f>
        <v>499</v>
      </c>
      <c r="U186" s="46">
        <f>IF(VLOOKUP($C186,REV!$C:$AA,19,0)-'TRADE IN'!$F186=0,"",(VLOOKUP($C186,REV!$C:$AA,19,0)-'TRADE IN'!$F186))</f>
        <v>499</v>
      </c>
      <c r="V186" s="46">
        <f>IF(VLOOKUP($C186,REV!$C:$AA,20,0)-'TRADE IN'!$F186=0,"",(VLOOKUP($C186,REV!$C:$AA,20,0)-'TRADE IN'!$F186))</f>
        <v>499</v>
      </c>
      <c r="W186" s="46">
        <f>IF(VLOOKUP($C186,REV!$C:$AA,21,0)-'TRADE IN'!$F186=0,"",(VLOOKUP($C186,REV!$C:$AA,21,0)-'TRADE IN'!$F186))</f>
        <v>499</v>
      </c>
      <c r="X186" s="46">
        <f>IF(VLOOKUP($C186,REV!$C:$AA,22,0)-'TRADE IN'!$F186=0,"",(VLOOKUP($C186,REV!$C:$AA,22,0)-'TRADE IN'!$F186))</f>
        <v>499</v>
      </c>
      <c r="Y186" s="46">
        <f>IF(VLOOKUP($C186,REV!$C:$AA,23,0)-'TRADE IN'!$F186=0,"",(VLOOKUP($C186,REV!$C:$AA,23,0)-'TRADE IN'!$F186))</f>
        <v>499</v>
      </c>
      <c r="Z186" s="46">
        <f>IF(VLOOKUP($C186,REV!$C:$AA,24,0)-'TRADE IN'!$F186=0,"",(VLOOKUP($C186,REV!$C:$AA,24,0)-'TRADE IN'!$F186))</f>
        <v>499</v>
      </c>
      <c r="AA186" s="46">
        <f>IF(VLOOKUP($C186,REV!$C:$AA,25,0)-'TRADE IN'!$F186=0,"",(VLOOKUP($C186,REV!$C:$AA,25,0)-'TRADE IN'!$F186))</f>
        <v>499</v>
      </c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7"/>
      <c r="AW186" s="48" t="str">
        <f>REV!AW186</f>
        <v>01.12.2026</v>
      </c>
      <c r="AX186" s="153" t="str">
        <f>VLOOKUP(C186,REV!C:AX,48,0)</f>
        <v>4G</v>
      </c>
    </row>
    <row r="187" spans="1:50" ht="22.5" customHeight="1">
      <c r="A187" s="57" t="s">
        <v>247</v>
      </c>
      <c r="B187" s="42" t="s">
        <v>64</v>
      </c>
      <c r="C187" s="43">
        <v>4017405</v>
      </c>
      <c r="D187" s="60" t="s">
        <v>309</v>
      </c>
      <c r="E187" s="60" t="s">
        <v>310</v>
      </c>
      <c r="F187" s="45"/>
      <c r="G187" s="45"/>
      <c r="H187" s="45"/>
      <c r="I187" s="45"/>
      <c r="J187" s="46">
        <f>IF(VLOOKUP($C187,REV!$C:$AA,8,0)-'TRADE IN'!$F187=0,"",(VLOOKUP($C187,REV!$C:$AA,8,0)-'TRADE IN'!$F187))</f>
        <v>999</v>
      </c>
      <c r="K187" s="46">
        <f>IF(VLOOKUP($C187,REV!$C:$AA,9,0)-'TRADE IN'!$F187=0,"",(VLOOKUP($C187,REV!$C:$AA,9,0)-'TRADE IN'!$F187))</f>
        <v>799</v>
      </c>
      <c r="L187" s="46">
        <f>IF(VLOOKUP($C187,REV!$C:$AA,10,0)-'TRADE IN'!$F187=0,"",(VLOOKUP($C187,REV!$C:$AA,10,0)-'TRADE IN'!$F187))</f>
        <v>799</v>
      </c>
      <c r="M187" s="46">
        <f>IF(VLOOKUP($C187,REV!$C:$AA,11,0)-'TRADE IN'!$F187=0,"",(VLOOKUP($C187,REV!$C:$AA,11,0)-'TRADE IN'!$F187))</f>
        <v>999</v>
      </c>
      <c r="N187" s="46">
        <f>IF(VLOOKUP($C187,REV!$C:$AA,12,0)-'TRADE IN'!$F187=0,"",(VLOOKUP($C187,REV!$C:$AA,12,0)-'TRADE IN'!$F187))</f>
        <v>799</v>
      </c>
      <c r="O187" s="46">
        <f>IF(VLOOKUP($C187,REV!$C:$AA,13,0)-'TRADE IN'!$F187=0,"",(VLOOKUP($C187,REV!$C:$AA,13,0)-'TRADE IN'!$F187))</f>
        <v>749</v>
      </c>
      <c r="P187" s="46">
        <f>IF(VLOOKUP($C187,REV!$C:$AA,14,0)-'TRADE IN'!$F187=0,"",(VLOOKUP($C187,REV!$C:$AA,14,0)-'TRADE IN'!$F187))</f>
        <v>749</v>
      </c>
      <c r="Q187" s="46">
        <f>IF(VLOOKUP($C187,REV!$C:$AA,15,0)-'TRADE IN'!$F187=0,"",(VLOOKUP($C187,REV!$C:$AA,15,0)-'TRADE IN'!$F187))</f>
        <v>699</v>
      </c>
      <c r="R187" s="46">
        <f>IF(VLOOKUP($C187,REV!$C:$AA,16,0)-'TRADE IN'!$F187=0,"",(VLOOKUP($C187,REV!$C:$AA,16,0)-'TRADE IN'!$F187))</f>
        <v>749</v>
      </c>
      <c r="S187" s="46">
        <f>IF(VLOOKUP($C187,REV!$C:$AA,17,0)-'TRADE IN'!$F187=0,"",(VLOOKUP($C187,REV!$C:$AA,17,0)-'TRADE IN'!$F187))</f>
        <v>749</v>
      </c>
      <c r="T187" s="46">
        <f>IF(VLOOKUP($C187,REV!$C:$AA,18,0)-'TRADE IN'!$F187=0,"",(VLOOKUP($C187,REV!$C:$AA,18,0)-'TRADE IN'!$F187))</f>
        <v>699</v>
      </c>
      <c r="U187" s="46">
        <f>IF(VLOOKUP($C187,REV!$C:$AA,19,0)-'TRADE IN'!$F187=0,"",(VLOOKUP($C187,REV!$C:$AA,19,0)-'TRADE IN'!$F187))</f>
        <v>699</v>
      </c>
      <c r="V187" s="46">
        <f>IF(VLOOKUP($C187,REV!$C:$AA,20,0)-'TRADE IN'!$F187=0,"",(VLOOKUP($C187,REV!$C:$AA,20,0)-'TRADE IN'!$F187))</f>
        <v>699</v>
      </c>
      <c r="W187" s="46">
        <f>IF(VLOOKUP($C187,REV!$C:$AA,21,0)-'TRADE IN'!$F187=0,"",(VLOOKUP($C187,REV!$C:$AA,21,0)-'TRADE IN'!$F187))</f>
        <v>699</v>
      </c>
      <c r="X187" s="46">
        <f>IF(VLOOKUP($C187,REV!$C:$AA,22,0)-'TRADE IN'!$F187=0,"",(VLOOKUP($C187,REV!$C:$AA,22,0)-'TRADE IN'!$F187))</f>
        <v>649</v>
      </c>
      <c r="Y187" s="46">
        <f>IF(VLOOKUP($C187,REV!$C:$AA,23,0)-'TRADE IN'!$F187=0,"",(VLOOKUP($C187,REV!$C:$AA,23,0)-'TRADE IN'!$F187))</f>
        <v>599</v>
      </c>
      <c r="Z187" s="46">
        <f>IF(VLOOKUP($C187,REV!$C:$AA,24,0)-'TRADE IN'!$F187=0,"",(VLOOKUP($C187,REV!$C:$AA,24,0)-'TRADE IN'!$F187))</f>
        <v>599</v>
      </c>
      <c r="AA187" s="46">
        <f>IF(VLOOKUP($C187,REV!$C:$AA,25,0)-'TRADE IN'!$F187=0,"",(VLOOKUP($C187,REV!$C:$AA,25,0)-'TRADE IN'!$F187))</f>
        <v>599</v>
      </c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7"/>
      <c r="AW187" s="48" t="str">
        <f>REV!AW187</f>
        <v>01.12.2026</v>
      </c>
      <c r="AX187" s="153" t="str">
        <f>VLOOKUP(C187,REV!C:AX,48,0)</f>
        <v>4G</v>
      </c>
    </row>
    <row r="188" spans="1:50" ht="21.75" customHeight="1">
      <c r="A188" s="57" t="s">
        <v>247</v>
      </c>
      <c r="B188" s="42" t="s">
        <v>64</v>
      </c>
      <c r="C188" s="43">
        <v>4015983</v>
      </c>
      <c r="D188" s="58" t="s">
        <v>311</v>
      </c>
      <c r="E188" s="58" t="s">
        <v>312</v>
      </c>
      <c r="F188" s="45"/>
      <c r="G188" s="45"/>
      <c r="H188" s="45"/>
      <c r="I188" s="45"/>
      <c r="J188" s="46">
        <f>IF(VLOOKUP($C188,REV!$C:$AA,8,0)-'TRADE IN'!$F188=0,"",(VLOOKUP($C188,REV!$C:$AA,8,0)-'TRADE IN'!$F188))</f>
        <v>799</v>
      </c>
      <c r="K188" s="46">
        <f>IF(VLOOKUP($C188,REV!$C:$AA,9,0)-'TRADE IN'!$F188=0,"",(VLOOKUP($C188,REV!$C:$AA,9,0)-'TRADE IN'!$F188))</f>
        <v>799</v>
      </c>
      <c r="L188" s="46">
        <f>IF(VLOOKUP($C188,REV!$C:$AA,10,0)-'TRADE IN'!$F188=0,"",(VLOOKUP($C188,REV!$C:$AA,10,0)-'TRADE IN'!$F188))</f>
        <v>799</v>
      </c>
      <c r="M188" s="46">
        <f>IF(VLOOKUP($C188,REV!$C:$AA,11,0)-'TRADE IN'!$F188=0,"",(VLOOKUP($C188,REV!$C:$AA,11,0)-'TRADE IN'!$F188))</f>
        <v>799</v>
      </c>
      <c r="N188" s="46">
        <f>IF(VLOOKUP($C188,REV!$C:$AA,12,0)-'TRADE IN'!$F188=0,"",(VLOOKUP($C188,REV!$C:$AA,12,0)-'TRADE IN'!$F188))</f>
        <v>799</v>
      </c>
      <c r="O188" s="46">
        <f>IF(VLOOKUP($C188,REV!$C:$AA,13,0)-'TRADE IN'!$F188=0,"",(VLOOKUP($C188,REV!$C:$AA,13,0)-'TRADE IN'!$F188))</f>
        <v>749</v>
      </c>
      <c r="P188" s="46">
        <f>IF(VLOOKUP($C188,REV!$C:$AA,14,0)-'TRADE IN'!$F188=0,"",(VLOOKUP($C188,REV!$C:$AA,14,0)-'TRADE IN'!$F188))</f>
        <v>749</v>
      </c>
      <c r="Q188" s="46">
        <f>IF(VLOOKUP($C188,REV!$C:$AA,15,0)-'TRADE IN'!$F188=0,"",(VLOOKUP($C188,REV!$C:$AA,15,0)-'TRADE IN'!$F188))</f>
        <v>749</v>
      </c>
      <c r="R188" s="46">
        <f>IF(VLOOKUP($C188,REV!$C:$AA,16,0)-'TRADE IN'!$F188=0,"",(VLOOKUP($C188,REV!$C:$AA,16,0)-'TRADE IN'!$F188))</f>
        <v>749</v>
      </c>
      <c r="S188" s="46">
        <f>IF(VLOOKUP($C188,REV!$C:$AA,17,0)-'TRADE IN'!$F188=0,"",(VLOOKUP($C188,REV!$C:$AA,17,0)-'TRADE IN'!$F188))</f>
        <v>749</v>
      </c>
      <c r="T188" s="46">
        <f>IF(VLOOKUP($C188,REV!$C:$AA,18,0)-'TRADE IN'!$F188=0,"",(VLOOKUP($C188,REV!$C:$AA,18,0)-'TRADE IN'!$F188))</f>
        <v>749</v>
      </c>
      <c r="U188" s="46">
        <f>IF(VLOOKUP($C188,REV!$C:$AA,19,0)-'TRADE IN'!$F188=0,"",(VLOOKUP($C188,REV!$C:$AA,19,0)-'TRADE IN'!$F188))</f>
        <v>749</v>
      </c>
      <c r="V188" s="46">
        <f>IF(VLOOKUP($C188,REV!$C:$AA,20,0)-'TRADE IN'!$F188=0,"",(VLOOKUP($C188,REV!$C:$AA,20,0)-'TRADE IN'!$F188))</f>
        <v>749</v>
      </c>
      <c r="W188" s="46">
        <f>IF(VLOOKUP($C188,REV!$C:$AA,21,0)-'TRADE IN'!$F188=0,"",(VLOOKUP($C188,REV!$C:$AA,21,0)-'TRADE IN'!$F188))</f>
        <v>749</v>
      </c>
      <c r="X188" s="46">
        <f>IF(VLOOKUP($C188,REV!$C:$AA,22,0)-'TRADE IN'!$F188=0,"",(VLOOKUP($C188,REV!$C:$AA,22,0)-'TRADE IN'!$F188))</f>
        <v>749</v>
      </c>
      <c r="Y188" s="46">
        <f>IF(VLOOKUP($C188,REV!$C:$AA,23,0)-'TRADE IN'!$F188=0,"",(VLOOKUP($C188,REV!$C:$AA,23,0)-'TRADE IN'!$F188))</f>
        <v>749</v>
      </c>
      <c r="Z188" s="46">
        <f>IF(VLOOKUP($C188,REV!$C:$AA,24,0)-'TRADE IN'!$F188=0,"",(VLOOKUP($C188,REV!$C:$AA,24,0)-'TRADE IN'!$F188))</f>
        <v>749</v>
      </c>
      <c r="AA188" s="46">
        <f>IF(VLOOKUP($C188,REV!$C:$AA,25,0)-'TRADE IN'!$F188=0,"",(VLOOKUP($C188,REV!$C:$AA,25,0)-'TRADE IN'!$F188))</f>
        <v>749</v>
      </c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5"/>
      <c r="AN188" s="45"/>
      <c r="AO188" s="45"/>
      <c r="AP188" s="45"/>
      <c r="AQ188" s="45"/>
      <c r="AR188" s="45"/>
      <c r="AS188" s="45"/>
      <c r="AT188" s="45"/>
      <c r="AU188" s="45"/>
      <c r="AV188" s="47"/>
      <c r="AW188" s="48" t="str">
        <f>REV!AW188</f>
        <v>01.12.2026</v>
      </c>
      <c r="AX188" s="153" t="str">
        <f>VLOOKUP(C188,REV!C:AX,48,0)</f>
        <v>5G</v>
      </c>
    </row>
    <row r="189" spans="1:50" ht="21.75" customHeight="1">
      <c r="A189" s="57" t="s">
        <v>247</v>
      </c>
      <c r="B189" s="42" t="s">
        <v>64</v>
      </c>
      <c r="C189" s="43">
        <v>4015985</v>
      </c>
      <c r="D189" s="58" t="s">
        <v>311</v>
      </c>
      <c r="E189" s="58" t="s">
        <v>313</v>
      </c>
      <c r="F189" s="45"/>
      <c r="G189" s="45"/>
      <c r="H189" s="45"/>
      <c r="I189" s="45"/>
      <c r="J189" s="46">
        <f>IF(VLOOKUP($C189,REV!$C:$AA,8,0)-'TRADE IN'!$F189=0,"",(VLOOKUP($C189,REV!$C:$AA,8,0)-'TRADE IN'!$F189))</f>
        <v>799</v>
      </c>
      <c r="K189" s="46">
        <f>IF(VLOOKUP($C189,REV!$C:$AA,9,0)-'TRADE IN'!$F189=0,"",(VLOOKUP($C189,REV!$C:$AA,9,0)-'TRADE IN'!$F189))</f>
        <v>799</v>
      </c>
      <c r="L189" s="46">
        <f>IF(VLOOKUP($C189,REV!$C:$AA,10,0)-'TRADE IN'!$F189=0,"",(VLOOKUP($C189,REV!$C:$AA,10,0)-'TRADE IN'!$F189))</f>
        <v>799</v>
      </c>
      <c r="M189" s="46">
        <f>IF(VLOOKUP($C189,REV!$C:$AA,11,0)-'TRADE IN'!$F189=0,"",(VLOOKUP($C189,REV!$C:$AA,11,0)-'TRADE IN'!$F189))</f>
        <v>799</v>
      </c>
      <c r="N189" s="46">
        <f>IF(VLOOKUP($C189,REV!$C:$AA,12,0)-'TRADE IN'!$F189=0,"",(VLOOKUP($C189,REV!$C:$AA,12,0)-'TRADE IN'!$F189))</f>
        <v>799</v>
      </c>
      <c r="O189" s="46">
        <f>IF(VLOOKUP($C189,REV!$C:$AA,13,0)-'TRADE IN'!$F189=0,"",(VLOOKUP($C189,REV!$C:$AA,13,0)-'TRADE IN'!$F189))</f>
        <v>749</v>
      </c>
      <c r="P189" s="46">
        <f>IF(VLOOKUP($C189,REV!$C:$AA,14,0)-'TRADE IN'!$F189=0,"",(VLOOKUP($C189,REV!$C:$AA,14,0)-'TRADE IN'!$F189))</f>
        <v>749</v>
      </c>
      <c r="Q189" s="46">
        <f>IF(VLOOKUP($C189,REV!$C:$AA,15,0)-'TRADE IN'!$F189=0,"",(VLOOKUP($C189,REV!$C:$AA,15,0)-'TRADE IN'!$F189))</f>
        <v>749</v>
      </c>
      <c r="R189" s="46">
        <f>IF(VLOOKUP($C189,REV!$C:$AA,16,0)-'TRADE IN'!$F189=0,"",(VLOOKUP($C189,REV!$C:$AA,16,0)-'TRADE IN'!$F189))</f>
        <v>749</v>
      </c>
      <c r="S189" s="46">
        <f>IF(VLOOKUP($C189,REV!$C:$AA,17,0)-'TRADE IN'!$F189=0,"",(VLOOKUP($C189,REV!$C:$AA,17,0)-'TRADE IN'!$F189))</f>
        <v>749</v>
      </c>
      <c r="T189" s="46">
        <f>IF(VLOOKUP($C189,REV!$C:$AA,18,0)-'TRADE IN'!$F189=0,"",(VLOOKUP($C189,REV!$C:$AA,18,0)-'TRADE IN'!$F189))</f>
        <v>749</v>
      </c>
      <c r="U189" s="46">
        <f>IF(VLOOKUP($C189,REV!$C:$AA,19,0)-'TRADE IN'!$F189=0,"",(VLOOKUP($C189,REV!$C:$AA,19,0)-'TRADE IN'!$F189))</f>
        <v>749</v>
      </c>
      <c r="V189" s="46">
        <f>IF(VLOOKUP($C189,REV!$C:$AA,20,0)-'TRADE IN'!$F189=0,"",(VLOOKUP($C189,REV!$C:$AA,20,0)-'TRADE IN'!$F189))</f>
        <v>749</v>
      </c>
      <c r="W189" s="46">
        <f>IF(VLOOKUP($C189,REV!$C:$AA,21,0)-'TRADE IN'!$F189=0,"",(VLOOKUP($C189,REV!$C:$AA,21,0)-'TRADE IN'!$F189))</f>
        <v>749</v>
      </c>
      <c r="X189" s="46">
        <f>IF(VLOOKUP($C189,REV!$C:$AA,22,0)-'TRADE IN'!$F189=0,"",(VLOOKUP($C189,REV!$C:$AA,22,0)-'TRADE IN'!$F189))</f>
        <v>749</v>
      </c>
      <c r="Y189" s="46">
        <f>IF(VLOOKUP($C189,REV!$C:$AA,23,0)-'TRADE IN'!$F189=0,"",(VLOOKUP($C189,REV!$C:$AA,23,0)-'TRADE IN'!$F189))</f>
        <v>749</v>
      </c>
      <c r="Z189" s="46">
        <f>IF(VLOOKUP($C189,REV!$C:$AA,24,0)-'TRADE IN'!$F189=0,"",(VLOOKUP($C189,REV!$C:$AA,24,0)-'TRADE IN'!$F189))</f>
        <v>749</v>
      </c>
      <c r="AA189" s="46">
        <f>IF(VLOOKUP($C189,REV!$C:$AA,25,0)-'TRADE IN'!$F189=0,"",(VLOOKUP($C189,REV!$C:$AA,25,0)-'TRADE IN'!$F189))</f>
        <v>749</v>
      </c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7"/>
      <c r="AW189" s="48" t="str">
        <f>REV!AW189</f>
        <v>01.12.2026</v>
      </c>
      <c r="AX189" s="153" t="str">
        <f>VLOOKUP(C189,REV!C:AX,48,0)</f>
        <v>5G</v>
      </c>
    </row>
    <row r="190" spans="1:50" ht="21.75" customHeight="1">
      <c r="A190" s="57" t="s">
        <v>247</v>
      </c>
      <c r="B190" s="42" t="s">
        <v>64</v>
      </c>
      <c r="C190" s="43">
        <v>4016578</v>
      </c>
      <c r="D190" s="58" t="s">
        <v>314</v>
      </c>
      <c r="E190" s="58" t="s">
        <v>315</v>
      </c>
      <c r="F190" s="45"/>
      <c r="G190" s="45"/>
      <c r="H190" s="45"/>
      <c r="I190" s="45"/>
      <c r="J190" s="46">
        <f>IF(VLOOKUP($C190,REV!$C:$AA,8,0)-'TRADE IN'!$F190=0,"",(VLOOKUP($C190,REV!$C:$AA,8,0)-'TRADE IN'!$F190))</f>
        <v>999</v>
      </c>
      <c r="K190" s="46">
        <f>IF(VLOOKUP($C190,REV!$C:$AA,9,0)-'TRADE IN'!$F190=0,"",(VLOOKUP($C190,REV!$C:$AA,9,0)-'TRADE IN'!$F190))</f>
        <v>899</v>
      </c>
      <c r="L190" s="46">
        <f>IF(VLOOKUP($C190,REV!$C:$AA,10,0)-'TRADE IN'!$F190=0,"",(VLOOKUP($C190,REV!$C:$AA,10,0)-'TRADE IN'!$F190))</f>
        <v>899</v>
      </c>
      <c r="M190" s="46">
        <f>IF(VLOOKUP($C190,REV!$C:$AA,11,0)-'TRADE IN'!$F190=0,"",(VLOOKUP($C190,REV!$C:$AA,11,0)-'TRADE IN'!$F190))</f>
        <v>999</v>
      </c>
      <c r="N190" s="46">
        <f>IF(VLOOKUP($C190,REV!$C:$AA,12,0)-'TRADE IN'!$F190=0,"",(VLOOKUP($C190,REV!$C:$AA,12,0)-'TRADE IN'!$F190))</f>
        <v>899</v>
      </c>
      <c r="O190" s="46">
        <f>IF(VLOOKUP($C190,REV!$C:$AA,13,0)-'TRADE IN'!$F190=0,"",(VLOOKUP($C190,REV!$C:$AA,13,0)-'TRADE IN'!$F190))</f>
        <v>849</v>
      </c>
      <c r="P190" s="46">
        <f>IF(VLOOKUP($C190,REV!$C:$AA,14,0)-'TRADE IN'!$F190=0,"",(VLOOKUP($C190,REV!$C:$AA,14,0)-'TRADE IN'!$F190))</f>
        <v>849</v>
      </c>
      <c r="Q190" s="46">
        <f>IF(VLOOKUP($C190,REV!$C:$AA,15,0)-'TRADE IN'!$F190=0,"",(VLOOKUP($C190,REV!$C:$AA,15,0)-'TRADE IN'!$F190))</f>
        <v>849</v>
      </c>
      <c r="R190" s="46">
        <f>IF(VLOOKUP($C190,REV!$C:$AA,16,0)-'TRADE IN'!$F190=0,"",(VLOOKUP($C190,REV!$C:$AA,16,0)-'TRADE IN'!$F190))</f>
        <v>849</v>
      </c>
      <c r="S190" s="46">
        <f>IF(VLOOKUP($C190,REV!$C:$AA,17,0)-'TRADE IN'!$F190=0,"",(VLOOKUP($C190,REV!$C:$AA,17,0)-'TRADE IN'!$F190))</f>
        <v>849</v>
      </c>
      <c r="T190" s="46">
        <f>IF(VLOOKUP($C190,REV!$C:$AA,18,0)-'TRADE IN'!$F190=0,"",(VLOOKUP($C190,REV!$C:$AA,18,0)-'TRADE IN'!$F190))</f>
        <v>849</v>
      </c>
      <c r="U190" s="46">
        <f>IF(VLOOKUP($C190,REV!$C:$AA,19,0)-'TRADE IN'!$F190=0,"",(VLOOKUP($C190,REV!$C:$AA,19,0)-'TRADE IN'!$F190))</f>
        <v>849</v>
      </c>
      <c r="V190" s="46">
        <f>IF(VLOOKUP($C190,REV!$C:$AA,20,0)-'TRADE IN'!$F190=0,"",(VLOOKUP($C190,REV!$C:$AA,20,0)-'TRADE IN'!$F190))</f>
        <v>849</v>
      </c>
      <c r="W190" s="46">
        <f>IF(VLOOKUP($C190,REV!$C:$AA,21,0)-'TRADE IN'!$F190=0,"",(VLOOKUP($C190,REV!$C:$AA,21,0)-'TRADE IN'!$F190))</f>
        <v>849</v>
      </c>
      <c r="X190" s="46">
        <f>IF(VLOOKUP($C190,REV!$C:$AA,22,0)-'TRADE IN'!$F190=0,"",(VLOOKUP($C190,REV!$C:$AA,22,0)-'TRADE IN'!$F190))</f>
        <v>849</v>
      </c>
      <c r="Y190" s="46">
        <f>IF(VLOOKUP($C190,REV!$C:$AA,23,0)-'TRADE IN'!$F190=0,"",(VLOOKUP($C190,REV!$C:$AA,23,0)-'TRADE IN'!$F190))</f>
        <v>849</v>
      </c>
      <c r="Z190" s="46">
        <f>IF(VLOOKUP($C190,REV!$C:$AA,24,0)-'TRADE IN'!$F190=0,"",(VLOOKUP($C190,REV!$C:$AA,24,0)-'TRADE IN'!$F190))</f>
        <v>849</v>
      </c>
      <c r="AA190" s="46">
        <f>IF(VLOOKUP($C190,REV!$C:$AA,25,0)-'TRADE IN'!$F190=0,"",(VLOOKUP($C190,REV!$C:$AA,25,0)-'TRADE IN'!$F190))</f>
        <v>849</v>
      </c>
      <c r="AB190" s="46">
        <f>IF(VLOOKUP($C190,REV!$C:$AL,27,0)-'TRADE IN'!$F190=0,"",(VLOOKUP($C190,REV!$C:$AL,27,0)-'TRADE IN'!$F190))</f>
        <v>899</v>
      </c>
      <c r="AC190" s="46">
        <f>IF(VLOOKUP($C190,REV!$C:$AL,28,0)-'TRADE IN'!$F190=0,"",(VLOOKUP($C190,REV!$C:$AL,28,0)-'TRADE IN'!$F190))</f>
        <v>899</v>
      </c>
      <c r="AD190" s="46">
        <f>IF(VLOOKUP($C190,REV!$C:$AL,29,0)-'TRADE IN'!$F190=0,"",(VLOOKUP($C190,REV!$C:$AL,29,0)-'TRADE IN'!$F190))</f>
        <v>849</v>
      </c>
      <c r="AE190" s="46">
        <f>IF(VLOOKUP($C190,REV!$C:$AL,30,0)-'TRADE IN'!$F190=0,"",(VLOOKUP($C190,REV!$C:$AL,30,0)-'TRADE IN'!$F190))</f>
        <v>849</v>
      </c>
      <c r="AF190" s="46">
        <f>IF(VLOOKUP($C190,REV!$C:$AL,31,0)-'TRADE IN'!$F190=0,"",(VLOOKUP($C190,REV!$C:$AL,31,0)-'TRADE IN'!$F190))</f>
        <v>849</v>
      </c>
      <c r="AG190" s="46">
        <f>IF(VLOOKUP($C190,REV!$C:$AL,31,0)-'TRADE IN'!$F190=0,"",(VLOOKUP($C190,REV!$C:$AL,31,0)-'TRADE IN'!$F190))</f>
        <v>849</v>
      </c>
      <c r="AH190" s="46">
        <f>IF(VLOOKUP($C190,REV!$C:$AL,32,0)-'TRADE IN'!$F190=0,"",(VLOOKUP($C190,REV!$C:$AL,32,0)-'TRADE IN'!$F190))</f>
        <v>849</v>
      </c>
      <c r="AI190" s="46">
        <f>IF(VLOOKUP($C190,REV!$C:$AL,33,0)-'TRADE IN'!$F190=0,"",(VLOOKUP($C190,REV!$C:$AL,33,0)-'TRADE IN'!$F190))</f>
        <v>849</v>
      </c>
      <c r="AJ190" s="46">
        <f>IF(VLOOKUP($C190,REV!$C:$AL,34,0)-'TRADE IN'!$F190=0,"",(VLOOKUP($C190,REV!$C:$AL,34,0)-'TRADE IN'!$F190))</f>
        <v>849</v>
      </c>
      <c r="AK190" s="46">
        <f>IF(VLOOKUP($C190,REV!$C:$AL,35,0)-'TRADE IN'!$F190=0,"",(VLOOKUP($C190,REV!$C:$AL,35,0)-'TRADE IN'!$F190))</f>
        <v>849</v>
      </c>
      <c r="AL190" s="46">
        <f>IF(VLOOKUP($C190,REV!$C:$AL,36,0)-'TRADE IN'!$F190=0,"",(VLOOKUP($C190,REV!$C:$AL,36,0)-'TRADE IN'!$F190))</f>
        <v>849</v>
      </c>
      <c r="AM190" s="45"/>
      <c r="AN190" s="45"/>
      <c r="AO190" s="45"/>
      <c r="AP190" s="45"/>
      <c r="AQ190" s="45"/>
      <c r="AR190" s="45"/>
      <c r="AS190" s="45"/>
      <c r="AT190" s="45"/>
      <c r="AU190" s="45"/>
      <c r="AV190" s="47"/>
      <c r="AW190" s="48" t="str">
        <f>REV!AW190</f>
        <v>01.12.2026</v>
      </c>
      <c r="AX190" s="153" t="str">
        <f>VLOOKUP(C190,REV!C:AX,48,0)</f>
        <v>5G</v>
      </c>
    </row>
    <row r="191" spans="1:50" ht="21.75" customHeight="1">
      <c r="A191" s="57" t="s">
        <v>247</v>
      </c>
      <c r="B191" s="42" t="s">
        <v>64</v>
      </c>
      <c r="C191" s="43">
        <v>4016661</v>
      </c>
      <c r="D191" s="58" t="s">
        <v>314</v>
      </c>
      <c r="E191" s="58" t="s">
        <v>316</v>
      </c>
      <c r="F191" s="45"/>
      <c r="G191" s="45"/>
      <c r="H191" s="45"/>
      <c r="I191" s="45"/>
      <c r="J191" s="46">
        <f>IF(VLOOKUP($C191,REV!$C:$AA,8,0)-'TRADE IN'!$F191=0,"",(VLOOKUP($C191,REV!$C:$AA,8,0)-'TRADE IN'!$F191))</f>
        <v>999</v>
      </c>
      <c r="K191" s="46">
        <f>IF(VLOOKUP($C191,REV!$C:$AA,9,0)-'TRADE IN'!$F191=0,"",(VLOOKUP($C191,REV!$C:$AA,9,0)-'TRADE IN'!$F191))</f>
        <v>899</v>
      </c>
      <c r="L191" s="46">
        <f>IF(VLOOKUP($C191,REV!$C:$AA,10,0)-'TRADE IN'!$F191=0,"",(VLOOKUP($C191,REV!$C:$AA,10,0)-'TRADE IN'!$F191))</f>
        <v>899</v>
      </c>
      <c r="M191" s="46">
        <f>IF(VLOOKUP($C191,REV!$C:$AA,11,0)-'TRADE IN'!$F191=0,"",(VLOOKUP($C191,REV!$C:$AA,11,0)-'TRADE IN'!$F191))</f>
        <v>999</v>
      </c>
      <c r="N191" s="46">
        <f>IF(VLOOKUP($C191,REV!$C:$AA,12,0)-'TRADE IN'!$F191=0,"",(VLOOKUP($C191,REV!$C:$AA,12,0)-'TRADE IN'!$F191))</f>
        <v>899</v>
      </c>
      <c r="O191" s="46">
        <f>IF(VLOOKUP($C191,REV!$C:$AA,13,0)-'TRADE IN'!$F191=0,"",(VLOOKUP($C191,REV!$C:$AA,13,0)-'TRADE IN'!$F191))</f>
        <v>849</v>
      </c>
      <c r="P191" s="46">
        <f>IF(VLOOKUP($C191,REV!$C:$AA,14,0)-'TRADE IN'!$F191=0,"",(VLOOKUP($C191,REV!$C:$AA,14,0)-'TRADE IN'!$F191))</f>
        <v>849</v>
      </c>
      <c r="Q191" s="46">
        <f>IF(VLOOKUP($C191,REV!$C:$AA,15,0)-'TRADE IN'!$F191=0,"",(VLOOKUP($C191,REV!$C:$AA,15,0)-'TRADE IN'!$F191))</f>
        <v>849</v>
      </c>
      <c r="R191" s="46">
        <f>IF(VLOOKUP($C191,REV!$C:$AA,16,0)-'TRADE IN'!$F191=0,"",(VLOOKUP($C191,REV!$C:$AA,16,0)-'TRADE IN'!$F191))</f>
        <v>849</v>
      </c>
      <c r="S191" s="46">
        <f>IF(VLOOKUP($C191,REV!$C:$AA,17,0)-'TRADE IN'!$F191=0,"",(VLOOKUP($C191,REV!$C:$AA,17,0)-'TRADE IN'!$F191))</f>
        <v>849</v>
      </c>
      <c r="T191" s="46">
        <f>IF(VLOOKUP($C191,REV!$C:$AA,18,0)-'TRADE IN'!$F191=0,"",(VLOOKUP($C191,REV!$C:$AA,18,0)-'TRADE IN'!$F191))</f>
        <v>849</v>
      </c>
      <c r="U191" s="46">
        <f>IF(VLOOKUP($C191,REV!$C:$AA,19,0)-'TRADE IN'!$F191=0,"",(VLOOKUP($C191,REV!$C:$AA,19,0)-'TRADE IN'!$F191))</f>
        <v>849</v>
      </c>
      <c r="V191" s="46">
        <f>IF(VLOOKUP($C191,REV!$C:$AA,20,0)-'TRADE IN'!$F191=0,"",(VLOOKUP($C191,REV!$C:$AA,20,0)-'TRADE IN'!$F191))</f>
        <v>849</v>
      </c>
      <c r="W191" s="46">
        <f>IF(VLOOKUP($C191,REV!$C:$AA,21,0)-'TRADE IN'!$F191=0,"",(VLOOKUP($C191,REV!$C:$AA,21,0)-'TRADE IN'!$F191))</f>
        <v>849</v>
      </c>
      <c r="X191" s="46">
        <f>IF(VLOOKUP($C191,REV!$C:$AA,22,0)-'TRADE IN'!$F191=0,"",(VLOOKUP($C191,REV!$C:$AA,22,0)-'TRADE IN'!$F191))</f>
        <v>849</v>
      </c>
      <c r="Y191" s="46">
        <f>IF(VLOOKUP($C191,REV!$C:$AA,23,0)-'TRADE IN'!$F191=0,"",(VLOOKUP($C191,REV!$C:$AA,23,0)-'TRADE IN'!$F191))</f>
        <v>849</v>
      </c>
      <c r="Z191" s="46">
        <f>IF(VLOOKUP($C191,REV!$C:$AA,24,0)-'TRADE IN'!$F191=0,"",(VLOOKUP($C191,REV!$C:$AA,24,0)-'TRADE IN'!$F191))</f>
        <v>849</v>
      </c>
      <c r="AA191" s="46">
        <f>IF(VLOOKUP($C191,REV!$C:$AA,25,0)-'TRADE IN'!$F191=0,"",(VLOOKUP($C191,REV!$C:$AA,25,0)-'TRADE IN'!$F191))</f>
        <v>849</v>
      </c>
      <c r="AB191" s="46">
        <f>IF(VLOOKUP($C191,REV!$C:$AL,27,0)-'TRADE IN'!$F191=0,"",(VLOOKUP($C191,REV!$C:$AL,27,0)-'TRADE IN'!$F191))</f>
        <v>899</v>
      </c>
      <c r="AC191" s="46">
        <f>IF(VLOOKUP($C191,REV!$C:$AL,28,0)-'TRADE IN'!$F191=0,"",(VLOOKUP($C191,REV!$C:$AL,28,0)-'TRADE IN'!$F191))</f>
        <v>899</v>
      </c>
      <c r="AD191" s="46">
        <f>IF(VLOOKUP($C191,REV!$C:$AL,29,0)-'TRADE IN'!$F191=0,"",(VLOOKUP($C191,REV!$C:$AL,29,0)-'TRADE IN'!$F191))</f>
        <v>849</v>
      </c>
      <c r="AE191" s="46">
        <f>IF(VLOOKUP($C191,REV!$C:$AL,30,0)-'TRADE IN'!$F191=0,"",(VLOOKUP($C191,REV!$C:$AL,30,0)-'TRADE IN'!$F191))</f>
        <v>849</v>
      </c>
      <c r="AF191" s="46">
        <f>IF(VLOOKUP($C191,REV!$C:$AL,31,0)-'TRADE IN'!$F191=0,"",(VLOOKUP($C191,REV!$C:$AL,31,0)-'TRADE IN'!$F191))</f>
        <v>849</v>
      </c>
      <c r="AG191" s="46">
        <f>IF(VLOOKUP($C191,REV!$C:$AL,31,0)-'TRADE IN'!$F191=0,"",(VLOOKUP($C191,REV!$C:$AL,31,0)-'TRADE IN'!$F191))</f>
        <v>849</v>
      </c>
      <c r="AH191" s="46">
        <f>IF(VLOOKUP($C191,REV!$C:$AL,32,0)-'TRADE IN'!$F191=0,"",(VLOOKUP($C191,REV!$C:$AL,32,0)-'TRADE IN'!$F191))</f>
        <v>849</v>
      </c>
      <c r="AI191" s="46">
        <f>IF(VLOOKUP($C191,REV!$C:$AL,33,0)-'TRADE IN'!$F191=0,"",(VLOOKUP($C191,REV!$C:$AL,33,0)-'TRADE IN'!$F191))</f>
        <v>849</v>
      </c>
      <c r="AJ191" s="46">
        <f>IF(VLOOKUP($C191,REV!$C:$AL,34,0)-'TRADE IN'!$F191=0,"",(VLOOKUP($C191,REV!$C:$AL,34,0)-'TRADE IN'!$F191))</f>
        <v>849</v>
      </c>
      <c r="AK191" s="46">
        <f>IF(VLOOKUP($C191,REV!$C:$AL,35,0)-'TRADE IN'!$F191=0,"",(VLOOKUP($C191,REV!$C:$AL,35,0)-'TRADE IN'!$F191))</f>
        <v>849</v>
      </c>
      <c r="AL191" s="46">
        <f>IF(VLOOKUP($C191,REV!$C:$AL,36,0)-'TRADE IN'!$F191=0,"",(VLOOKUP($C191,REV!$C:$AL,36,0)-'TRADE IN'!$F191))</f>
        <v>849</v>
      </c>
      <c r="AM191" s="45"/>
      <c r="AN191" s="45"/>
      <c r="AO191" s="45"/>
      <c r="AP191" s="45"/>
      <c r="AQ191" s="45"/>
      <c r="AR191" s="45"/>
      <c r="AS191" s="45"/>
      <c r="AT191" s="45"/>
      <c r="AU191" s="45"/>
      <c r="AV191" s="47"/>
      <c r="AW191" s="48" t="str">
        <f>REV!AW191</f>
        <v>01.12.2026</v>
      </c>
      <c r="AX191" s="153" t="str">
        <f>VLOOKUP(C191,REV!C:AX,48,0)</f>
        <v>5G</v>
      </c>
    </row>
    <row r="192" spans="1:50" ht="21.75" customHeight="1">
      <c r="A192" s="57" t="s">
        <v>247</v>
      </c>
      <c r="B192" s="42" t="s">
        <v>64</v>
      </c>
      <c r="C192" s="43">
        <v>4016660</v>
      </c>
      <c r="D192" s="58" t="s">
        <v>317</v>
      </c>
      <c r="E192" s="58" t="s">
        <v>318</v>
      </c>
      <c r="F192" s="45"/>
      <c r="G192" s="45"/>
      <c r="H192" s="45"/>
      <c r="I192" s="45"/>
      <c r="J192" s="46">
        <f>IF(VLOOKUP($C192,REV!$C:$AA,8,0)-'TRADE IN'!$F192=0,"",(VLOOKUP($C192,REV!$C:$AA,8,0)-'TRADE IN'!$F192))</f>
        <v>1299</v>
      </c>
      <c r="K192" s="46">
        <f>IF(VLOOKUP($C192,REV!$C:$AA,9,0)-'TRADE IN'!$F192=0,"",(VLOOKUP($C192,REV!$C:$AA,9,0)-'TRADE IN'!$F192))</f>
        <v>1299</v>
      </c>
      <c r="L192" s="46">
        <f>IF(VLOOKUP($C192,REV!$C:$AA,10,0)-'TRADE IN'!$F192=0,"",(VLOOKUP($C192,REV!$C:$AA,10,0)-'TRADE IN'!$F192))</f>
        <v>1299</v>
      </c>
      <c r="M192" s="46">
        <f>IF(VLOOKUP($C192,REV!$C:$AA,11,0)-'TRADE IN'!$F192=0,"",(VLOOKUP($C192,REV!$C:$AA,11,0)-'TRADE IN'!$F192))</f>
        <v>1299</v>
      </c>
      <c r="N192" s="46">
        <f>IF(VLOOKUP($C192,REV!$C:$AA,12,0)-'TRADE IN'!$F192=0,"",(VLOOKUP($C192,REV!$C:$AA,12,0)-'TRADE IN'!$F192))</f>
        <v>1299</v>
      </c>
      <c r="O192" s="46">
        <f>IF(VLOOKUP($C192,REV!$C:$AA,13,0)-'TRADE IN'!$F192=0,"",(VLOOKUP($C192,REV!$C:$AA,13,0)-'TRADE IN'!$F192))</f>
        <v>1249</v>
      </c>
      <c r="P192" s="46">
        <f>IF(VLOOKUP($C192,REV!$C:$AA,14,0)-'TRADE IN'!$F192=0,"",(VLOOKUP($C192,REV!$C:$AA,14,0)-'TRADE IN'!$F192))</f>
        <v>1199</v>
      </c>
      <c r="Q192" s="46">
        <f>IF(VLOOKUP($C192,REV!$C:$AA,15,0)-'TRADE IN'!$F192=0,"",(VLOOKUP($C192,REV!$C:$AA,15,0)-'TRADE IN'!$F192))</f>
        <v>999</v>
      </c>
      <c r="R192" s="46">
        <f>IF(VLOOKUP($C192,REV!$C:$AA,16,0)-'TRADE IN'!$F192=0,"",(VLOOKUP($C192,REV!$C:$AA,16,0)-'TRADE IN'!$F192))</f>
        <v>1249</v>
      </c>
      <c r="S192" s="46">
        <f>IF(VLOOKUP($C192,REV!$C:$AA,17,0)-'TRADE IN'!$F192=0,"",(VLOOKUP($C192,REV!$C:$AA,17,0)-'TRADE IN'!$F192))</f>
        <v>1199</v>
      </c>
      <c r="T192" s="46">
        <f>IF(VLOOKUP($C192,REV!$C:$AA,18,0)-'TRADE IN'!$F192=0,"",(VLOOKUP($C192,REV!$C:$AA,18,0)-'TRADE IN'!$F192))</f>
        <v>999</v>
      </c>
      <c r="U192" s="46">
        <f>IF(VLOOKUP($C192,REV!$C:$AA,19,0)-'TRADE IN'!$F192=0,"",(VLOOKUP($C192,REV!$C:$AA,19,0)-'TRADE IN'!$F192))</f>
        <v>999</v>
      </c>
      <c r="V192" s="46">
        <f>IF(VLOOKUP($C192,REV!$C:$AA,20,0)-'TRADE IN'!$F192=0,"",(VLOOKUP($C192,REV!$C:$AA,20,0)-'TRADE IN'!$F192))</f>
        <v>999</v>
      </c>
      <c r="W192" s="46">
        <f>IF(VLOOKUP($C192,REV!$C:$AA,21,0)-'TRADE IN'!$F192=0,"",(VLOOKUP($C192,REV!$C:$AA,21,0)-'TRADE IN'!$F192))</f>
        <v>999</v>
      </c>
      <c r="X192" s="46">
        <f>IF(VLOOKUP($C192,REV!$C:$AA,22,0)-'TRADE IN'!$F192=0,"",(VLOOKUP($C192,REV!$C:$AA,22,0)-'TRADE IN'!$F192))</f>
        <v>999</v>
      </c>
      <c r="Y192" s="46">
        <f>IF(VLOOKUP($C192,REV!$C:$AA,23,0)-'TRADE IN'!$F192=0,"",(VLOOKUP($C192,REV!$C:$AA,23,0)-'TRADE IN'!$F192))</f>
        <v>999</v>
      </c>
      <c r="Z192" s="46">
        <f>IF(VLOOKUP($C192,REV!$C:$AA,24,0)-'TRADE IN'!$F192=0,"",(VLOOKUP($C192,REV!$C:$AA,24,0)-'TRADE IN'!$F192))</f>
        <v>999</v>
      </c>
      <c r="AA192" s="46">
        <f>IF(VLOOKUP($C192,REV!$C:$AA,25,0)-'TRADE IN'!$F192=0,"",(VLOOKUP($C192,REV!$C:$AA,25,0)-'TRADE IN'!$F192))</f>
        <v>999</v>
      </c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7"/>
      <c r="AW192" s="48" t="str">
        <f>REV!AW192</f>
        <v>01.12.2026</v>
      </c>
      <c r="AX192" s="153" t="str">
        <f>VLOOKUP(C192,REV!C:AX,48,0)</f>
        <v>5G</v>
      </c>
    </row>
    <row r="193" spans="1:50" ht="21.75" customHeight="1">
      <c r="A193" s="57" t="s">
        <v>247</v>
      </c>
      <c r="B193" s="42" t="s">
        <v>64</v>
      </c>
      <c r="C193" s="43">
        <v>4016663</v>
      </c>
      <c r="D193" s="58" t="s">
        <v>317</v>
      </c>
      <c r="E193" s="58" t="s">
        <v>319</v>
      </c>
      <c r="F193" s="45"/>
      <c r="G193" s="45"/>
      <c r="H193" s="45"/>
      <c r="I193" s="45"/>
      <c r="J193" s="46">
        <f>IF(VLOOKUP($C193,REV!$C:$AA,8,0)-'TRADE IN'!$F193=0,"",(VLOOKUP($C193,REV!$C:$AA,8,0)-'TRADE IN'!$F193))</f>
        <v>1299</v>
      </c>
      <c r="K193" s="46">
        <f>IF(VLOOKUP($C193,REV!$C:$AA,9,0)-'TRADE IN'!$F193=0,"",(VLOOKUP($C193,REV!$C:$AA,9,0)-'TRADE IN'!$F193))</f>
        <v>1299</v>
      </c>
      <c r="L193" s="46">
        <f>IF(VLOOKUP($C193,REV!$C:$AA,10,0)-'TRADE IN'!$F193=0,"",(VLOOKUP($C193,REV!$C:$AA,10,0)-'TRADE IN'!$F193))</f>
        <v>1299</v>
      </c>
      <c r="M193" s="46">
        <f>IF(VLOOKUP($C193,REV!$C:$AA,11,0)-'TRADE IN'!$F193=0,"",(VLOOKUP($C193,REV!$C:$AA,11,0)-'TRADE IN'!$F193))</f>
        <v>1299</v>
      </c>
      <c r="N193" s="46">
        <f>IF(VLOOKUP($C193,REV!$C:$AA,12,0)-'TRADE IN'!$F193=0,"",(VLOOKUP($C193,REV!$C:$AA,12,0)-'TRADE IN'!$F193))</f>
        <v>1299</v>
      </c>
      <c r="O193" s="46">
        <f>IF(VLOOKUP($C193,REV!$C:$AA,13,0)-'TRADE IN'!$F193=0,"",(VLOOKUP($C193,REV!$C:$AA,13,0)-'TRADE IN'!$F193))</f>
        <v>1249</v>
      </c>
      <c r="P193" s="46">
        <f>IF(VLOOKUP($C193,REV!$C:$AA,14,0)-'TRADE IN'!$F193=0,"",(VLOOKUP($C193,REV!$C:$AA,14,0)-'TRADE IN'!$F193))</f>
        <v>1199</v>
      </c>
      <c r="Q193" s="46">
        <f>IF(VLOOKUP($C193,REV!$C:$AA,15,0)-'TRADE IN'!$F193=0,"",(VLOOKUP($C193,REV!$C:$AA,15,0)-'TRADE IN'!$F193))</f>
        <v>999</v>
      </c>
      <c r="R193" s="46">
        <f>IF(VLOOKUP($C193,REV!$C:$AA,16,0)-'TRADE IN'!$F193=0,"",(VLOOKUP($C193,REV!$C:$AA,16,0)-'TRADE IN'!$F193))</f>
        <v>1249</v>
      </c>
      <c r="S193" s="46">
        <f>IF(VLOOKUP($C193,REV!$C:$AA,17,0)-'TRADE IN'!$F193=0,"",(VLOOKUP($C193,REV!$C:$AA,17,0)-'TRADE IN'!$F193))</f>
        <v>1199</v>
      </c>
      <c r="T193" s="46">
        <f>IF(VLOOKUP($C193,REV!$C:$AA,18,0)-'TRADE IN'!$F193=0,"",(VLOOKUP($C193,REV!$C:$AA,18,0)-'TRADE IN'!$F193))</f>
        <v>999</v>
      </c>
      <c r="U193" s="46">
        <f>IF(VLOOKUP($C193,REV!$C:$AA,19,0)-'TRADE IN'!$F193=0,"",(VLOOKUP($C193,REV!$C:$AA,19,0)-'TRADE IN'!$F193))</f>
        <v>999</v>
      </c>
      <c r="V193" s="46">
        <f>IF(VLOOKUP($C193,REV!$C:$AA,20,0)-'TRADE IN'!$F193=0,"",(VLOOKUP($C193,REV!$C:$AA,20,0)-'TRADE IN'!$F193))</f>
        <v>999</v>
      </c>
      <c r="W193" s="46">
        <f>IF(VLOOKUP($C193,REV!$C:$AA,21,0)-'TRADE IN'!$F193=0,"",(VLOOKUP($C193,REV!$C:$AA,21,0)-'TRADE IN'!$F193))</f>
        <v>999</v>
      </c>
      <c r="X193" s="46">
        <f>IF(VLOOKUP($C193,REV!$C:$AA,22,0)-'TRADE IN'!$F193=0,"",(VLOOKUP($C193,REV!$C:$AA,22,0)-'TRADE IN'!$F193))</f>
        <v>999</v>
      </c>
      <c r="Y193" s="46">
        <f>IF(VLOOKUP($C193,REV!$C:$AA,23,0)-'TRADE IN'!$F193=0,"",(VLOOKUP($C193,REV!$C:$AA,23,0)-'TRADE IN'!$F193))</f>
        <v>999</v>
      </c>
      <c r="Z193" s="46">
        <f>IF(VLOOKUP($C193,REV!$C:$AA,24,0)-'TRADE IN'!$F193=0,"",(VLOOKUP($C193,REV!$C:$AA,24,0)-'TRADE IN'!$F193))</f>
        <v>999</v>
      </c>
      <c r="AA193" s="46">
        <f>IF(VLOOKUP($C193,REV!$C:$AA,25,0)-'TRADE IN'!$F193=0,"",(VLOOKUP($C193,REV!$C:$AA,25,0)-'TRADE IN'!$F193))</f>
        <v>999</v>
      </c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7"/>
      <c r="AW193" s="48" t="str">
        <f>REV!AW193</f>
        <v>01.12.2026</v>
      </c>
      <c r="AX193" s="153" t="str">
        <f>VLOOKUP(C193,REV!C:AX,48,0)</f>
        <v>5G</v>
      </c>
    </row>
    <row r="194" spans="1:50" ht="21.75" customHeight="1">
      <c r="A194" s="57" t="s">
        <v>247</v>
      </c>
      <c r="B194" s="42" t="s">
        <v>64</v>
      </c>
      <c r="C194" s="43">
        <v>4018194</v>
      </c>
      <c r="D194" s="58" t="s">
        <v>320</v>
      </c>
      <c r="E194" s="58" t="s">
        <v>321</v>
      </c>
      <c r="F194" s="45"/>
      <c r="G194" s="45"/>
      <c r="H194" s="45"/>
      <c r="I194" s="45"/>
      <c r="J194" s="46">
        <f>IF(VLOOKUP($C194,REV!$C:$AA,8,0)-'TRADE IN'!$F194=0,"",(VLOOKUP($C194,REV!$C:$AA,8,0)-'TRADE IN'!$F194))</f>
        <v>1249</v>
      </c>
      <c r="K194" s="46">
        <f>IF(VLOOKUP($C194,REV!$C:$AA,9,0)-'TRADE IN'!$F194=0,"",(VLOOKUP($C194,REV!$C:$AA,9,0)-'TRADE IN'!$F194))</f>
        <v>999</v>
      </c>
      <c r="L194" s="46">
        <f>IF(VLOOKUP($C194,REV!$C:$AA,10,0)-'TRADE IN'!$F194=0,"",(VLOOKUP($C194,REV!$C:$AA,10,0)-'TRADE IN'!$F194))</f>
        <v>999</v>
      </c>
      <c r="M194" s="46">
        <f>IF(VLOOKUP($C194,REV!$C:$AA,11,0)-'TRADE IN'!$F194=0,"",(VLOOKUP($C194,REV!$C:$AA,11,0)-'TRADE IN'!$F194))</f>
        <v>1249</v>
      </c>
      <c r="N194" s="46">
        <f>IF(VLOOKUP($C194,REV!$C:$AA,12,0)-'TRADE IN'!$F194=0,"",(VLOOKUP($C194,REV!$C:$AA,12,0)-'TRADE IN'!$F194))</f>
        <v>999</v>
      </c>
      <c r="O194" s="46">
        <f>IF(VLOOKUP($C194,REV!$C:$AA,13,0)-'TRADE IN'!$F194=0,"",(VLOOKUP($C194,REV!$C:$AA,13,0)-'TRADE IN'!$F194))</f>
        <v>999</v>
      </c>
      <c r="P194" s="46">
        <f>IF(VLOOKUP($C194,REV!$C:$AA,14,0)-'TRADE IN'!$F194=0,"",(VLOOKUP($C194,REV!$C:$AA,14,0)-'TRADE IN'!$F194))</f>
        <v>999</v>
      </c>
      <c r="Q194" s="46">
        <f>IF(VLOOKUP($C194,REV!$C:$AA,15,0)-'TRADE IN'!$F194=0,"",(VLOOKUP($C194,REV!$C:$AA,15,0)-'TRADE IN'!$F194))</f>
        <v>899</v>
      </c>
      <c r="R194" s="46">
        <f>IF(VLOOKUP($C194,REV!$C:$AA,16,0)-'TRADE IN'!$F194=0,"",(VLOOKUP($C194,REV!$C:$AA,16,0)-'TRADE IN'!$F194))</f>
        <v>999</v>
      </c>
      <c r="S194" s="46">
        <f>IF(VLOOKUP($C194,REV!$C:$AA,17,0)-'TRADE IN'!$F194=0,"",(VLOOKUP($C194,REV!$C:$AA,17,0)-'TRADE IN'!$F194))</f>
        <v>999</v>
      </c>
      <c r="T194" s="46">
        <f>IF(VLOOKUP($C194,REV!$C:$AA,18,0)-'TRADE IN'!$F194=0,"",(VLOOKUP($C194,REV!$C:$AA,18,0)-'TRADE IN'!$F194))</f>
        <v>899</v>
      </c>
      <c r="U194" s="46">
        <f>IF(VLOOKUP($C194,REV!$C:$AA,19,0)-'TRADE IN'!$F194=0,"",(VLOOKUP($C194,REV!$C:$AA,19,0)-'TRADE IN'!$F194))</f>
        <v>899</v>
      </c>
      <c r="V194" s="46">
        <f>IF(VLOOKUP($C194,REV!$C:$AA,20,0)-'TRADE IN'!$F194=0,"",(VLOOKUP($C194,REV!$C:$AA,20,0)-'TRADE IN'!$F194))</f>
        <v>899</v>
      </c>
      <c r="W194" s="46">
        <f>IF(VLOOKUP($C194,REV!$C:$AA,21,0)-'TRADE IN'!$F194=0,"",(VLOOKUP($C194,REV!$C:$AA,21,0)-'TRADE IN'!$F194))</f>
        <v>899</v>
      </c>
      <c r="X194" s="46">
        <f>IF(VLOOKUP($C194,REV!$C:$AA,22,0)-'TRADE IN'!$F194=0,"",(VLOOKUP($C194,REV!$C:$AA,22,0)-'TRADE IN'!$F194))</f>
        <v>899</v>
      </c>
      <c r="Y194" s="46">
        <f>IF(VLOOKUP($C194,REV!$C:$AA,23,0)-'TRADE IN'!$F194=0,"",(VLOOKUP($C194,REV!$C:$AA,23,0)-'TRADE IN'!$F194))</f>
        <v>899</v>
      </c>
      <c r="Z194" s="46">
        <f>IF(VLOOKUP($C194,REV!$C:$AA,24,0)-'TRADE IN'!$F194=0,"",(VLOOKUP($C194,REV!$C:$AA,24,0)-'TRADE IN'!$F194))</f>
        <v>899</v>
      </c>
      <c r="AA194" s="46">
        <f>IF(VLOOKUP($C194,REV!$C:$AA,25,0)-'TRADE IN'!$F194=0,"",(VLOOKUP($C194,REV!$C:$AA,25,0)-'TRADE IN'!$F194))</f>
        <v>899</v>
      </c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7"/>
      <c r="AW194" s="48" t="str">
        <f>REV!AW194</f>
        <v>01.12.2026</v>
      </c>
      <c r="AX194" s="153" t="str">
        <f>VLOOKUP(C194,REV!C:AX,48,0)</f>
        <v>5G</v>
      </c>
    </row>
    <row r="195" spans="1:50" ht="21.75" customHeight="1">
      <c r="A195" s="57" t="s">
        <v>247</v>
      </c>
      <c r="B195" s="42" t="s">
        <v>64</v>
      </c>
      <c r="C195" s="43">
        <v>4018196</v>
      </c>
      <c r="D195" s="58" t="s">
        <v>320</v>
      </c>
      <c r="E195" s="58" t="s">
        <v>322</v>
      </c>
      <c r="F195" s="45"/>
      <c r="G195" s="45"/>
      <c r="H195" s="45"/>
      <c r="I195" s="45"/>
      <c r="J195" s="46">
        <f>IF(VLOOKUP($C195,REV!$C:$AA,8,0)-'TRADE IN'!$F195=0,"",(VLOOKUP($C195,REV!$C:$AA,8,0)-'TRADE IN'!$F195))</f>
        <v>1249</v>
      </c>
      <c r="K195" s="46">
        <f>IF(VLOOKUP($C195,REV!$C:$AA,9,0)-'TRADE IN'!$F195=0,"",(VLOOKUP($C195,REV!$C:$AA,9,0)-'TRADE IN'!$F195))</f>
        <v>999</v>
      </c>
      <c r="L195" s="46">
        <f>IF(VLOOKUP($C195,REV!$C:$AA,10,0)-'TRADE IN'!$F195=0,"",(VLOOKUP($C195,REV!$C:$AA,10,0)-'TRADE IN'!$F195))</f>
        <v>999</v>
      </c>
      <c r="M195" s="46">
        <f>IF(VLOOKUP($C195,REV!$C:$AA,11,0)-'TRADE IN'!$F195=0,"",(VLOOKUP($C195,REV!$C:$AA,11,0)-'TRADE IN'!$F195))</f>
        <v>1249</v>
      </c>
      <c r="N195" s="46">
        <f>IF(VLOOKUP($C195,REV!$C:$AA,12,0)-'TRADE IN'!$F195=0,"",(VLOOKUP($C195,REV!$C:$AA,12,0)-'TRADE IN'!$F195))</f>
        <v>999</v>
      </c>
      <c r="O195" s="46">
        <f>IF(VLOOKUP($C195,REV!$C:$AA,13,0)-'TRADE IN'!$F195=0,"",(VLOOKUP($C195,REV!$C:$AA,13,0)-'TRADE IN'!$F195))</f>
        <v>999</v>
      </c>
      <c r="P195" s="46">
        <f>IF(VLOOKUP($C195,REV!$C:$AA,14,0)-'TRADE IN'!$F195=0,"",(VLOOKUP($C195,REV!$C:$AA,14,0)-'TRADE IN'!$F195))</f>
        <v>999</v>
      </c>
      <c r="Q195" s="46">
        <f>IF(VLOOKUP($C195,REV!$C:$AA,15,0)-'TRADE IN'!$F195=0,"",(VLOOKUP($C195,REV!$C:$AA,15,0)-'TRADE IN'!$F195))</f>
        <v>899</v>
      </c>
      <c r="R195" s="46">
        <f>IF(VLOOKUP($C195,REV!$C:$AA,16,0)-'TRADE IN'!$F195=0,"",(VLOOKUP($C195,REV!$C:$AA,16,0)-'TRADE IN'!$F195))</f>
        <v>999</v>
      </c>
      <c r="S195" s="46">
        <f>IF(VLOOKUP($C195,REV!$C:$AA,17,0)-'TRADE IN'!$F195=0,"",(VLOOKUP($C195,REV!$C:$AA,17,0)-'TRADE IN'!$F195))</f>
        <v>999</v>
      </c>
      <c r="T195" s="46">
        <f>IF(VLOOKUP($C195,REV!$C:$AA,18,0)-'TRADE IN'!$F195=0,"",(VLOOKUP($C195,REV!$C:$AA,18,0)-'TRADE IN'!$F195))</f>
        <v>899</v>
      </c>
      <c r="U195" s="46">
        <f>IF(VLOOKUP($C195,REV!$C:$AA,19,0)-'TRADE IN'!$F195=0,"",(VLOOKUP($C195,REV!$C:$AA,19,0)-'TRADE IN'!$F195))</f>
        <v>899</v>
      </c>
      <c r="V195" s="46">
        <f>IF(VLOOKUP($C195,REV!$C:$AA,20,0)-'TRADE IN'!$F195=0,"",(VLOOKUP($C195,REV!$C:$AA,20,0)-'TRADE IN'!$F195))</f>
        <v>899</v>
      </c>
      <c r="W195" s="46">
        <f>IF(VLOOKUP($C195,REV!$C:$AA,21,0)-'TRADE IN'!$F195=0,"",(VLOOKUP($C195,REV!$C:$AA,21,0)-'TRADE IN'!$F195))</f>
        <v>899</v>
      </c>
      <c r="X195" s="46">
        <f>IF(VLOOKUP($C195,REV!$C:$AA,22,0)-'TRADE IN'!$F195=0,"",(VLOOKUP($C195,REV!$C:$AA,22,0)-'TRADE IN'!$F195))</f>
        <v>899</v>
      </c>
      <c r="Y195" s="46">
        <f>IF(VLOOKUP($C195,REV!$C:$AA,23,0)-'TRADE IN'!$F195=0,"",(VLOOKUP($C195,REV!$C:$AA,23,0)-'TRADE IN'!$F195))</f>
        <v>899</v>
      </c>
      <c r="Z195" s="46">
        <f>IF(VLOOKUP($C195,REV!$C:$AA,24,0)-'TRADE IN'!$F195=0,"",(VLOOKUP($C195,REV!$C:$AA,24,0)-'TRADE IN'!$F195))</f>
        <v>899</v>
      </c>
      <c r="AA195" s="46">
        <f>IF(VLOOKUP($C195,REV!$C:$AA,25,0)-'TRADE IN'!$F195=0,"",(VLOOKUP($C195,REV!$C:$AA,25,0)-'TRADE IN'!$F195))</f>
        <v>899</v>
      </c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7"/>
      <c r="AW195" s="48" t="str">
        <f>REV!AW195</f>
        <v>01.12.2026</v>
      </c>
      <c r="AX195" s="153" t="str">
        <f>VLOOKUP(C195,REV!C:AX,48,0)</f>
        <v>5G</v>
      </c>
    </row>
    <row r="196" spans="1:50" ht="21.75" customHeight="1">
      <c r="A196" s="57" t="s">
        <v>247</v>
      </c>
      <c r="B196" s="42" t="s">
        <v>64</v>
      </c>
      <c r="C196" s="43">
        <v>4017967</v>
      </c>
      <c r="D196" s="58" t="s">
        <v>323</v>
      </c>
      <c r="E196" s="58" t="s">
        <v>324</v>
      </c>
      <c r="F196" s="45"/>
      <c r="G196" s="45"/>
      <c r="H196" s="45"/>
      <c r="I196" s="45"/>
      <c r="J196" s="46">
        <f>IF(VLOOKUP($C196,REV!$C:$AA,8,0)-'TRADE IN'!$F196=0,"",(VLOOKUP($C196,REV!$C:$AA,8,0)-'TRADE IN'!$F196))</f>
        <v>1349</v>
      </c>
      <c r="K196" s="46">
        <f>IF(VLOOKUP($C196,REV!$C:$AA,9,0)-'TRADE IN'!$F196=0,"",(VLOOKUP($C196,REV!$C:$AA,9,0)-'TRADE IN'!$F196))</f>
        <v>1199</v>
      </c>
      <c r="L196" s="46">
        <f>IF(VLOOKUP($C196,REV!$C:$AA,10,0)-'TRADE IN'!$F196=0,"",(VLOOKUP($C196,REV!$C:$AA,10,0)-'TRADE IN'!$F196))</f>
        <v>1199</v>
      </c>
      <c r="M196" s="46">
        <f>IF(VLOOKUP($C196,REV!$C:$AA,11,0)-'TRADE IN'!$F196=0,"",(VLOOKUP($C196,REV!$C:$AA,11,0)-'TRADE IN'!$F196))</f>
        <v>1349</v>
      </c>
      <c r="N196" s="46">
        <f>IF(VLOOKUP($C196,REV!$C:$AA,12,0)-'TRADE IN'!$F196=0,"",(VLOOKUP($C196,REV!$C:$AA,12,0)-'TRADE IN'!$F196))</f>
        <v>1199</v>
      </c>
      <c r="O196" s="46">
        <f>IF(VLOOKUP($C196,REV!$C:$AA,13,0)-'TRADE IN'!$F196=0,"",(VLOOKUP($C196,REV!$C:$AA,13,0)-'TRADE IN'!$F196))</f>
        <v>1149</v>
      </c>
      <c r="P196" s="46">
        <f>IF(VLOOKUP($C196,REV!$C:$AA,14,0)-'TRADE IN'!$F196=0,"",(VLOOKUP($C196,REV!$C:$AA,14,0)-'TRADE IN'!$F196))</f>
        <v>1099</v>
      </c>
      <c r="Q196" s="46">
        <f>IF(VLOOKUP($C196,REV!$C:$AA,15,0)-'TRADE IN'!$F196=0,"",(VLOOKUP($C196,REV!$C:$AA,15,0)-'TRADE IN'!$F196))</f>
        <v>999</v>
      </c>
      <c r="R196" s="46">
        <f>IF(VLOOKUP($C196,REV!$C:$AA,16,0)-'TRADE IN'!$F196=0,"",(VLOOKUP($C196,REV!$C:$AA,16,0)-'TRADE IN'!$F196))</f>
        <v>1149</v>
      </c>
      <c r="S196" s="46">
        <f>IF(VLOOKUP($C196,REV!$C:$AA,17,0)-'TRADE IN'!$F196=0,"",(VLOOKUP($C196,REV!$C:$AA,17,0)-'TRADE IN'!$F196))</f>
        <v>1099</v>
      </c>
      <c r="T196" s="46">
        <f>IF(VLOOKUP($C196,REV!$C:$AA,18,0)-'TRADE IN'!$F196=0,"",(VLOOKUP($C196,REV!$C:$AA,18,0)-'TRADE IN'!$F196))</f>
        <v>999</v>
      </c>
      <c r="U196" s="46">
        <f>IF(VLOOKUP($C196,REV!$C:$AA,19,0)-'TRADE IN'!$F196=0,"",(VLOOKUP($C196,REV!$C:$AA,19,0)-'TRADE IN'!$F196))</f>
        <v>999</v>
      </c>
      <c r="V196" s="46">
        <f>IF(VLOOKUP($C196,REV!$C:$AA,20,0)-'TRADE IN'!$F196=0,"",(VLOOKUP($C196,REV!$C:$AA,20,0)-'TRADE IN'!$F196))</f>
        <v>999</v>
      </c>
      <c r="W196" s="46">
        <f>IF(VLOOKUP($C196,REV!$C:$AA,21,0)-'TRADE IN'!$F196=0,"",(VLOOKUP($C196,REV!$C:$AA,21,0)-'TRADE IN'!$F196))</f>
        <v>999</v>
      </c>
      <c r="X196" s="46">
        <f>IF(VLOOKUP($C196,REV!$C:$AA,22,0)-'TRADE IN'!$F196=0,"",(VLOOKUP($C196,REV!$C:$AA,22,0)-'TRADE IN'!$F196))</f>
        <v>949</v>
      </c>
      <c r="Y196" s="46">
        <f>IF(VLOOKUP($C196,REV!$C:$AA,23,0)-'TRADE IN'!$F196=0,"",(VLOOKUP($C196,REV!$C:$AA,23,0)-'TRADE IN'!$F196))</f>
        <v>899</v>
      </c>
      <c r="Z196" s="46">
        <f>IF(VLOOKUP($C196,REV!$C:$AA,24,0)-'TRADE IN'!$F196=0,"",(VLOOKUP($C196,REV!$C:$AA,24,0)-'TRADE IN'!$F196))</f>
        <v>899</v>
      </c>
      <c r="AA196" s="46">
        <f>IF(VLOOKUP($C196,REV!$C:$AA,25,0)-'TRADE IN'!$F196=0,"",(VLOOKUP($C196,REV!$C:$AA,25,0)-'TRADE IN'!$F196))</f>
        <v>899</v>
      </c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7"/>
      <c r="AW196" s="48" t="str">
        <f>REV!AW196</f>
        <v>01.12.2026</v>
      </c>
      <c r="AX196" s="153" t="str">
        <f>VLOOKUP(C196,REV!C:AX,48,0)</f>
        <v>5G</v>
      </c>
    </row>
    <row r="197" spans="1:50" ht="21.75" customHeight="1">
      <c r="A197" s="57" t="s">
        <v>247</v>
      </c>
      <c r="B197" s="42" t="s">
        <v>64</v>
      </c>
      <c r="C197" s="43">
        <v>4017963</v>
      </c>
      <c r="D197" s="58" t="s">
        <v>323</v>
      </c>
      <c r="E197" s="58" t="s">
        <v>325</v>
      </c>
      <c r="F197" s="45"/>
      <c r="G197" s="45"/>
      <c r="H197" s="45"/>
      <c r="I197" s="45"/>
      <c r="J197" s="46">
        <f>IF(VLOOKUP($C197,REV!$C:$AA,8,0)-'TRADE IN'!$F197=0,"",(VLOOKUP($C197,REV!$C:$AA,8,0)-'TRADE IN'!$F197))</f>
        <v>1349</v>
      </c>
      <c r="K197" s="46">
        <f>IF(VLOOKUP($C197,REV!$C:$AA,9,0)-'TRADE IN'!$F197=0,"",(VLOOKUP($C197,REV!$C:$AA,9,0)-'TRADE IN'!$F197))</f>
        <v>1199</v>
      </c>
      <c r="L197" s="46">
        <f>IF(VLOOKUP($C197,REV!$C:$AA,10,0)-'TRADE IN'!$F197=0,"",(VLOOKUP($C197,REV!$C:$AA,10,0)-'TRADE IN'!$F197))</f>
        <v>1199</v>
      </c>
      <c r="M197" s="46">
        <f>IF(VLOOKUP($C197,REV!$C:$AA,11,0)-'TRADE IN'!$F197=0,"",(VLOOKUP($C197,REV!$C:$AA,11,0)-'TRADE IN'!$F197))</f>
        <v>1349</v>
      </c>
      <c r="N197" s="46">
        <f>IF(VLOOKUP($C197,REV!$C:$AA,12,0)-'TRADE IN'!$F197=0,"",(VLOOKUP($C197,REV!$C:$AA,12,0)-'TRADE IN'!$F197))</f>
        <v>1199</v>
      </c>
      <c r="O197" s="46">
        <f>IF(VLOOKUP($C197,REV!$C:$AA,13,0)-'TRADE IN'!$F197=0,"",(VLOOKUP($C197,REV!$C:$AA,13,0)-'TRADE IN'!$F197))</f>
        <v>1149</v>
      </c>
      <c r="P197" s="46">
        <f>IF(VLOOKUP($C197,REV!$C:$AA,14,0)-'TRADE IN'!$F197=0,"",(VLOOKUP($C197,REV!$C:$AA,14,0)-'TRADE IN'!$F197))</f>
        <v>1099</v>
      </c>
      <c r="Q197" s="46">
        <f>IF(VLOOKUP($C197,REV!$C:$AA,15,0)-'TRADE IN'!$F197=0,"",(VLOOKUP($C197,REV!$C:$AA,15,0)-'TRADE IN'!$F197))</f>
        <v>999</v>
      </c>
      <c r="R197" s="46">
        <f>IF(VLOOKUP($C197,REV!$C:$AA,16,0)-'TRADE IN'!$F197=0,"",(VLOOKUP($C197,REV!$C:$AA,16,0)-'TRADE IN'!$F197))</f>
        <v>1149</v>
      </c>
      <c r="S197" s="46">
        <f>IF(VLOOKUP($C197,REV!$C:$AA,17,0)-'TRADE IN'!$F197=0,"",(VLOOKUP($C197,REV!$C:$AA,17,0)-'TRADE IN'!$F197))</f>
        <v>1099</v>
      </c>
      <c r="T197" s="46">
        <f>IF(VLOOKUP($C197,REV!$C:$AA,18,0)-'TRADE IN'!$F197=0,"",(VLOOKUP($C197,REV!$C:$AA,18,0)-'TRADE IN'!$F197))</f>
        <v>999</v>
      </c>
      <c r="U197" s="46">
        <f>IF(VLOOKUP($C197,REV!$C:$AA,19,0)-'TRADE IN'!$F197=0,"",(VLOOKUP($C197,REV!$C:$AA,19,0)-'TRADE IN'!$F197))</f>
        <v>999</v>
      </c>
      <c r="V197" s="46">
        <f>IF(VLOOKUP($C197,REV!$C:$AA,20,0)-'TRADE IN'!$F197=0,"",(VLOOKUP($C197,REV!$C:$AA,20,0)-'TRADE IN'!$F197))</f>
        <v>999</v>
      </c>
      <c r="W197" s="46">
        <f>IF(VLOOKUP($C197,REV!$C:$AA,21,0)-'TRADE IN'!$F197=0,"",(VLOOKUP($C197,REV!$C:$AA,21,0)-'TRADE IN'!$F197))</f>
        <v>999</v>
      </c>
      <c r="X197" s="46">
        <f>IF(VLOOKUP($C197,REV!$C:$AA,22,0)-'TRADE IN'!$F197=0,"",(VLOOKUP($C197,REV!$C:$AA,22,0)-'TRADE IN'!$F197))</f>
        <v>949</v>
      </c>
      <c r="Y197" s="46">
        <f>IF(VLOOKUP($C197,REV!$C:$AA,23,0)-'TRADE IN'!$F197=0,"",(VLOOKUP($C197,REV!$C:$AA,23,0)-'TRADE IN'!$F197))</f>
        <v>899</v>
      </c>
      <c r="Z197" s="46">
        <f>IF(VLOOKUP($C197,REV!$C:$AA,24,0)-'TRADE IN'!$F197=0,"",(VLOOKUP($C197,REV!$C:$AA,24,0)-'TRADE IN'!$F197))</f>
        <v>899</v>
      </c>
      <c r="AA197" s="46">
        <f>IF(VLOOKUP($C197,REV!$C:$AA,25,0)-'TRADE IN'!$F197=0,"",(VLOOKUP($C197,REV!$C:$AA,25,0)-'TRADE IN'!$F197))</f>
        <v>899</v>
      </c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7"/>
      <c r="AW197" s="48" t="str">
        <f>REV!AW197</f>
        <v>01.12.2026</v>
      </c>
      <c r="AX197" s="153" t="str">
        <f>VLOOKUP(C197,REV!C:AX,48,0)</f>
        <v>5G</v>
      </c>
    </row>
    <row r="198" spans="1:50" ht="21.75" customHeight="1">
      <c r="A198" s="57" t="s">
        <v>247</v>
      </c>
      <c r="B198" s="42" t="s">
        <v>64</v>
      </c>
      <c r="C198" s="43">
        <v>4015328</v>
      </c>
      <c r="D198" s="58" t="s">
        <v>326</v>
      </c>
      <c r="E198" s="58" t="s">
        <v>327</v>
      </c>
      <c r="F198" s="45"/>
      <c r="G198" s="45"/>
      <c r="H198" s="45"/>
      <c r="I198" s="45"/>
      <c r="J198" s="46">
        <f>IF(VLOOKUP($C198,REV!$C:$AA,8,0)-'TRADE IN'!$F198=0,"",(VLOOKUP($C198,REV!$C:$AA,8,0)-'TRADE IN'!$F198))</f>
        <v>529</v>
      </c>
      <c r="K198" s="46">
        <f>IF(VLOOKUP($C198,REV!$C:$AA,9,0)-'TRADE IN'!$F198=0,"",(VLOOKUP($C198,REV!$C:$AA,9,0)-'TRADE IN'!$F198))</f>
        <v>529</v>
      </c>
      <c r="L198" s="46">
        <f>IF(VLOOKUP($C198,REV!$C:$AA,10,0)-'TRADE IN'!$F198=0,"",(VLOOKUP($C198,REV!$C:$AA,10,0)-'TRADE IN'!$F198))</f>
        <v>529</v>
      </c>
      <c r="M198" s="46">
        <f>IF(VLOOKUP($C198,REV!$C:$AA,11,0)-'TRADE IN'!$F198=0,"",(VLOOKUP($C198,REV!$C:$AA,11,0)-'TRADE IN'!$F198))</f>
        <v>529</v>
      </c>
      <c r="N198" s="46">
        <f>IF(VLOOKUP($C198,REV!$C:$AA,12,0)-'TRADE IN'!$F198=0,"",(VLOOKUP($C198,REV!$C:$AA,12,0)-'TRADE IN'!$F198))</f>
        <v>529</v>
      </c>
      <c r="O198" s="46">
        <f>IF(VLOOKUP($C198,REV!$C:$AA,13,0)-'TRADE IN'!$F198=0,"",(VLOOKUP($C198,REV!$C:$AA,13,0)-'TRADE IN'!$F198))</f>
        <v>529</v>
      </c>
      <c r="P198" s="46">
        <f>IF(VLOOKUP($C198,REV!$C:$AA,14,0)-'TRADE IN'!$F198=0,"",(VLOOKUP($C198,REV!$C:$AA,14,0)-'TRADE IN'!$F198))</f>
        <v>529</v>
      </c>
      <c r="Q198" s="46">
        <f>IF(VLOOKUP($C198,REV!$C:$AA,15,0)-'TRADE IN'!$F198=0,"",(VLOOKUP($C198,REV!$C:$AA,15,0)-'TRADE IN'!$F198))</f>
        <v>529</v>
      </c>
      <c r="R198" s="46">
        <f>IF(VLOOKUP($C198,REV!$C:$AA,16,0)-'TRADE IN'!$F198=0,"",(VLOOKUP($C198,REV!$C:$AA,16,0)-'TRADE IN'!$F198))</f>
        <v>529</v>
      </c>
      <c r="S198" s="46">
        <f>IF(VLOOKUP($C198,REV!$C:$AA,17,0)-'TRADE IN'!$F198=0,"",(VLOOKUP($C198,REV!$C:$AA,17,0)-'TRADE IN'!$F198))</f>
        <v>529</v>
      </c>
      <c r="T198" s="46">
        <f>IF(VLOOKUP($C198,REV!$C:$AA,18,0)-'TRADE IN'!$F198=0,"",(VLOOKUP($C198,REV!$C:$AA,18,0)-'TRADE IN'!$F198))</f>
        <v>529</v>
      </c>
      <c r="U198" s="46">
        <f>IF(VLOOKUP($C198,REV!$C:$AA,19,0)-'TRADE IN'!$F198=0,"",(VLOOKUP($C198,REV!$C:$AA,19,0)-'TRADE IN'!$F198))</f>
        <v>529</v>
      </c>
      <c r="V198" s="46">
        <f>IF(VLOOKUP($C198,REV!$C:$AA,20,0)-'TRADE IN'!$F198=0,"",(VLOOKUP($C198,REV!$C:$AA,20,0)-'TRADE IN'!$F198))</f>
        <v>529</v>
      </c>
      <c r="W198" s="46">
        <f>IF(VLOOKUP($C198,REV!$C:$AA,21,0)-'TRADE IN'!$F198=0,"",(VLOOKUP($C198,REV!$C:$AA,21,0)-'TRADE IN'!$F198))</f>
        <v>529</v>
      </c>
      <c r="X198" s="46">
        <f>IF(VLOOKUP($C198,REV!$C:$AA,22,0)-'TRADE IN'!$F198=0,"",(VLOOKUP($C198,REV!$C:$AA,22,0)-'TRADE IN'!$F198))</f>
        <v>529</v>
      </c>
      <c r="Y198" s="46">
        <f>IF(VLOOKUP($C198,REV!$C:$AA,23,0)-'TRADE IN'!$F198=0,"",(VLOOKUP($C198,REV!$C:$AA,23,0)-'TRADE IN'!$F198))</f>
        <v>529</v>
      </c>
      <c r="Z198" s="46">
        <f>IF(VLOOKUP($C198,REV!$C:$AA,24,0)-'TRADE IN'!$F198=0,"",(VLOOKUP($C198,REV!$C:$AA,24,0)-'TRADE IN'!$F198))</f>
        <v>529</v>
      </c>
      <c r="AA198" s="46">
        <f>IF(VLOOKUP($C198,REV!$C:$AA,25,0)-'TRADE IN'!$F198=0,"",(VLOOKUP($C198,REV!$C:$AA,25,0)-'TRADE IN'!$F198))</f>
        <v>529</v>
      </c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7"/>
      <c r="AW198" s="48" t="str">
        <f>REV!AW198</f>
        <v>01.12.2026</v>
      </c>
      <c r="AX198" s="153" t="str">
        <f>VLOOKUP(C198,REV!C:AX,48,0)</f>
        <v>5G</v>
      </c>
    </row>
    <row r="199" spans="1:50" ht="21.75" customHeight="1">
      <c r="A199" s="57" t="s">
        <v>247</v>
      </c>
      <c r="B199" s="42" t="s">
        <v>64</v>
      </c>
      <c r="C199" s="43">
        <v>4015336</v>
      </c>
      <c r="D199" s="58" t="s">
        <v>326</v>
      </c>
      <c r="E199" s="58" t="s">
        <v>328</v>
      </c>
      <c r="F199" s="45"/>
      <c r="G199" s="45"/>
      <c r="H199" s="45"/>
      <c r="I199" s="45"/>
      <c r="J199" s="46">
        <f>IF(VLOOKUP($C199,REV!$C:$AA,8,0)-'TRADE IN'!$F199=0,"",(VLOOKUP($C199,REV!$C:$AA,8,0)-'TRADE IN'!$F199))</f>
        <v>529</v>
      </c>
      <c r="K199" s="46">
        <f>IF(VLOOKUP($C199,REV!$C:$AA,9,0)-'TRADE IN'!$F199=0,"",(VLOOKUP($C199,REV!$C:$AA,9,0)-'TRADE IN'!$F199))</f>
        <v>529</v>
      </c>
      <c r="L199" s="46">
        <f>IF(VLOOKUP($C199,REV!$C:$AA,10,0)-'TRADE IN'!$F199=0,"",(VLOOKUP($C199,REV!$C:$AA,10,0)-'TRADE IN'!$F199))</f>
        <v>529</v>
      </c>
      <c r="M199" s="46">
        <f>IF(VLOOKUP($C199,REV!$C:$AA,11,0)-'TRADE IN'!$F199=0,"",(VLOOKUP($C199,REV!$C:$AA,11,0)-'TRADE IN'!$F199))</f>
        <v>529</v>
      </c>
      <c r="N199" s="46">
        <f>IF(VLOOKUP($C199,REV!$C:$AA,12,0)-'TRADE IN'!$F199=0,"",(VLOOKUP($C199,REV!$C:$AA,12,0)-'TRADE IN'!$F199))</f>
        <v>529</v>
      </c>
      <c r="O199" s="46">
        <f>IF(VLOOKUP($C199,REV!$C:$AA,13,0)-'TRADE IN'!$F199=0,"",(VLOOKUP($C199,REV!$C:$AA,13,0)-'TRADE IN'!$F199))</f>
        <v>529</v>
      </c>
      <c r="P199" s="46">
        <f>IF(VLOOKUP($C199,REV!$C:$AA,14,0)-'TRADE IN'!$F199=0,"",(VLOOKUP($C199,REV!$C:$AA,14,0)-'TRADE IN'!$F199))</f>
        <v>529</v>
      </c>
      <c r="Q199" s="46">
        <f>IF(VLOOKUP($C199,REV!$C:$AA,15,0)-'TRADE IN'!$F199=0,"",(VLOOKUP($C199,REV!$C:$AA,15,0)-'TRADE IN'!$F199))</f>
        <v>529</v>
      </c>
      <c r="R199" s="46">
        <f>IF(VLOOKUP($C199,REV!$C:$AA,16,0)-'TRADE IN'!$F199=0,"",(VLOOKUP($C199,REV!$C:$AA,16,0)-'TRADE IN'!$F199))</f>
        <v>529</v>
      </c>
      <c r="S199" s="46">
        <f>IF(VLOOKUP($C199,REV!$C:$AA,17,0)-'TRADE IN'!$F199=0,"",(VLOOKUP($C199,REV!$C:$AA,17,0)-'TRADE IN'!$F199))</f>
        <v>529</v>
      </c>
      <c r="T199" s="46">
        <f>IF(VLOOKUP($C199,REV!$C:$AA,18,0)-'TRADE IN'!$F199=0,"",(VLOOKUP($C199,REV!$C:$AA,18,0)-'TRADE IN'!$F199))</f>
        <v>529</v>
      </c>
      <c r="U199" s="46">
        <f>IF(VLOOKUP($C199,REV!$C:$AA,19,0)-'TRADE IN'!$F199=0,"",(VLOOKUP($C199,REV!$C:$AA,19,0)-'TRADE IN'!$F199))</f>
        <v>529</v>
      </c>
      <c r="V199" s="46">
        <f>IF(VLOOKUP($C199,REV!$C:$AA,20,0)-'TRADE IN'!$F199=0,"",(VLOOKUP($C199,REV!$C:$AA,20,0)-'TRADE IN'!$F199))</f>
        <v>529</v>
      </c>
      <c r="W199" s="46">
        <f>IF(VLOOKUP($C199,REV!$C:$AA,21,0)-'TRADE IN'!$F199=0,"",(VLOOKUP($C199,REV!$C:$AA,21,0)-'TRADE IN'!$F199))</f>
        <v>529</v>
      </c>
      <c r="X199" s="46">
        <f>IF(VLOOKUP($C199,REV!$C:$AA,22,0)-'TRADE IN'!$F199=0,"",(VLOOKUP($C199,REV!$C:$AA,22,0)-'TRADE IN'!$F199))</f>
        <v>529</v>
      </c>
      <c r="Y199" s="46">
        <f>IF(VLOOKUP($C199,REV!$C:$AA,23,0)-'TRADE IN'!$F199=0,"",(VLOOKUP($C199,REV!$C:$AA,23,0)-'TRADE IN'!$F199))</f>
        <v>529</v>
      </c>
      <c r="Z199" s="46">
        <f>IF(VLOOKUP($C199,REV!$C:$AA,24,0)-'TRADE IN'!$F199=0,"",(VLOOKUP($C199,REV!$C:$AA,24,0)-'TRADE IN'!$F199))</f>
        <v>529</v>
      </c>
      <c r="AA199" s="46">
        <f>IF(VLOOKUP($C199,REV!$C:$AA,25,0)-'TRADE IN'!$F199=0,"",(VLOOKUP($C199,REV!$C:$AA,25,0)-'TRADE IN'!$F199))</f>
        <v>529</v>
      </c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7"/>
      <c r="AW199" s="48" t="str">
        <f>REV!AW199</f>
        <v>01.12.2026</v>
      </c>
      <c r="AX199" s="153" t="str">
        <f>VLOOKUP(C199,REV!C:AX,48,0)</f>
        <v>5G</v>
      </c>
    </row>
    <row r="200" spans="1:50" ht="21.75" customHeight="1">
      <c r="A200" s="57" t="s">
        <v>247</v>
      </c>
      <c r="B200" s="42" t="s">
        <v>64</v>
      </c>
      <c r="C200" s="43">
        <v>4015989</v>
      </c>
      <c r="D200" s="58" t="s">
        <v>329</v>
      </c>
      <c r="E200" s="58" t="s">
        <v>330</v>
      </c>
      <c r="F200" s="45"/>
      <c r="G200" s="45"/>
      <c r="H200" s="45"/>
      <c r="I200" s="45"/>
      <c r="J200" s="46">
        <f>IF(VLOOKUP($C200,REV!$C:$AA,8,0)-'TRADE IN'!$F200=0,"",(VLOOKUP($C200,REV!$C:$AA,8,0)-'TRADE IN'!$F200))</f>
        <v>1199</v>
      </c>
      <c r="K200" s="46">
        <f>IF(VLOOKUP($C200,REV!$C:$AA,9,0)-'TRADE IN'!$F200=0,"",(VLOOKUP($C200,REV!$C:$AA,9,0)-'TRADE IN'!$F200))</f>
        <v>1199</v>
      </c>
      <c r="L200" s="46">
        <f>IF(VLOOKUP($C200,REV!$C:$AA,10,0)-'TRADE IN'!$F200=0,"",(VLOOKUP($C200,REV!$C:$AA,10,0)-'TRADE IN'!$F200))</f>
        <v>1199</v>
      </c>
      <c r="M200" s="46">
        <f>IF(VLOOKUP($C200,REV!$C:$AA,11,0)-'TRADE IN'!$F200=0,"",(VLOOKUP($C200,REV!$C:$AA,11,0)-'TRADE IN'!$F200))</f>
        <v>1199</v>
      </c>
      <c r="N200" s="46">
        <f>IF(VLOOKUP($C200,REV!$C:$AA,12,0)-'TRADE IN'!$F200=0,"",(VLOOKUP($C200,REV!$C:$AA,12,0)-'TRADE IN'!$F200))</f>
        <v>1199</v>
      </c>
      <c r="O200" s="46">
        <f>IF(VLOOKUP($C200,REV!$C:$AA,13,0)-'TRADE IN'!$F200=0,"",(VLOOKUP($C200,REV!$C:$AA,13,0)-'TRADE IN'!$F200))</f>
        <v>1099</v>
      </c>
      <c r="P200" s="46">
        <f>IF(VLOOKUP($C200,REV!$C:$AA,14,0)-'TRADE IN'!$F200=0,"",(VLOOKUP($C200,REV!$C:$AA,14,0)-'TRADE IN'!$F200))</f>
        <v>1049</v>
      </c>
      <c r="Q200" s="46">
        <f>IF(VLOOKUP($C200,REV!$C:$AA,15,0)-'TRADE IN'!$F200=0,"",(VLOOKUP($C200,REV!$C:$AA,15,0)-'TRADE IN'!$F200))</f>
        <v>899</v>
      </c>
      <c r="R200" s="46">
        <f>IF(VLOOKUP($C200,REV!$C:$AA,16,0)-'TRADE IN'!$F200=0,"",(VLOOKUP($C200,REV!$C:$AA,16,0)-'TRADE IN'!$F200))</f>
        <v>1099</v>
      </c>
      <c r="S200" s="46">
        <f>IF(VLOOKUP($C200,REV!$C:$AA,17,0)-'TRADE IN'!$F200=0,"",(VLOOKUP($C200,REV!$C:$AA,17,0)-'TRADE IN'!$F200))</f>
        <v>1049</v>
      </c>
      <c r="T200" s="46">
        <f>IF(VLOOKUP($C200,REV!$C:$AA,18,0)-'TRADE IN'!$F200=0,"",(VLOOKUP($C200,REV!$C:$AA,18,0)-'TRADE IN'!$F200))</f>
        <v>899</v>
      </c>
      <c r="U200" s="46">
        <f>IF(VLOOKUP($C200,REV!$C:$AA,19,0)-'TRADE IN'!$F200=0,"",(VLOOKUP($C200,REV!$C:$AA,19,0)-'TRADE IN'!$F200))</f>
        <v>899</v>
      </c>
      <c r="V200" s="46">
        <f>IF(VLOOKUP($C200,REV!$C:$AA,20,0)-'TRADE IN'!$F200=0,"",(VLOOKUP($C200,REV!$C:$AA,20,0)-'TRADE IN'!$F200))</f>
        <v>899</v>
      </c>
      <c r="W200" s="46">
        <f>IF(VLOOKUP($C200,REV!$C:$AA,21,0)-'TRADE IN'!$F200=0,"",(VLOOKUP($C200,REV!$C:$AA,21,0)-'TRADE IN'!$F200))</f>
        <v>899</v>
      </c>
      <c r="X200" s="46">
        <f>IF(VLOOKUP($C200,REV!$C:$AA,22,0)-'TRADE IN'!$F200=0,"",(VLOOKUP($C200,REV!$C:$AA,22,0)-'TRADE IN'!$F200))</f>
        <v>849</v>
      </c>
      <c r="Y200" s="46">
        <f>IF(VLOOKUP($C200,REV!$C:$AA,23,0)-'TRADE IN'!$F200=0,"",(VLOOKUP($C200,REV!$C:$AA,23,0)-'TRADE IN'!$F200))</f>
        <v>829</v>
      </c>
      <c r="Z200" s="46">
        <f>IF(VLOOKUP($C200,REV!$C:$AA,24,0)-'TRADE IN'!$F200=0,"",(VLOOKUP($C200,REV!$C:$AA,24,0)-'TRADE IN'!$F200))</f>
        <v>829</v>
      </c>
      <c r="AA200" s="46">
        <f>IF(VLOOKUP($C200,REV!$C:$AA,25,0)-'TRADE IN'!$F200=0,"",(VLOOKUP($C200,REV!$C:$AA,25,0)-'TRADE IN'!$F200))</f>
        <v>819</v>
      </c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7"/>
      <c r="AW200" s="48" t="str">
        <f>REV!AW200</f>
        <v>01.12.2026</v>
      </c>
      <c r="AX200" s="153" t="str">
        <f>VLOOKUP(C200,REV!C:AX,48,0)</f>
        <v>5G</v>
      </c>
    </row>
    <row r="201" spans="1:50" ht="21.75" customHeight="1">
      <c r="A201" s="57" t="s">
        <v>247</v>
      </c>
      <c r="B201" s="42" t="s">
        <v>64</v>
      </c>
      <c r="C201" s="43">
        <v>4017123</v>
      </c>
      <c r="D201" s="58" t="s">
        <v>331</v>
      </c>
      <c r="E201" s="58" t="s">
        <v>332</v>
      </c>
      <c r="F201" s="45"/>
      <c r="G201" s="45"/>
      <c r="H201" s="45"/>
      <c r="I201" s="45"/>
      <c r="J201" s="46">
        <f>IF(VLOOKUP($C201,REV!$C:$AA,8,0)-'TRADE IN'!$F201=0,"",(VLOOKUP($C201,REV!$C:$AA,8,0)-'TRADE IN'!$F201))</f>
        <v>1899</v>
      </c>
      <c r="K201" s="46">
        <f>IF(VLOOKUP($C201,REV!$C:$AA,9,0)-'TRADE IN'!$F201=0,"",(VLOOKUP($C201,REV!$C:$AA,9,0)-'TRADE IN'!$F201))</f>
        <v>1899</v>
      </c>
      <c r="L201" s="46">
        <f>IF(VLOOKUP($C201,REV!$C:$AA,10,0)-'TRADE IN'!$F201=0,"",(VLOOKUP($C201,REV!$C:$AA,10,0)-'TRADE IN'!$F201))</f>
        <v>1899</v>
      </c>
      <c r="M201" s="46">
        <f>IF(VLOOKUP($C201,REV!$C:$AA,11,0)-'TRADE IN'!$F201=0,"",(VLOOKUP($C201,REV!$C:$AA,11,0)-'TRADE IN'!$F201))</f>
        <v>1899</v>
      </c>
      <c r="N201" s="46">
        <f>IF(VLOOKUP($C201,REV!$C:$AA,12,0)-'TRADE IN'!$F201=0,"",(VLOOKUP($C201,REV!$C:$AA,12,0)-'TRADE IN'!$F201))</f>
        <v>1899</v>
      </c>
      <c r="O201" s="46">
        <f>IF(VLOOKUP($C201,REV!$C:$AA,13,0)-'TRADE IN'!$F201=0,"",(VLOOKUP($C201,REV!$C:$AA,13,0)-'TRADE IN'!$F201))</f>
        <v>1799</v>
      </c>
      <c r="P201" s="46">
        <f>IF(VLOOKUP($C201,REV!$C:$AA,14,0)-'TRADE IN'!$F201=0,"",(VLOOKUP($C201,REV!$C:$AA,14,0)-'TRADE IN'!$F201))</f>
        <v>1699</v>
      </c>
      <c r="Q201" s="46">
        <f>IF(VLOOKUP($C201,REV!$C:$AA,15,0)-'TRADE IN'!$F201=0,"",(VLOOKUP($C201,REV!$C:$AA,15,0)-'TRADE IN'!$F201))</f>
        <v>1499</v>
      </c>
      <c r="R201" s="46">
        <f>IF(VLOOKUP($C201,REV!$C:$AA,16,0)-'TRADE IN'!$F201=0,"",(VLOOKUP($C201,REV!$C:$AA,16,0)-'TRADE IN'!$F201))</f>
        <v>1799</v>
      </c>
      <c r="S201" s="46">
        <f>IF(VLOOKUP($C201,REV!$C:$AA,17,0)-'TRADE IN'!$F201=0,"",(VLOOKUP($C201,REV!$C:$AA,17,0)-'TRADE IN'!$F201))</f>
        <v>1699</v>
      </c>
      <c r="T201" s="46">
        <f>IF(VLOOKUP($C201,REV!$C:$AA,18,0)-'TRADE IN'!$F201=0,"",(VLOOKUP($C201,REV!$C:$AA,18,0)-'TRADE IN'!$F201))</f>
        <v>1499</v>
      </c>
      <c r="U201" s="46">
        <f>IF(VLOOKUP($C201,REV!$C:$AA,19,0)-'TRADE IN'!$F201=0,"",(VLOOKUP($C201,REV!$C:$AA,19,0)-'TRADE IN'!$F201))</f>
        <v>1499</v>
      </c>
      <c r="V201" s="46">
        <f>IF(VLOOKUP($C201,REV!$C:$AA,20,0)-'TRADE IN'!$F201=0,"",(VLOOKUP($C201,REV!$C:$AA,20,0)-'TRADE IN'!$F201))</f>
        <v>1499</v>
      </c>
      <c r="W201" s="46">
        <f>IF(VLOOKUP($C201,REV!$C:$AA,21,0)-'TRADE IN'!$F201=0,"",(VLOOKUP($C201,REV!$C:$AA,21,0)-'TRADE IN'!$F201))</f>
        <v>1499</v>
      </c>
      <c r="X201" s="46">
        <f>IF(VLOOKUP($C201,REV!$C:$AA,22,0)-'TRADE IN'!$F201=0,"",(VLOOKUP($C201,REV!$C:$AA,22,0)-'TRADE IN'!$F201))</f>
        <v>1399</v>
      </c>
      <c r="Y201" s="46">
        <f>IF(VLOOKUP($C201,REV!$C:$AA,23,0)-'TRADE IN'!$F201=0,"",(VLOOKUP($C201,REV!$C:$AA,23,0)-'TRADE IN'!$F201))</f>
        <v>999</v>
      </c>
      <c r="Z201" s="46">
        <f>IF(VLOOKUP($C201,REV!$C:$AA,24,0)-'TRADE IN'!$F201=0,"",(VLOOKUP($C201,REV!$C:$AA,24,0)-'TRADE IN'!$F201))</f>
        <v>999</v>
      </c>
      <c r="AA201" s="46">
        <f>IF(VLOOKUP($C201,REV!$C:$AA,25,0)-'TRADE IN'!$F201=0,"",(VLOOKUP($C201,REV!$C:$AA,25,0)-'TRADE IN'!$F201))</f>
        <v>999</v>
      </c>
      <c r="AB201" s="45">
        <f>IF(VLOOKUP($C201,REV!$C:$AL,27,0)-'TRADE IN'!$F201=0,"",(VLOOKUP($C201,REV!$C:$AL,27,0)-'TRADE IN'!$F201))</f>
        <v>1899</v>
      </c>
      <c r="AC201" s="45">
        <f>IF(VLOOKUP($C201,REV!$C:$AL,28,0)-'TRADE IN'!$F201=0,"",(VLOOKUP($C201,REV!$C:$AL,28,0)-'TRADE IN'!$F201))</f>
        <v>1899</v>
      </c>
      <c r="AD201" s="45">
        <f>IF(VLOOKUP($C201,REV!$C:$AL,29,0)-'TRADE IN'!$F201=0,"",(VLOOKUP($C201,REV!$C:$AL,29,0)-'TRADE IN'!$F201))</f>
        <v>1799</v>
      </c>
      <c r="AE201" s="45">
        <f>IF(VLOOKUP($C201,REV!$C:$AL,30,0)-'TRADE IN'!$F201=0,"",(VLOOKUP($C201,REV!$C:$AL,30,0)-'TRADE IN'!$F201))</f>
        <v>1699</v>
      </c>
      <c r="AF201" s="45">
        <f>IF(VLOOKUP($C201,REV!$C:$AL,31,0)-'TRADE IN'!$F201=0,"",(VLOOKUP($C201,REV!$C:$AL,31,0)-'TRADE IN'!$F201))</f>
        <v>1699</v>
      </c>
      <c r="AG201" s="45">
        <f>IF(VLOOKUP($C201,REV!$C:$AL,31,0)-'TRADE IN'!$F201=0,"",(VLOOKUP($C201,REV!$C:$AL,31,0)-'TRADE IN'!$F201))</f>
        <v>1699</v>
      </c>
      <c r="AH201" s="45">
        <f>IF(VLOOKUP($C201,REV!$C:$AL,32,0)-'TRADE IN'!$F201=0,"",(VLOOKUP($C201,REV!$C:$AL,32,0)-'TRADE IN'!$F201))</f>
        <v>1499</v>
      </c>
      <c r="AI201" s="45">
        <f>IF(VLOOKUP($C201,REV!$C:$AL,33,0)-'TRADE IN'!$F201=0,"",(VLOOKUP($C201,REV!$C:$AL,33,0)-'TRADE IN'!$F201))</f>
        <v>1499</v>
      </c>
      <c r="AJ201" s="45">
        <f>IF(VLOOKUP($C201,REV!$C:$AL,34,0)-'TRADE IN'!$F201=0,"",(VLOOKUP($C201,REV!$C:$AL,34,0)-'TRADE IN'!$F201))</f>
        <v>1499</v>
      </c>
      <c r="AK201" s="45">
        <f>IF(VLOOKUP($C201,REV!$C:$AL,35,0)-'TRADE IN'!$F201=0,"",(VLOOKUP($C201,REV!$C:$AL,35,0)-'TRADE IN'!$F201))</f>
        <v>1499</v>
      </c>
      <c r="AL201" s="45">
        <f>IF(VLOOKUP($C201,REV!$C:$AL,36,0)-'TRADE IN'!$F201=0,"",(VLOOKUP($C201,REV!$C:$AL,36,0)-'TRADE IN'!$F201))</f>
        <v>999</v>
      </c>
      <c r="AM201" s="45"/>
      <c r="AN201" s="45"/>
      <c r="AO201" s="45"/>
      <c r="AP201" s="45"/>
      <c r="AQ201" s="45"/>
      <c r="AR201" s="45"/>
      <c r="AS201" s="45"/>
      <c r="AT201" s="45"/>
      <c r="AU201" s="45"/>
      <c r="AV201" s="47"/>
      <c r="AW201" s="48" t="str">
        <f>REV!AW201</f>
        <v>01.12.2026</v>
      </c>
      <c r="AX201" s="153" t="str">
        <f>VLOOKUP(C201,REV!C:AX,48,0)</f>
        <v>5G</v>
      </c>
    </row>
    <row r="202" spans="1:50" ht="21.75" customHeight="1">
      <c r="A202" s="57" t="s">
        <v>247</v>
      </c>
      <c r="B202" s="42" t="s">
        <v>64</v>
      </c>
      <c r="C202" s="43">
        <v>4017120</v>
      </c>
      <c r="D202" s="58" t="s">
        <v>331</v>
      </c>
      <c r="E202" s="58" t="s">
        <v>333</v>
      </c>
      <c r="F202" s="45"/>
      <c r="G202" s="45"/>
      <c r="H202" s="45"/>
      <c r="I202" s="45"/>
      <c r="J202" s="46">
        <f>IF(VLOOKUP($C202,REV!$C:$AA,8,0)-'TRADE IN'!$F202=0,"",(VLOOKUP($C202,REV!$C:$AA,8,0)-'TRADE IN'!$F202))</f>
        <v>1899</v>
      </c>
      <c r="K202" s="46">
        <f>IF(VLOOKUP($C202,REV!$C:$AA,9,0)-'TRADE IN'!$F202=0,"",(VLOOKUP($C202,REV!$C:$AA,9,0)-'TRADE IN'!$F202))</f>
        <v>1899</v>
      </c>
      <c r="L202" s="46">
        <f>IF(VLOOKUP($C202,REV!$C:$AA,10,0)-'TRADE IN'!$F202=0,"",(VLOOKUP($C202,REV!$C:$AA,10,0)-'TRADE IN'!$F202))</f>
        <v>1899</v>
      </c>
      <c r="M202" s="46">
        <f>IF(VLOOKUP($C202,REV!$C:$AA,11,0)-'TRADE IN'!$F202=0,"",(VLOOKUP($C202,REV!$C:$AA,11,0)-'TRADE IN'!$F202))</f>
        <v>1899</v>
      </c>
      <c r="N202" s="46">
        <f>IF(VLOOKUP($C202,REV!$C:$AA,12,0)-'TRADE IN'!$F202=0,"",(VLOOKUP($C202,REV!$C:$AA,12,0)-'TRADE IN'!$F202))</f>
        <v>1899</v>
      </c>
      <c r="O202" s="46">
        <f>IF(VLOOKUP($C202,REV!$C:$AA,13,0)-'TRADE IN'!$F202=0,"",(VLOOKUP($C202,REV!$C:$AA,13,0)-'TRADE IN'!$F202))</f>
        <v>1799</v>
      </c>
      <c r="P202" s="46">
        <f>IF(VLOOKUP($C202,REV!$C:$AA,14,0)-'TRADE IN'!$F202=0,"",(VLOOKUP($C202,REV!$C:$AA,14,0)-'TRADE IN'!$F202))</f>
        <v>1699</v>
      </c>
      <c r="Q202" s="46">
        <f>IF(VLOOKUP($C202,REV!$C:$AA,15,0)-'TRADE IN'!$F202=0,"",(VLOOKUP($C202,REV!$C:$AA,15,0)-'TRADE IN'!$F202))</f>
        <v>1499</v>
      </c>
      <c r="R202" s="46">
        <f>IF(VLOOKUP($C202,REV!$C:$AA,16,0)-'TRADE IN'!$F202=0,"",(VLOOKUP($C202,REV!$C:$AA,16,0)-'TRADE IN'!$F202))</f>
        <v>1799</v>
      </c>
      <c r="S202" s="46">
        <f>IF(VLOOKUP($C202,REV!$C:$AA,17,0)-'TRADE IN'!$F202=0,"",(VLOOKUP($C202,REV!$C:$AA,17,0)-'TRADE IN'!$F202))</f>
        <v>1699</v>
      </c>
      <c r="T202" s="46">
        <f>IF(VLOOKUP($C202,REV!$C:$AA,18,0)-'TRADE IN'!$F202=0,"",(VLOOKUP($C202,REV!$C:$AA,18,0)-'TRADE IN'!$F202))</f>
        <v>1499</v>
      </c>
      <c r="U202" s="46">
        <f>IF(VLOOKUP($C202,REV!$C:$AA,19,0)-'TRADE IN'!$F202=0,"",(VLOOKUP($C202,REV!$C:$AA,19,0)-'TRADE IN'!$F202))</f>
        <v>1499</v>
      </c>
      <c r="V202" s="46">
        <f>IF(VLOOKUP($C202,REV!$C:$AA,20,0)-'TRADE IN'!$F202=0,"",(VLOOKUP($C202,REV!$C:$AA,20,0)-'TRADE IN'!$F202))</f>
        <v>1499</v>
      </c>
      <c r="W202" s="46">
        <f>IF(VLOOKUP($C202,REV!$C:$AA,21,0)-'TRADE IN'!$F202=0,"",(VLOOKUP($C202,REV!$C:$AA,21,0)-'TRADE IN'!$F202))</f>
        <v>1499</v>
      </c>
      <c r="X202" s="46">
        <f>IF(VLOOKUP($C202,REV!$C:$AA,22,0)-'TRADE IN'!$F202=0,"",(VLOOKUP($C202,REV!$C:$AA,22,0)-'TRADE IN'!$F202))</f>
        <v>1399</v>
      </c>
      <c r="Y202" s="46">
        <f>IF(VLOOKUP($C202,REV!$C:$AA,23,0)-'TRADE IN'!$F202=0,"",(VLOOKUP($C202,REV!$C:$AA,23,0)-'TRADE IN'!$F202))</f>
        <v>999</v>
      </c>
      <c r="Z202" s="46">
        <f>IF(VLOOKUP($C202,REV!$C:$AA,24,0)-'TRADE IN'!$F202=0,"",(VLOOKUP($C202,REV!$C:$AA,24,0)-'TRADE IN'!$F202))</f>
        <v>999</v>
      </c>
      <c r="AA202" s="46">
        <f>IF(VLOOKUP($C202,REV!$C:$AA,25,0)-'TRADE IN'!$F202=0,"",(VLOOKUP($C202,REV!$C:$AA,25,0)-'TRADE IN'!$F202))</f>
        <v>999</v>
      </c>
      <c r="AB202" s="45">
        <f>IF(VLOOKUP($C202,REV!$C:$AL,27,0)-'TRADE IN'!$F202=0,"",(VLOOKUP($C202,REV!$C:$AL,27,0)-'TRADE IN'!$F202))</f>
        <v>1899</v>
      </c>
      <c r="AC202" s="45">
        <f>IF(VLOOKUP($C202,REV!$C:$AL,28,0)-'TRADE IN'!$F202=0,"",(VLOOKUP($C202,REV!$C:$AL,28,0)-'TRADE IN'!$F202))</f>
        <v>1899</v>
      </c>
      <c r="AD202" s="45">
        <f>IF(VLOOKUP($C202,REV!$C:$AL,29,0)-'TRADE IN'!$F202=0,"",(VLOOKUP($C202,REV!$C:$AL,29,0)-'TRADE IN'!$F202))</f>
        <v>1799</v>
      </c>
      <c r="AE202" s="45">
        <f>IF(VLOOKUP($C202,REV!$C:$AL,30,0)-'TRADE IN'!$F202=0,"",(VLOOKUP($C202,REV!$C:$AL,30,0)-'TRADE IN'!$F202))</f>
        <v>1699</v>
      </c>
      <c r="AF202" s="45">
        <f>IF(VLOOKUP($C202,REV!$C:$AL,31,0)-'TRADE IN'!$F202=0,"",(VLOOKUP($C202,REV!$C:$AL,31,0)-'TRADE IN'!$F202))</f>
        <v>1699</v>
      </c>
      <c r="AG202" s="45">
        <f>IF(VLOOKUP($C202,REV!$C:$AL,31,0)-'TRADE IN'!$F202=0,"",(VLOOKUP($C202,REV!$C:$AL,31,0)-'TRADE IN'!$F202))</f>
        <v>1699</v>
      </c>
      <c r="AH202" s="45">
        <f>IF(VLOOKUP($C202,REV!$C:$AL,32,0)-'TRADE IN'!$F202=0,"",(VLOOKUP($C202,REV!$C:$AL,32,0)-'TRADE IN'!$F202))</f>
        <v>1499</v>
      </c>
      <c r="AI202" s="45">
        <f>IF(VLOOKUP($C202,REV!$C:$AL,33,0)-'TRADE IN'!$F202=0,"",(VLOOKUP($C202,REV!$C:$AL,33,0)-'TRADE IN'!$F202))</f>
        <v>1499</v>
      </c>
      <c r="AJ202" s="45">
        <f>IF(VLOOKUP($C202,REV!$C:$AL,34,0)-'TRADE IN'!$F202=0,"",(VLOOKUP($C202,REV!$C:$AL,34,0)-'TRADE IN'!$F202))</f>
        <v>1499</v>
      </c>
      <c r="AK202" s="45">
        <f>IF(VLOOKUP($C202,REV!$C:$AL,35,0)-'TRADE IN'!$F202=0,"",(VLOOKUP($C202,REV!$C:$AL,35,0)-'TRADE IN'!$F202))</f>
        <v>1499</v>
      </c>
      <c r="AL202" s="45">
        <f>IF(VLOOKUP($C202,REV!$C:$AL,36,0)-'TRADE IN'!$F202=0,"",(VLOOKUP($C202,REV!$C:$AL,36,0)-'TRADE IN'!$F202))</f>
        <v>999</v>
      </c>
      <c r="AM202" s="45"/>
      <c r="AN202" s="45"/>
      <c r="AO202" s="45"/>
      <c r="AP202" s="45"/>
      <c r="AQ202" s="45"/>
      <c r="AR202" s="45"/>
      <c r="AS202" s="45"/>
      <c r="AT202" s="45"/>
      <c r="AU202" s="45"/>
      <c r="AV202" s="47"/>
      <c r="AW202" s="48" t="str">
        <f>REV!AW202</f>
        <v>01.12.2026</v>
      </c>
      <c r="AX202" s="153" t="str">
        <f>VLOOKUP(C202,REV!C:AX,48,0)</f>
        <v>5G</v>
      </c>
    </row>
    <row r="203" spans="1:50" ht="21.75" customHeight="1">
      <c r="A203" s="57" t="s">
        <v>247</v>
      </c>
      <c r="B203" s="42" t="s">
        <v>64</v>
      </c>
      <c r="C203" s="43">
        <v>4017684</v>
      </c>
      <c r="D203" s="58" t="s">
        <v>334</v>
      </c>
      <c r="E203" s="58" t="s">
        <v>335</v>
      </c>
      <c r="F203" s="45"/>
      <c r="G203" s="45"/>
      <c r="H203" s="45"/>
      <c r="I203" s="45"/>
      <c r="J203" s="46">
        <f>IF(VLOOKUP($C203,REV!$C:$AA,8,0)-'TRADE IN'!$F203=0,"",(VLOOKUP($C203,REV!$C:$AA,8,0)-'TRADE IN'!$F203))</f>
        <v>2099</v>
      </c>
      <c r="K203" s="46">
        <f>IF(VLOOKUP($C203,REV!$C:$AA,9,0)-'TRADE IN'!$F203=0,"",(VLOOKUP($C203,REV!$C:$AA,9,0)-'TRADE IN'!$F203))</f>
        <v>1599</v>
      </c>
      <c r="L203" s="46">
        <f>IF(VLOOKUP($C203,REV!$C:$AA,10,0)-'TRADE IN'!$F203=0,"",(VLOOKUP($C203,REV!$C:$AA,10,0)-'TRADE IN'!$F203))</f>
        <v>1599</v>
      </c>
      <c r="M203" s="46">
        <f>IF(VLOOKUP($C203,REV!$C:$AA,11,0)-'TRADE IN'!$F203=0,"",(VLOOKUP($C203,REV!$C:$AA,11,0)-'TRADE IN'!$F203))</f>
        <v>2099</v>
      </c>
      <c r="N203" s="46">
        <f>IF(VLOOKUP($C203,REV!$C:$AA,12,0)-'TRADE IN'!$F203=0,"",(VLOOKUP($C203,REV!$C:$AA,12,0)-'TRADE IN'!$F203))</f>
        <v>1599</v>
      </c>
      <c r="O203" s="46">
        <f>IF(VLOOKUP($C203,REV!$C:$AA,13,0)-'TRADE IN'!$F203=0,"",(VLOOKUP($C203,REV!$C:$AA,13,0)-'TRADE IN'!$F203))</f>
        <v>1499</v>
      </c>
      <c r="P203" s="46">
        <f>IF(VLOOKUP($C203,REV!$C:$AA,14,0)-'TRADE IN'!$F203=0,"",(VLOOKUP($C203,REV!$C:$AA,14,0)-'TRADE IN'!$F203))</f>
        <v>1449</v>
      </c>
      <c r="Q203" s="46">
        <f>IF(VLOOKUP($C203,REV!$C:$AA,15,0)-'TRADE IN'!$F203=0,"",(VLOOKUP($C203,REV!$C:$AA,15,0)-'TRADE IN'!$F203))</f>
        <v>1299</v>
      </c>
      <c r="R203" s="46">
        <f>IF(VLOOKUP($C203,REV!$C:$AA,16,0)-'TRADE IN'!$F203=0,"",(VLOOKUP($C203,REV!$C:$AA,16,0)-'TRADE IN'!$F203))</f>
        <v>1499</v>
      </c>
      <c r="S203" s="46">
        <f>IF(VLOOKUP($C203,REV!$C:$AA,17,0)-'TRADE IN'!$F203=0,"",(VLOOKUP($C203,REV!$C:$AA,17,0)-'TRADE IN'!$F203))</f>
        <v>1449</v>
      </c>
      <c r="T203" s="46">
        <f>IF(VLOOKUP($C203,REV!$C:$AA,18,0)-'TRADE IN'!$F203=0,"",(VLOOKUP($C203,REV!$C:$AA,18,0)-'TRADE IN'!$F203))</f>
        <v>1299</v>
      </c>
      <c r="U203" s="46">
        <f>IF(VLOOKUP($C203,REV!$C:$AA,19,0)-'TRADE IN'!$F203=0,"",(VLOOKUP($C203,REV!$C:$AA,19,0)-'TRADE IN'!$F203))</f>
        <v>1299</v>
      </c>
      <c r="V203" s="46">
        <f>IF(VLOOKUP($C203,REV!$C:$AA,20,0)-'TRADE IN'!$F203=0,"",(VLOOKUP($C203,REV!$C:$AA,20,0)-'TRADE IN'!$F203))</f>
        <v>1299</v>
      </c>
      <c r="W203" s="46">
        <f>IF(VLOOKUP($C203,REV!$C:$AA,21,0)-'TRADE IN'!$F203=0,"",(VLOOKUP($C203,REV!$C:$AA,21,0)-'TRADE IN'!$F203))</f>
        <v>1299</v>
      </c>
      <c r="X203" s="46">
        <f>IF(VLOOKUP($C203,REV!$C:$AA,22,0)-'TRADE IN'!$F203=0,"",(VLOOKUP($C203,REV!$C:$AA,22,0)-'TRADE IN'!$F203))</f>
        <v>1249</v>
      </c>
      <c r="Y203" s="46">
        <f>IF(VLOOKUP($C203,REV!$C:$AA,23,0)-'TRADE IN'!$F203=0,"",(VLOOKUP($C203,REV!$C:$AA,23,0)-'TRADE IN'!$F203))</f>
        <v>1199</v>
      </c>
      <c r="Z203" s="46">
        <f>IF(VLOOKUP($C203,REV!$C:$AA,24,0)-'TRADE IN'!$F203=0,"",(VLOOKUP($C203,REV!$C:$AA,24,0)-'TRADE IN'!$F203))</f>
        <v>1199</v>
      </c>
      <c r="AA203" s="46">
        <f>IF(VLOOKUP($C203,REV!$C:$AA,25,0)-'TRADE IN'!$F203=0,"",(VLOOKUP($C203,REV!$C:$AA,25,0)-'TRADE IN'!$F203))</f>
        <v>1199</v>
      </c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7"/>
      <c r="AW203" s="48" t="str">
        <f>REV!AW203</f>
        <v>01.12.2026</v>
      </c>
      <c r="AX203" s="153" t="str">
        <f>VLOOKUP(C203,REV!C:AX,48,0)</f>
        <v>5G</v>
      </c>
    </row>
    <row r="204" spans="1:50" ht="21.75" customHeight="1">
      <c r="A204" s="57" t="s">
        <v>247</v>
      </c>
      <c r="B204" s="42" t="s">
        <v>64</v>
      </c>
      <c r="C204" s="43">
        <v>4017687</v>
      </c>
      <c r="D204" s="58" t="s">
        <v>334</v>
      </c>
      <c r="E204" s="58" t="s">
        <v>336</v>
      </c>
      <c r="F204" s="45"/>
      <c r="G204" s="45"/>
      <c r="H204" s="45"/>
      <c r="I204" s="45"/>
      <c r="J204" s="46">
        <f>IF(VLOOKUP($C204,REV!$C:$AA,8,0)-'TRADE IN'!$F204=0,"",(VLOOKUP($C204,REV!$C:$AA,8,0)-'TRADE IN'!$F204))</f>
        <v>2099</v>
      </c>
      <c r="K204" s="46">
        <f>IF(VLOOKUP($C204,REV!$C:$AA,9,0)-'TRADE IN'!$F204=0,"",(VLOOKUP($C204,REV!$C:$AA,9,0)-'TRADE IN'!$F204))</f>
        <v>1599</v>
      </c>
      <c r="L204" s="46">
        <f>IF(VLOOKUP($C204,REV!$C:$AA,10,0)-'TRADE IN'!$F204=0,"",(VLOOKUP($C204,REV!$C:$AA,10,0)-'TRADE IN'!$F204))</f>
        <v>1599</v>
      </c>
      <c r="M204" s="46">
        <f>IF(VLOOKUP($C204,REV!$C:$AA,11,0)-'TRADE IN'!$F204=0,"",(VLOOKUP($C204,REV!$C:$AA,11,0)-'TRADE IN'!$F204))</f>
        <v>2099</v>
      </c>
      <c r="N204" s="46">
        <f>IF(VLOOKUP($C204,REV!$C:$AA,12,0)-'TRADE IN'!$F204=0,"",(VLOOKUP($C204,REV!$C:$AA,12,0)-'TRADE IN'!$F204))</f>
        <v>1599</v>
      </c>
      <c r="O204" s="46">
        <f>IF(VLOOKUP($C204,REV!$C:$AA,13,0)-'TRADE IN'!$F204=0,"",(VLOOKUP($C204,REV!$C:$AA,13,0)-'TRADE IN'!$F204))</f>
        <v>1499</v>
      </c>
      <c r="P204" s="46">
        <f>IF(VLOOKUP($C204,REV!$C:$AA,14,0)-'TRADE IN'!$F204=0,"",(VLOOKUP($C204,REV!$C:$AA,14,0)-'TRADE IN'!$F204))</f>
        <v>1449</v>
      </c>
      <c r="Q204" s="46">
        <f>IF(VLOOKUP($C204,REV!$C:$AA,15,0)-'TRADE IN'!$F204=0,"",(VLOOKUP($C204,REV!$C:$AA,15,0)-'TRADE IN'!$F204))</f>
        <v>1299</v>
      </c>
      <c r="R204" s="46">
        <f>IF(VLOOKUP($C204,REV!$C:$AA,16,0)-'TRADE IN'!$F204=0,"",(VLOOKUP($C204,REV!$C:$AA,16,0)-'TRADE IN'!$F204))</f>
        <v>1499</v>
      </c>
      <c r="S204" s="46">
        <f>IF(VLOOKUP($C204,REV!$C:$AA,17,0)-'TRADE IN'!$F204=0,"",(VLOOKUP($C204,REV!$C:$AA,17,0)-'TRADE IN'!$F204))</f>
        <v>1449</v>
      </c>
      <c r="T204" s="46">
        <f>IF(VLOOKUP($C204,REV!$C:$AA,18,0)-'TRADE IN'!$F204=0,"",(VLOOKUP($C204,REV!$C:$AA,18,0)-'TRADE IN'!$F204))</f>
        <v>1299</v>
      </c>
      <c r="U204" s="46">
        <f>IF(VLOOKUP($C204,REV!$C:$AA,19,0)-'TRADE IN'!$F204=0,"",(VLOOKUP($C204,REV!$C:$AA,19,0)-'TRADE IN'!$F204))</f>
        <v>1299</v>
      </c>
      <c r="V204" s="46">
        <f>IF(VLOOKUP($C204,REV!$C:$AA,20,0)-'TRADE IN'!$F204=0,"",(VLOOKUP($C204,REV!$C:$AA,20,0)-'TRADE IN'!$F204))</f>
        <v>1299</v>
      </c>
      <c r="W204" s="46">
        <f>IF(VLOOKUP($C204,REV!$C:$AA,21,0)-'TRADE IN'!$F204=0,"",(VLOOKUP($C204,REV!$C:$AA,21,0)-'TRADE IN'!$F204))</f>
        <v>1299</v>
      </c>
      <c r="X204" s="46">
        <f>IF(VLOOKUP($C204,REV!$C:$AA,22,0)-'TRADE IN'!$F204=0,"",(VLOOKUP($C204,REV!$C:$AA,22,0)-'TRADE IN'!$F204))</f>
        <v>1249</v>
      </c>
      <c r="Y204" s="46">
        <f>IF(VLOOKUP($C204,REV!$C:$AA,23,0)-'TRADE IN'!$F204=0,"",(VLOOKUP($C204,REV!$C:$AA,23,0)-'TRADE IN'!$F204))</f>
        <v>1199</v>
      </c>
      <c r="Z204" s="46">
        <f>IF(VLOOKUP($C204,REV!$C:$AA,24,0)-'TRADE IN'!$F204=0,"",(VLOOKUP($C204,REV!$C:$AA,24,0)-'TRADE IN'!$F204))</f>
        <v>1199</v>
      </c>
      <c r="AA204" s="46">
        <f>IF(VLOOKUP($C204,REV!$C:$AA,25,0)-'TRADE IN'!$F204=0,"",(VLOOKUP($C204,REV!$C:$AA,25,0)-'TRADE IN'!$F204))</f>
        <v>1199</v>
      </c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7"/>
      <c r="AW204" s="48" t="str">
        <f>REV!AW204</f>
        <v>01.12.2026</v>
      </c>
      <c r="AX204" s="153" t="str">
        <f>VLOOKUP(C204,REV!C:AX,48,0)</f>
        <v>5G</v>
      </c>
    </row>
    <row r="205" spans="1:50" ht="22" customHeight="1">
      <c r="A205" s="57" t="s">
        <v>247</v>
      </c>
      <c r="B205" s="42" t="s">
        <v>64</v>
      </c>
      <c r="C205" s="43">
        <v>4016652</v>
      </c>
      <c r="D205" s="58" t="s">
        <v>337</v>
      </c>
      <c r="E205" s="58" t="s">
        <v>338</v>
      </c>
      <c r="F205" s="45"/>
      <c r="G205" s="45"/>
      <c r="H205" s="45"/>
      <c r="I205" s="45"/>
      <c r="J205" s="46">
        <f>IF(VLOOKUP($C205,REV!$C:$AA,8,0)-'TRADE IN'!$F205=0,"",(VLOOKUP($C205,REV!$C:$AA,8,0)-'TRADE IN'!$F205))</f>
        <v>1699</v>
      </c>
      <c r="K205" s="46">
        <f>IF(VLOOKUP($C205,REV!$C:$AA,9,0)-'TRADE IN'!$F205=0,"",(VLOOKUP($C205,REV!$C:$AA,9,0)-'TRADE IN'!$F205))</f>
        <v>1699</v>
      </c>
      <c r="L205" s="46">
        <f>IF(VLOOKUP($C205,REV!$C:$AA,10,0)-'TRADE IN'!$F205=0,"",(VLOOKUP($C205,REV!$C:$AA,10,0)-'TRADE IN'!$F205))</f>
        <v>1699</v>
      </c>
      <c r="M205" s="46">
        <f>IF(VLOOKUP($C205,REV!$C:$AA,11,0)-'TRADE IN'!$F205=0,"",(VLOOKUP($C205,REV!$C:$AA,11,0)-'TRADE IN'!$F205))</f>
        <v>1699</v>
      </c>
      <c r="N205" s="46">
        <f>IF(VLOOKUP($C205,REV!$C:$AA,12,0)-'TRADE IN'!$F205=0,"",(VLOOKUP($C205,REV!$C:$AA,12,0)-'TRADE IN'!$F205))</f>
        <v>1699</v>
      </c>
      <c r="O205" s="46">
        <f>IF(VLOOKUP($C205,REV!$C:$AA,13,0)-'TRADE IN'!$F205=0,"",(VLOOKUP($C205,REV!$C:$AA,13,0)-'TRADE IN'!$F205))</f>
        <v>1599</v>
      </c>
      <c r="P205" s="46">
        <f>IF(VLOOKUP($C205,REV!$C:$AA,14,0)-'TRADE IN'!$F205=0,"",(VLOOKUP($C205,REV!$C:$AA,14,0)-'TRADE IN'!$F205))</f>
        <v>1499</v>
      </c>
      <c r="Q205" s="46">
        <f>IF(VLOOKUP($C205,REV!$C:$AA,15,0)-'TRADE IN'!$F205=0,"",(VLOOKUP($C205,REV!$C:$AA,15,0)-'TRADE IN'!$F205))</f>
        <v>999</v>
      </c>
      <c r="R205" s="46">
        <f>IF(VLOOKUP($C205,REV!$C:$AA,16,0)-'TRADE IN'!$F205=0,"",(VLOOKUP($C205,REV!$C:$AA,16,0)-'TRADE IN'!$F205))</f>
        <v>1599</v>
      </c>
      <c r="S205" s="46">
        <f>IF(VLOOKUP($C205,REV!$C:$AA,17,0)-'TRADE IN'!$F205=0,"",(VLOOKUP($C205,REV!$C:$AA,17,0)-'TRADE IN'!$F205))</f>
        <v>1499</v>
      </c>
      <c r="T205" s="46">
        <f>IF(VLOOKUP($C205,REV!$C:$AA,18,0)-'TRADE IN'!$F205=0,"",(VLOOKUP($C205,REV!$C:$AA,18,0)-'TRADE IN'!$F205))</f>
        <v>999</v>
      </c>
      <c r="U205" s="46">
        <f>IF(VLOOKUP($C205,REV!$C:$AA,19,0)-'TRADE IN'!$F205=0,"",(VLOOKUP($C205,REV!$C:$AA,19,0)-'TRADE IN'!$F205))</f>
        <v>999</v>
      </c>
      <c r="V205" s="46">
        <f>IF(VLOOKUP($C205,REV!$C:$AA,20,0)-'TRADE IN'!$F205=0,"",(VLOOKUP($C205,REV!$C:$AA,20,0)-'TRADE IN'!$F205))</f>
        <v>999</v>
      </c>
      <c r="W205" s="46">
        <f>IF(VLOOKUP($C205,REV!$C:$AA,21,0)-'TRADE IN'!$F205=0,"",(VLOOKUP($C205,REV!$C:$AA,21,0)-'TRADE IN'!$F205))</f>
        <v>999</v>
      </c>
      <c r="X205" s="46">
        <f>IF(VLOOKUP($C205,REV!$C:$AA,22,0)-'TRADE IN'!$F205=0,"",(VLOOKUP($C205,REV!$C:$AA,22,0)-'TRADE IN'!$F205))</f>
        <v>999</v>
      </c>
      <c r="Y205" s="46">
        <f>IF(VLOOKUP($C205,REV!$C:$AA,23,0)-'TRADE IN'!$F205=0,"",(VLOOKUP($C205,REV!$C:$AA,23,0)-'TRADE IN'!$F205))</f>
        <v>899</v>
      </c>
      <c r="Z205" s="46">
        <f>IF(VLOOKUP($C205,REV!$C:$AA,24,0)-'TRADE IN'!$F205=0,"",(VLOOKUP($C205,REV!$C:$AA,24,0)-'TRADE IN'!$F205))</f>
        <v>899</v>
      </c>
      <c r="AA205" s="46">
        <f>IF(VLOOKUP($C205,REV!$C:$AA,25,0)-'TRADE IN'!$F205=0,"",(VLOOKUP($C205,REV!$C:$AA,25,0)-'TRADE IN'!$F205))</f>
        <v>899</v>
      </c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7"/>
      <c r="AW205" s="48" t="str">
        <f>REV!AW205</f>
        <v>01.12.2026</v>
      </c>
      <c r="AX205" s="153" t="str">
        <f>VLOOKUP(C205,REV!C:AX,48,0)</f>
        <v>5G</v>
      </c>
    </row>
    <row r="206" spans="1:50" ht="22" customHeight="1">
      <c r="A206" s="57" t="s">
        <v>247</v>
      </c>
      <c r="B206" s="42" t="s">
        <v>64</v>
      </c>
      <c r="C206" s="43">
        <v>4016654</v>
      </c>
      <c r="D206" s="58" t="s">
        <v>337</v>
      </c>
      <c r="E206" s="58" t="s">
        <v>339</v>
      </c>
      <c r="F206" s="45"/>
      <c r="G206" s="45"/>
      <c r="H206" s="45"/>
      <c r="I206" s="45"/>
      <c r="J206" s="46">
        <f>IF(VLOOKUP($C206,REV!$C:$AA,8,0)-'TRADE IN'!$F206=0,"",(VLOOKUP($C206,REV!$C:$AA,8,0)-'TRADE IN'!$F206))</f>
        <v>1699</v>
      </c>
      <c r="K206" s="46">
        <f>IF(VLOOKUP($C206,REV!$C:$AA,9,0)-'TRADE IN'!$F206=0,"",(VLOOKUP($C206,REV!$C:$AA,9,0)-'TRADE IN'!$F206))</f>
        <v>1699</v>
      </c>
      <c r="L206" s="46">
        <f>IF(VLOOKUP($C206,REV!$C:$AA,10,0)-'TRADE IN'!$F206=0,"",(VLOOKUP($C206,REV!$C:$AA,10,0)-'TRADE IN'!$F206))</f>
        <v>1699</v>
      </c>
      <c r="M206" s="46">
        <f>IF(VLOOKUP($C206,REV!$C:$AA,11,0)-'TRADE IN'!$F206=0,"",(VLOOKUP($C206,REV!$C:$AA,11,0)-'TRADE IN'!$F206))</f>
        <v>1699</v>
      </c>
      <c r="N206" s="46">
        <f>IF(VLOOKUP($C206,REV!$C:$AA,12,0)-'TRADE IN'!$F206=0,"",(VLOOKUP($C206,REV!$C:$AA,12,0)-'TRADE IN'!$F206))</f>
        <v>1699</v>
      </c>
      <c r="O206" s="46">
        <f>IF(VLOOKUP($C206,REV!$C:$AA,13,0)-'TRADE IN'!$F206=0,"",(VLOOKUP($C206,REV!$C:$AA,13,0)-'TRADE IN'!$F206))</f>
        <v>1599</v>
      </c>
      <c r="P206" s="46">
        <f>IF(VLOOKUP($C206,REV!$C:$AA,14,0)-'TRADE IN'!$F206=0,"",(VLOOKUP($C206,REV!$C:$AA,14,0)-'TRADE IN'!$F206))</f>
        <v>1499</v>
      </c>
      <c r="Q206" s="46">
        <f>IF(VLOOKUP($C206,REV!$C:$AA,15,0)-'TRADE IN'!$F206=0,"",(VLOOKUP($C206,REV!$C:$AA,15,0)-'TRADE IN'!$F206))</f>
        <v>999</v>
      </c>
      <c r="R206" s="46">
        <f>IF(VLOOKUP($C206,REV!$C:$AA,16,0)-'TRADE IN'!$F206=0,"",(VLOOKUP($C206,REV!$C:$AA,16,0)-'TRADE IN'!$F206))</f>
        <v>1599</v>
      </c>
      <c r="S206" s="46">
        <f>IF(VLOOKUP($C206,REV!$C:$AA,17,0)-'TRADE IN'!$F206=0,"",(VLOOKUP($C206,REV!$C:$AA,17,0)-'TRADE IN'!$F206))</f>
        <v>1499</v>
      </c>
      <c r="T206" s="46">
        <f>IF(VLOOKUP($C206,REV!$C:$AA,18,0)-'TRADE IN'!$F206=0,"",(VLOOKUP($C206,REV!$C:$AA,18,0)-'TRADE IN'!$F206))</f>
        <v>999</v>
      </c>
      <c r="U206" s="46">
        <f>IF(VLOOKUP($C206,REV!$C:$AA,19,0)-'TRADE IN'!$F206=0,"",(VLOOKUP($C206,REV!$C:$AA,19,0)-'TRADE IN'!$F206))</f>
        <v>999</v>
      </c>
      <c r="V206" s="46">
        <f>IF(VLOOKUP($C206,REV!$C:$AA,20,0)-'TRADE IN'!$F206=0,"",(VLOOKUP($C206,REV!$C:$AA,20,0)-'TRADE IN'!$F206))</f>
        <v>999</v>
      </c>
      <c r="W206" s="46">
        <f>IF(VLOOKUP($C206,REV!$C:$AA,21,0)-'TRADE IN'!$F206=0,"",(VLOOKUP($C206,REV!$C:$AA,21,0)-'TRADE IN'!$F206))</f>
        <v>999</v>
      </c>
      <c r="X206" s="46">
        <f>IF(VLOOKUP($C206,REV!$C:$AA,22,0)-'TRADE IN'!$F206=0,"",(VLOOKUP($C206,REV!$C:$AA,22,0)-'TRADE IN'!$F206))</f>
        <v>999</v>
      </c>
      <c r="Y206" s="46">
        <f>IF(VLOOKUP($C206,REV!$C:$AA,23,0)-'TRADE IN'!$F206=0,"",(VLOOKUP($C206,REV!$C:$AA,23,0)-'TRADE IN'!$F206))</f>
        <v>899</v>
      </c>
      <c r="Z206" s="46">
        <f>IF(VLOOKUP($C206,REV!$C:$AA,24,0)-'TRADE IN'!$F206=0,"",(VLOOKUP($C206,REV!$C:$AA,24,0)-'TRADE IN'!$F206))</f>
        <v>899</v>
      </c>
      <c r="AA206" s="46">
        <f>IF(VLOOKUP($C206,REV!$C:$AA,25,0)-'TRADE IN'!$F206=0,"",(VLOOKUP($C206,REV!$C:$AA,25,0)-'TRADE IN'!$F206))</f>
        <v>899</v>
      </c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7"/>
      <c r="AW206" s="48" t="str">
        <f>REV!AW206</f>
        <v>01.12.2026</v>
      </c>
      <c r="AX206" s="153" t="str">
        <f>VLOOKUP(C206,REV!C:AX,48,0)</f>
        <v>5G</v>
      </c>
    </row>
    <row r="207" spans="1:50" ht="22" customHeight="1">
      <c r="A207" s="57" t="s">
        <v>247</v>
      </c>
      <c r="B207" s="42" t="s">
        <v>64</v>
      </c>
      <c r="C207" s="43">
        <v>4016655</v>
      </c>
      <c r="D207" s="58" t="s">
        <v>337</v>
      </c>
      <c r="E207" s="58" t="s">
        <v>340</v>
      </c>
      <c r="F207" s="45"/>
      <c r="G207" s="45"/>
      <c r="H207" s="45"/>
      <c r="I207" s="45"/>
      <c r="J207" s="46">
        <f>IF(VLOOKUP($C207,REV!$C:$AA,8,0)-'TRADE IN'!$F207=0,"",(VLOOKUP($C207,REV!$C:$AA,8,0)-'TRADE IN'!$F207))</f>
        <v>1699</v>
      </c>
      <c r="K207" s="46">
        <f>IF(VLOOKUP($C207,REV!$C:$AA,9,0)-'TRADE IN'!$F207=0,"",(VLOOKUP($C207,REV!$C:$AA,9,0)-'TRADE IN'!$F207))</f>
        <v>1699</v>
      </c>
      <c r="L207" s="46">
        <f>IF(VLOOKUP($C207,REV!$C:$AA,10,0)-'TRADE IN'!$F207=0,"",(VLOOKUP($C207,REV!$C:$AA,10,0)-'TRADE IN'!$F207))</f>
        <v>1699</v>
      </c>
      <c r="M207" s="46">
        <f>IF(VLOOKUP($C207,REV!$C:$AA,11,0)-'TRADE IN'!$F207=0,"",(VLOOKUP($C207,REV!$C:$AA,11,0)-'TRADE IN'!$F207))</f>
        <v>1699</v>
      </c>
      <c r="N207" s="46">
        <f>IF(VLOOKUP($C207,REV!$C:$AA,12,0)-'TRADE IN'!$F207=0,"",(VLOOKUP($C207,REV!$C:$AA,12,0)-'TRADE IN'!$F207))</f>
        <v>1699</v>
      </c>
      <c r="O207" s="46">
        <f>IF(VLOOKUP($C207,REV!$C:$AA,13,0)-'TRADE IN'!$F207=0,"",(VLOOKUP($C207,REV!$C:$AA,13,0)-'TRADE IN'!$F207))</f>
        <v>1599</v>
      </c>
      <c r="P207" s="46">
        <f>IF(VLOOKUP($C207,REV!$C:$AA,14,0)-'TRADE IN'!$F207=0,"",(VLOOKUP($C207,REV!$C:$AA,14,0)-'TRADE IN'!$F207))</f>
        <v>1499</v>
      </c>
      <c r="Q207" s="46">
        <f>IF(VLOOKUP($C207,REV!$C:$AA,15,0)-'TRADE IN'!$F207=0,"",(VLOOKUP($C207,REV!$C:$AA,15,0)-'TRADE IN'!$F207))</f>
        <v>999</v>
      </c>
      <c r="R207" s="46">
        <f>IF(VLOOKUP($C207,REV!$C:$AA,16,0)-'TRADE IN'!$F207=0,"",(VLOOKUP($C207,REV!$C:$AA,16,0)-'TRADE IN'!$F207))</f>
        <v>1599</v>
      </c>
      <c r="S207" s="46">
        <f>IF(VLOOKUP($C207,REV!$C:$AA,17,0)-'TRADE IN'!$F207=0,"",(VLOOKUP($C207,REV!$C:$AA,17,0)-'TRADE IN'!$F207))</f>
        <v>1499</v>
      </c>
      <c r="T207" s="46">
        <f>IF(VLOOKUP($C207,REV!$C:$AA,18,0)-'TRADE IN'!$F207=0,"",(VLOOKUP($C207,REV!$C:$AA,18,0)-'TRADE IN'!$F207))</f>
        <v>999</v>
      </c>
      <c r="U207" s="46">
        <f>IF(VLOOKUP($C207,REV!$C:$AA,19,0)-'TRADE IN'!$F207=0,"",(VLOOKUP($C207,REV!$C:$AA,19,0)-'TRADE IN'!$F207))</f>
        <v>999</v>
      </c>
      <c r="V207" s="46">
        <f>IF(VLOOKUP($C207,REV!$C:$AA,20,0)-'TRADE IN'!$F207=0,"",(VLOOKUP($C207,REV!$C:$AA,20,0)-'TRADE IN'!$F207))</f>
        <v>999</v>
      </c>
      <c r="W207" s="46">
        <f>IF(VLOOKUP($C207,REV!$C:$AA,21,0)-'TRADE IN'!$F207=0,"",(VLOOKUP($C207,REV!$C:$AA,21,0)-'TRADE IN'!$F207))</f>
        <v>999</v>
      </c>
      <c r="X207" s="46">
        <f>IF(VLOOKUP($C207,REV!$C:$AA,22,0)-'TRADE IN'!$F207=0,"",(VLOOKUP($C207,REV!$C:$AA,22,0)-'TRADE IN'!$F207))</f>
        <v>999</v>
      </c>
      <c r="Y207" s="46">
        <f>IF(VLOOKUP($C207,REV!$C:$AA,23,0)-'TRADE IN'!$F207=0,"",(VLOOKUP($C207,REV!$C:$AA,23,0)-'TRADE IN'!$F207))</f>
        <v>899</v>
      </c>
      <c r="Z207" s="46">
        <f>IF(VLOOKUP($C207,REV!$C:$AA,24,0)-'TRADE IN'!$F207=0,"",(VLOOKUP($C207,REV!$C:$AA,24,0)-'TRADE IN'!$F207))</f>
        <v>899</v>
      </c>
      <c r="AA207" s="46">
        <f>IF(VLOOKUP($C207,REV!$C:$AA,25,0)-'TRADE IN'!$F207=0,"",(VLOOKUP($C207,REV!$C:$AA,25,0)-'TRADE IN'!$F207))</f>
        <v>899</v>
      </c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7"/>
      <c r="AW207" s="48" t="str">
        <f>REV!AW207</f>
        <v>01.12.2026</v>
      </c>
      <c r="AX207" s="153" t="str">
        <f>VLOOKUP(C207,REV!C:AX,48,0)</f>
        <v>5G</v>
      </c>
    </row>
    <row r="208" spans="1:50" ht="22" customHeight="1">
      <c r="A208" s="57" t="s">
        <v>247</v>
      </c>
      <c r="B208" s="42" t="s">
        <v>64</v>
      </c>
      <c r="C208" s="43">
        <v>4014955</v>
      </c>
      <c r="D208" s="58" t="s">
        <v>341</v>
      </c>
      <c r="E208" s="58" t="s">
        <v>342</v>
      </c>
      <c r="F208" s="45"/>
      <c r="G208" s="45"/>
      <c r="H208" s="45"/>
      <c r="I208" s="45"/>
      <c r="J208" s="46">
        <f>IF(VLOOKUP($C208,REV!$C:$AA,8,0)-'TRADE IN'!$F208=0,"",(VLOOKUP($C208,REV!$C:$AA,8,0)-'TRADE IN'!$F208))</f>
        <v>699</v>
      </c>
      <c r="K208" s="46">
        <f>IF(VLOOKUP($C208,REV!$C:$AA,9,0)-'TRADE IN'!$F208=0,"",(VLOOKUP($C208,REV!$C:$AA,9,0)-'TRADE IN'!$F208))</f>
        <v>699</v>
      </c>
      <c r="L208" s="46">
        <f>IF(VLOOKUP($C208,REV!$C:$AA,10,0)-'TRADE IN'!$F208=0,"",(VLOOKUP($C208,REV!$C:$AA,10,0)-'TRADE IN'!$F208))</f>
        <v>699</v>
      </c>
      <c r="M208" s="46">
        <f>IF(VLOOKUP($C208,REV!$C:$AA,11,0)-'TRADE IN'!$F208=0,"",(VLOOKUP($C208,REV!$C:$AA,11,0)-'TRADE IN'!$F208))</f>
        <v>699</v>
      </c>
      <c r="N208" s="46">
        <f>IF(VLOOKUP($C208,REV!$C:$AA,12,0)-'TRADE IN'!$F208=0,"",(VLOOKUP($C208,REV!$C:$AA,12,0)-'TRADE IN'!$F208))</f>
        <v>699</v>
      </c>
      <c r="O208" s="46">
        <f>IF(VLOOKUP($C208,REV!$C:$AA,13,0)-'TRADE IN'!$F208=0,"",(VLOOKUP($C208,REV!$C:$AA,13,0)-'TRADE IN'!$F208))</f>
        <v>649</v>
      </c>
      <c r="P208" s="46">
        <f>IF(VLOOKUP($C208,REV!$C:$AA,14,0)-'TRADE IN'!$F208=0,"",(VLOOKUP($C208,REV!$C:$AA,14,0)-'TRADE IN'!$F208))</f>
        <v>599</v>
      </c>
      <c r="Q208" s="46">
        <f>IF(VLOOKUP($C208,REV!$C:$AA,15,0)-'TRADE IN'!$F208=0,"",(VLOOKUP($C208,REV!$C:$AA,15,0)-'TRADE IN'!$F208))</f>
        <v>549</v>
      </c>
      <c r="R208" s="46">
        <f>IF(VLOOKUP($C208,REV!$C:$AA,16,0)-'TRADE IN'!$F208=0,"",(VLOOKUP($C208,REV!$C:$AA,16,0)-'TRADE IN'!$F208))</f>
        <v>649</v>
      </c>
      <c r="S208" s="46">
        <f>IF(VLOOKUP($C208,REV!$C:$AA,17,0)-'TRADE IN'!$F208=0,"",(VLOOKUP($C208,REV!$C:$AA,17,0)-'TRADE IN'!$F208))</f>
        <v>599</v>
      </c>
      <c r="T208" s="46">
        <f>IF(VLOOKUP($C208,REV!$C:$AA,18,0)-'TRADE IN'!$F208=0,"",(VLOOKUP($C208,REV!$C:$AA,18,0)-'TRADE IN'!$F208))</f>
        <v>549</v>
      </c>
      <c r="U208" s="46">
        <f>IF(VLOOKUP($C208,REV!$C:$AA,19,0)-'TRADE IN'!$F208=0,"",(VLOOKUP($C208,REV!$C:$AA,19,0)-'TRADE IN'!$F208))</f>
        <v>549</v>
      </c>
      <c r="V208" s="46">
        <f>IF(VLOOKUP($C208,REV!$C:$AA,20,0)-'TRADE IN'!$F208=0,"",(VLOOKUP($C208,REV!$C:$AA,20,0)-'TRADE IN'!$F208))</f>
        <v>549</v>
      </c>
      <c r="W208" s="46">
        <f>IF(VLOOKUP($C208,REV!$C:$AA,21,0)-'TRADE IN'!$F208=0,"",(VLOOKUP($C208,REV!$C:$AA,21,0)-'TRADE IN'!$F208))</f>
        <v>549</v>
      </c>
      <c r="X208" s="46">
        <f>IF(VLOOKUP($C208,REV!$C:$AA,22,0)-'TRADE IN'!$F208=0,"",(VLOOKUP($C208,REV!$C:$AA,22,0)-'TRADE IN'!$F208))</f>
        <v>549</v>
      </c>
      <c r="Y208" s="46">
        <f>IF(VLOOKUP($C208,REV!$C:$AA,23,0)-'TRADE IN'!$F208=0,"",(VLOOKUP($C208,REV!$C:$AA,23,0)-'TRADE IN'!$F208))</f>
        <v>549</v>
      </c>
      <c r="Z208" s="46">
        <f>IF(VLOOKUP($C208,REV!$C:$AA,24,0)-'TRADE IN'!$F208=0,"",(VLOOKUP($C208,REV!$C:$AA,24,0)-'TRADE IN'!$F208))</f>
        <v>549</v>
      </c>
      <c r="AA208" s="46">
        <f>IF(VLOOKUP($C208,REV!$C:$AA,25,0)-'TRADE IN'!$F208=0,"",(VLOOKUP($C208,REV!$C:$AA,25,0)-'TRADE IN'!$F208))</f>
        <v>549</v>
      </c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7"/>
      <c r="AW208" s="48" t="str">
        <f>REV!AW208</f>
        <v>01.12.2026</v>
      </c>
      <c r="AX208" s="153" t="str">
        <f>VLOOKUP(C208,REV!C:AX,48,0)</f>
        <v>5G</v>
      </c>
    </row>
    <row r="209" spans="1:50" ht="22" customHeight="1">
      <c r="A209" s="57" t="s">
        <v>247</v>
      </c>
      <c r="B209" s="42" t="s">
        <v>64</v>
      </c>
      <c r="C209" s="43">
        <v>4017126</v>
      </c>
      <c r="D209" s="58" t="s">
        <v>343</v>
      </c>
      <c r="E209" s="58" t="s">
        <v>344</v>
      </c>
      <c r="F209" s="45"/>
      <c r="G209" s="45"/>
      <c r="H209" s="45"/>
      <c r="I209" s="45"/>
      <c r="J209" s="46">
        <f>IF(VLOOKUP($C209,REV!$C:$AA,8,0)-'TRADE IN'!$F209=0,"",(VLOOKUP($C209,REV!$C:$AA,8,0)-'TRADE IN'!$F209))</f>
        <v>2499</v>
      </c>
      <c r="K209" s="46">
        <f>IF(VLOOKUP($C209,REV!$C:$AA,9,0)-'TRADE IN'!$F209=0,"",(VLOOKUP($C209,REV!$C:$AA,9,0)-'TRADE IN'!$F209))</f>
        <v>2499</v>
      </c>
      <c r="L209" s="46">
        <f>IF(VLOOKUP($C209,REV!$C:$AA,10,0)-'TRADE IN'!$F209=0,"",(VLOOKUP($C209,REV!$C:$AA,10,0)-'TRADE IN'!$F209))</f>
        <v>2499</v>
      </c>
      <c r="M209" s="46">
        <f>IF(VLOOKUP($C209,REV!$C:$AA,11,0)-'TRADE IN'!$F209=0,"",(VLOOKUP($C209,REV!$C:$AA,11,0)-'TRADE IN'!$F209))</f>
        <v>2499</v>
      </c>
      <c r="N209" s="46">
        <f>IF(VLOOKUP($C209,REV!$C:$AA,12,0)-'TRADE IN'!$F209=0,"",(VLOOKUP($C209,REV!$C:$AA,12,0)-'TRADE IN'!$F209))</f>
        <v>2499</v>
      </c>
      <c r="O209" s="46">
        <f>IF(VLOOKUP($C209,REV!$C:$AA,13,0)-'TRADE IN'!$F209=0,"",(VLOOKUP($C209,REV!$C:$AA,13,0)-'TRADE IN'!$F209))</f>
        <v>2399</v>
      </c>
      <c r="P209" s="46">
        <f>IF(VLOOKUP($C209,REV!$C:$AA,14,0)-'TRADE IN'!$F209=0,"",(VLOOKUP($C209,REV!$C:$AA,14,0)-'TRADE IN'!$F209))</f>
        <v>2299</v>
      </c>
      <c r="Q209" s="46">
        <f>IF(VLOOKUP($C209,REV!$C:$AA,15,0)-'TRADE IN'!$F209=0,"",(VLOOKUP($C209,REV!$C:$AA,15,0)-'TRADE IN'!$F209))</f>
        <v>1799</v>
      </c>
      <c r="R209" s="46">
        <f>IF(VLOOKUP($C209,REV!$C:$AA,16,0)-'TRADE IN'!$F209=0,"",(VLOOKUP($C209,REV!$C:$AA,16,0)-'TRADE IN'!$F209))</f>
        <v>2399</v>
      </c>
      <c r="S209" s="46">
        <f>IF(VLOOKUP($C209,REV!$C:$AA,17,0)-'TRADE IN'!$F209=0,"",(VLOOKUP($C209,REV!$C:$AA,17,0)-'TRADE IN'!$F209))</f>
        <v>2299</v>
      </c>
      <c r="T209" s="46">
        <f>IF(VLOOKUP($C209,REV!$C:$AA,18,0)-'TRADE IN'!$F209=0,"",(VLOOKUP($C209,REV!$C:$AA,18,0)-'TRADE IN'!$F209))</f>
        <v>1799</v>
      </c>
      <c r="U209" s="46">
        <f>IF(VLOOKUP($C209,REV!$C:$AA,19,0)-'TRADE IN'!$F209=0,"",(VLOOKUP($C209,REV!$C:$AA,19,0)-'TRADE IN'!$F209))</f>
        <v>1799</v>
      </c>
      <c r="V209" s="46">
        <f>IF(VLOOKUP($C209,REV!$C:$AA,20,0)-'TRADE IN'!$F209=0,"",(VLOOKUP($C209,REV!$C:$AA,20,0)-'TRADE IN'!$F209))</f>
        <v>1799</v>
      </c>
      <c r="W209" s="46">
        <f>IF(VLOOKUP($C209,REV!$C:$AA,21,0)-'TRADE IN'!$F209=0,"",(VLOOKUP($C209,REV!$C:$AA,21,0)-'TRADE IN'!$F209))</f>
        <v>1799</v>
      </c>
      <c r="X209" s="46">
        <f>IF(VLOOKUP($C209,REV!$C:$AA,22,0)-'TRADE IN'!$F209=0,"",(VLOOKUP($C209,REV!$C:$AA,22,0)-'TRADE IN'!$F209))</f>
        <v>1349</v>
      </c>
      <c r="Y209" s="46">
        <f>IF(VLOOKUP($C209,REV!$C:$AA,23,0)-'TRADE IN'!$F209=0,"",(VLOOKUP($C209,REV!$C:$AA,23,0)-'TRADE IN'!$F209))</f>
        <v>1099</v>
      </c>
      <c r="Z209" s="46">
        <f>IF(VLOOKUP($C209,REV!$C:$AA,24,0)-'TRADE IN'!$F209=0,"",(VLOOKUP($C209,REV!$C:$AA,24,0)-'TRADE IN'!$F209))</f>
        <v>1099</v>
      </c>
      <c r="AA209" s="46">
        <f>IF(VLOOKUP($C209,REV!$C:$AA,25,0)-'TRADE IN'!$F209=0,"",(VLOOKUP($C209,REV!$C:$AA,25,0)-'TRADE IN'!$F209))</f>
        <v>1099</v>
      </c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7"/>
      <c r="AW209" s="48" t="str">
        <f>REV!AW209</f>
        <v>01.12.2026</v>
      </c>
      <c r="AX209" s="153" t="str">
        <f>VLOOKUP(C209,REV!C:AX,48,0)</f>
        <v>5G</v>
      </c>
    </row>
    <row r="210" spans="1:50" ht="22" customHeight="1">
      <c r="A210" s="57" t="s">
        <v>247</v>
      </c>
      <c r="B210" s="42" t="s">
        <v>64</v>
      </c>
      <c r="C210" s="43">
        <v>4017127</v>
      </c>
      <c r="D210" s="58" t="s">
        <v>343</v>
      </c>
      <c r="E210" s="58" t="s">
        <v>345</v>
      </c>
      <c r="F210" s="45"/>
      <c r="G210" s="45"/>
      <c r="H210" s="45"/>
      <c r="I210" s="45"/>
      <c r="J210" s="46">
        <f>IF(VLOOKUP($C210,REV!$C:$AA,8,0)-'TRADE IN'!$F210=0,"",(VLOOKUP($C210,REV!$C:$AA,8,0)-'TRADE IN'!$F210))</f>
        <v>2499</v>
      </c>
      <c r="K210" s="46">
        <f>IF(VLOOKUP($C210,REV!$C:$AA,9,0)-'TRADE IN'!$F210=0,"",(VLOOKUP($C210,REV!$C:$AA,9,0)-'TRADE IN'!$F210))</f>
        <v>2499</v>
      </c>
      <c r="L210" s="46">
        <f>IF(VLOOKUP($C210,REV!$C:$AA,10,0)-'TRADE IN'!$F210=0,"",(VLOOKUP($C210,REV!$C:$AA,10,0)-'TRADE IN'!$F210))</f>
        <v>2499</v>
      </c>
      <c r="M210" s="46">
        <f>IF(VLOOKUP($C210,REV!$C:$AA,11,0)-'TRADE IN'!$F210=0,"",(VLOOKUP($C210,REV!$C:$AA,11,0)-'TRADE IN'!$F210))</f>
        <v>2499</v>
      </c>
      <c r="N210" s="46">
        <f>IF(VLOOKUP($C210,REV!$C:$AA,12,0)-'TRADE IN'!$F210=0,"",(VLOOKUP($C210,REV!$C:$AA,12,0)-'TRADE IN'!$F210))</f>
        <v>2499</v>
      </c>
      <c r="O210" s="46">
        <f>IF(VLOOKUP($C210,REV!$C:$AA,13,0)-'TRADE IN'!$F210=0,"",(VLOOKUP($C210,REV!$C:$AA,13,0)-'TRADE IN'!$F210))</f>
        <v>2399</v>
      </c>
      <c r="P210" s="46">
        <f>IF(VLOOKUP($C210,REV!$C:$AA,14,0)-'TRADE IN'!$F210=0,"",(VLOOKUP($C210,REV!$C:$AA,14,0)-'TRADE IN'!$F210))</f>
        <v>2299</v>
      </c>
      <c r="Q210" s="46">
        <f>IF(VLOOKUP($C210,REV!$C:$AA,15,0)-'TRADE IN'!$F210=0,"",(VLOOKUP($C210,REV!$C:$AA,15,0)-'TRADE IN'!$F210))</f>
        <v>1799</v>
      </c>
      <c r="R210" s="46">
        <f>IF(VLOOKUP($C210,REV!$C:$AA,16,0)-'TRADE IN'!$F210=0,"",(VLOOKUP($C210,REV!$C:$AA,16,0)-'TRADE IN'!$F210))</f>
        <v>2399</v>
      </c>
      <c r="S210" s="46">
        <f>IF(VLOOKUP($C210,REV!$C:$AA,17,0)-'TRADE IN'!$F210=0,"",(VLOOKUP($C210,REV!$C:$AA,17,0)-'TRADE IN'!$F210))</f>
        <v>2299</v>
      </c>
      <c r="T210" s="46">
        <f>IF(VLOOKUP($C210,REV!$C:$AA,18,0)-'TRADE IN'!$F210=0,"",(VLOOKUP($C210,REV!$C:$AA,18,0)-'TRADE IN'!$F210))</f>
        <v>1799</v>
      </c>
      <c r="U210" s="46">
        <f>IF(VLOOKUP($C210,REV!$C:$AA,19,0)-'TRADE IN'!$F210=0,"",(VLOOKUP($C210,REV!$C:$AA,19,0)-'TRADE IN'!$F210))</f>
        <v>1799</v>
      </c>
      <c r="V210" s="46">
        <f>IF(VLOOKUP($C210,REV!$C:$AA,20,0)-'TRADE IN'!$F210=0,"",(VLOOKUP($C210,REV!$C:$AA,20,0)-'TRADE IN'!$F210))</f>
        <v>1799</v>
      </c>
      <c r="W210" s="46">
        <f>IF(VLOOKUP($C210,REV!$C:$AA,21,0)-'TRADE IN'!$F210=0,"",(VLOOKUP($C210,REV!$C:$AA,21,0)-'TRADE IN'!$F210))</f>
        <v>1799</v>
      </c>
      <c r="X210" s="46">
        <f>IF(VLOOKUP($C210,REV!$C:$AA,22,0)-'TRADE IN'!$F210=0,"",(VLOOKUP($C210,REV!$C:$AA,22,0)-'TRADE IN'!$F210))</f>
        <v>1349</v>
      </c>
      <c r="Y210" s="46">
        <f>IF(VLOOKUP($C210,REV!$C:$AA,23,0)-'TRADE IN'!$F210=0,"",(VLOOKUP($C210,REV!$C:$AA,23,0)-'TRADE IN'!$F210))</f>
        <v>1099</v>
      </c>
      <c r="Z210" s="46">
        <f>IF(VLOOKUP($C210,REV!$C:$AA,24,0)-'TRADE IN'!$F210=0,"",(VLOOKUP($C210,REV!$C:$AA,24,0)-'TRADE IN'!$F210))</f>
        <v>1099</v>
      </c>
      <c r="AA210" s="46">
        <f>IF(VLOOKUP($C210,REV!$C:$AA,25,0)-'TRADE IN'!$F210=0,"",(VLOOKUP($C210,REV!$C:$AA,25,0)-'TRADE IN'!$F210))</f>
        <v>1099</v>
      </c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7"/>
      <c r="AW210" s="48" t="str">
        <f>REV!AW210</f>
        <v>01.12.2026</v>
      </c>
      <c r="AX210" s="153" t="str">
        <f>VLOOKUP(C210,REV!C:AX,48,0)</f>
        <v>5G</v>
      </c>
    </row>
    <row r="211" spans="1:50" ht="22" customHeight="1">
      <c r="A211" s="57" t="s">
        <v>247</v>
      </c>
      <c r="B211" s="42" t="s">
        <v>64</v>
      </c>
      <c r="C211" s="43">
        <v>4017672</v>
      </c>
      <c r="D211" s="58" t="s">
        <v>343</v>
      </c>
      <c r="E211" s="58" t="s">
        <v>346</v>
      </c>
      <c r="F211" s="45"/>
      <c r="G211" s="45"/>
      <c r="H211" s="45"/>
      <c r="I211" s="45"/>
      <c r="J211" s="46">
        <f>IF(VLOOKUP($C211,REV!$C:$AA,8,0)-'TRADE IN'!$F211=0,"",(VLOOKUP($C211,REV!$C:$AA,8,0)-'TRADE IN'!$F211))</f>
        <v>2499</v>
      </c>
      <c r="K211" s="46">
        <f>IF(VLOOKUP($C211,REV!$C:$AA,9,0)-'TRADE IN'!$F211=0,"",(VLOOKUP($C211,REV!$C:$AA,9,0)-'TRADE IN'!$F211))</f>
        <v>2499</v>
      </c>
      <c r="L211" s="46">
        <f>IF(VLOOKUP($C211,REV!$C:$AA,10,0)-'TRADE IN'!$F211=0,"",(VLOOKUP($C211,REV!$C:$AA,10,0)-'TRADE IN'!$F211))</f>
        <v>2499</v>
      </c>
      <c r="M211" s="46">
        <f>IF(VLOOKUP($C211,REV!$C:$AA,11,0)-'TRADE IN'!$F211=0,"",(VLOOKUP($C211,REV!$C:$AA,11,0)-'TRADE IN'!$F211))</f>
        <v>2499</v>
      </c>
      <c r="N211" s="46">
        <f>IF(VLOOKUP($C211,REV!$C:$AA,12,0)-'TRADE IN'!$F211=0,"",(VLOOKUP($C211,REV!$C:$AA,12,0)-'TRADE IN'!$F211))</f>
        <v>2499</v>
      </c>
      <c r="O211" s="46">
        <f>IF(VLOOKUP($C211,REV!$C:$AA,13,0)-'TRADE IN'!$F211=0,"",(VLOOKUP($C211,REV!$C:$AA,13,0)-'TRADE IN'!$F211))</f>
        <v>2399</v>
      </c>
      <c r="P211" s="46">
        <f>IF(VLOOKUP($C211,REV!$C:$AA,14,0)-'TRADE IN'!$F211=0,"",(VLOOKUP($C211,REV!$C:$AA,14,0)-'TRADE IN'!$F211))</f>
        <v>2299</v>
      </c>
      <c r="Q211" s="46">
        <f>IF(VLOOKUP($C211,REV!$C:$AA,15,0)-'TRADE IN'!$F211=0,"",(VLOOKUP($C211,REV!$C:$AA,15,0)-'TRADE IN'!$F211))</f>
        <v>1799</v>
      </c>
      <c r="R211" s="46">
        <f>IF(VLOOKUP($C211,REV!$C:$AA,16,0)-'TRADE IN'!$F211=0,"",(VLOOKUP($C211,REV!$C:$AA,16,0)-'TRADE IN'!$F211))</f>
        <v>2399</v>
      </c>
      <c r="S211" s="46">
        <f>IF(VLOOKUP($C211,REV!$C:$AA,17,0)-'TRADE IN'!$F211=0,"",(VLOOKUP($C211,REV!$C:$AA,17,0)-'TRADE IN'!$F211))</f>
        <v>2299</v>
      </c>
      <c r="T211" s="46">
        <f>IF(VLOOKUP($C211,REV!$C:$AA,18,0)-'TRADE IN'!$F211=0,"",(VLOOKUP($C211,REV!$C:$AA,18,0)-'TRADE IN'!$F211))</f>
        <v>1799</v>
      </c>
      <c r="U211" s="46">
        <f>IF(VLOOKUP($C211,REV!$C:$AA,19,0)-'TRADE IN'!$F211=0,"",(VLOOKUP($C211,REV!$C:$AA,19,0)-'TRADE IN'!$F211))</f>
        <v>1799</v>
      </c>
      <c r="V211" s="46">
        <f>IF(VLOOKUP($C211,REV!$C:$AA,20,0)-'TRADE IN'!$F211=0,"",(VLOOKUP($C211,REV!$C:$AA,20,0)-'TRADE IN'!$F211))</f>
        <v>1799</v>
      </c>
      <c r="W211" s="46">
        <f>IF(VLOOKUP($C211,REV!$C:$AA,21,0)-'TRADE IN'!$F211=0,"",(VLOOKUP($C211,REV!$C:$AA,21,0)-'TRADE IN'!$F211))</f>
        <v>1799</v>
      </c>
      <c r="X211" s="46">
        <f>IF(VLOOKUP($C211,REV!$C:$AA,22,0)-'TRADE IN'!$F211=0,"",(VLOOKUP($C211,REV!$C:$AA,22,0)-'TRADE IN'!$F211))</f>
        <v>1349</v>
      </c>
      <c r="Y211" s="46">
        <f>IF(VLOOKUP($C211,REV!$C:$AA,23,0)-'TRADE IN'!$F211=0,"",(VLOOKUP($C211,REV!$C:$AA,23,0)-'TRADE IN'!$F211))</f>
        <v>1099</v>
      </c>
      <c r="Z211" s="46">
        <f>IF(VLOOKUP($C211,REV!$C:$AA,24,0)-'TRADE IN'!$F211=0,"",(VLOOKUP($C211,REV!$C:$AA,24,0)-'TRADE IN'!$F211))</f>
        <v>1099</v>
      </c>
      <c r="AA211" s="46">
        <f>IF(VLOOKUP($C211,REV!$C:$AA,25,0)-'TRADE IN'!$F211=0,"",(VLOOKUP($C211,REV!$C:$AA,25,0)-'TRADE IN'!$F211))</f>
        <v>1099</v>
      </c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7"/>
      <c r="AW211" s="48" t="str">
        <f>REV!AW211</f>
        <v>01.12.2026</v>
      </c>
      <c r="AX211" s="153" t="str">
        <f>VLOOKUP(C211,REV!C:AX,48,0)</f>
        <v>5G</v>
      </c>
    </row>
    <row r="212" spans="1:50" ht="22" customHeight="1">
      <c r="A212" s="57" t="s">
        <v>247</v>
      </c>
      <c r="B212" s="42" t="s">
        <v>64</v>
      </c>
      <c r="C212" s="43">
        <v>4017673</v>
      </c>
      <c r="D212" s="58" t="s">
        <v>343</v>
      </c>
      <c r="E212" s="58" t="s">
        <v>347</v>
      </c>
      <c r="F212" s="45"/>
      <c r="G212" s="45"/>
      <c r="H212" s="45"/>
      <c r="I212" s="45"/>
      <c r="J212" s="46">
        <f>IF(VLOOKUP($C212,REV!$C:$AA,8,0)-'TRADE IN'!$F212=0,"",(VLOOKUP($C212,REV!$C:$AA,8,0)-'TRADE IN'!$F212))</f>
        <v>2499</v>
      </c>
      <c r="K212" s="46">
        <f>IF(VLOOKUP($C212,REV!$C:$AA,9,0)-'TRADE IN'!$F212=0,"",(VLOOKUP($C212,REV!$C:$AA,9,0)-'TRADE IN'!$F212))</f>
        <v>2499</v>
      </c>
      <c r="L212" s="46">
        <f>IF(VLOOKUP($C212,REV!$C:$AA,10,0)-'TRADE IN'!$F212=0,"",(VLOOKUP($C212,REV!$C:$AA,10,0)-'TRADE IN'!$F212))</f>
        <v>2499</v>
      </c>
      <c r="M212" s="46">
        <f>IF(VLOOKUP($C212,REV!$C:$AA,11,0)-'TRADE IN'!$F212=0,"",(VLOOKUP($C212,REV!$C:$AA,11,0)-'TRADE IN'!$F212))</f>
        <v>2499</v>
      </c>
      <c r="N212" s="46">
        <f>IF(VLOOKUP($C212,REV!$C:$AA,12,0)-'TRADE IN'!$F212=0,"",(VLOOKUP($C212,REV!$C:$AA,12,0)-'TRADE IN'!$F212))</f>
        <v>2499</v>
      </c>
      <c r="O212" s="46">
        <f>IF(VLOOKUP($C212,REV!$C:$AA,13,0)-'TRADE IN'!$F212=0,"",(VLOOKUP($C212,REV!$C:$AA,13,0)-'TRADE IN'!$F212))</f>
        <v>2399</v>
      </c>
      <c r="P212" s="46">
        <f>IF(VLOOKUP($C212,REV!$C:$AA,14,0)-'TRADE IN'!$F212=0,"",(VLOOKUP($C212,REV!$C:$AA,14,0)-'TRADE IN'!$F212))</f>
        <v>2299</v>
      </c>
      <c r="Q212" s="46">
        <f>IF(VLOOKUP($C212,REV!$C:$AA,15,0)-'TRADE IN'!$F212=0,"",(VLOOKUP($C212,REV!$C:$AA,15,0)-'TRADE IN'!$F212))</f>
        <v>1799</v>
      </c>
      <c r="R212" s="46">
        <f>IF(VLOOKUP($C212,REV!$C:$AA,16,0)-'TRADE IN'!$F212=0,"",(VLOOKUP($C212,REV!$C:$AA,16,0)-'TRADE IN'!$F212))</f>
        <v>2399</v>
      </c>
      <c r="S212" s="46">
        <f>IF(VLOOKUP($C212,REV!$C:$AA,17,0)-'TRADE IN'!$F212=0,"",(VLOOKUP($C212,REV!$C:$AA,17,0)-'TRADE IN'!$F212))</f>
        <v>2299</v>
      </c>
      <c r="T212" s="46">
        <f>IF(VLOOKUP($C212,REV!$C:$AA,18,0)-'TRADE IN'!$F212=0,"",(VLOOKUP($C212,REV!$C:$AA,18,0)-'TRADE IN'!$F212))</f>
        <v>1799</v>
      </c>
      <c r="U212" s="46">
        <f>IF(VLOOKUP($C212,REV!$C:$AA,19,0)-'TRADE IN'!$F212=0,"",(VLOOKUP($C212,REV!$C:$AA,19,0)-'TRADE IN'!$F212))</f>
        <v>1799</v>
      </c>
      <c r="V212" s="46">
        <f>IF(VLOOKUP($C212,REV!$C:$AA,20,0)-'TRADE IN'!$F212=0,"",(VLOOKUP($C212,REV!$C:$AA,20,0)-'TRADE IN'!$F212))</f>
        <v>1799</v>
      </c>
      <c r="W212" s="46">
        <f>IF(VLOOKUP($C212,REV!$C:$AA,21,0)-'TRADE IN'!$F212=0,"",(VLOOKUP($C212,REV!$C:$AA,21,0)-'TRADE IN'!$F212))</f>
        <v>1799</v>
      </c>
      <c r="X212" s="46">
        <f>IF(VLOOKUP($C212,REV!$C:$AA,22,0)-'TRADE IN'!$F212=0,"",(VLOOKUP($C212,REV!$C:$AA,22,0)-'TRADE IN'!$F212))</f>
        <v>1349</v>
      </c>
      <c r="Y212" s="46">
        <f>IF(VLOOKUP($C212,REV!$C:$AA,23,0)-'TRADE IN'!$F212=0,"",(VLOOKUP($C212,REV!$C:$AA,23,0)-'TRADE IN'!$F212))</f>
        <v>1099</v>
      </c>
      <c r="Z212" s="46">
        <f>IF(VLOOKUP($C212,REV!$C:$AA,24,0)-'TRADE IN'!$F212=0,"",(VLOOKUP($C212,REV!$C:$AA,24,0)-'TRADE IN'!$F212))</f>
        <v>1099</v>
      </c>
      <c r="AA212" s="46">
        <f>IF(VLOOKUP($C212,REV!$C:$AA,25,0)-'TRADE IN'!$F212=0,"",(VLOOKUP($C212,REV!$C:$AA,25,0)-'TRADE IN'!$F212))</f>
        <v>1099</v>
      </c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7"/>
      <c r="AW212" s="48" t="str">
        <f>REV!AW212</f>
        <v>01.12.2026</v>
      </c>
      <c r="AX212" s="153" t="str">
        <f>VLOOKUP(C212,REV!C:AX,48,0)</f>
        <v>5G</v>
      </c>
    </row>
    <row r="213" spans="1:50" ht="22" customHeight="1">
      <c r="A213" s="57" t="s">
        <v>247</v>
      </c>
      <c r="B213" s="42" t="s">
        <v>64</v>
      </c>
      <c r="C213" s="43">
        <v>4017964</v>
      </c>
      <c r="D213" s="58" t="s">
        <v>348</v>
      </c>
      <c r="E213" s="58" t="s">
        <v>349</v>
      </c>
      <c r="F213" s="45"/>
      <c r="G213" s="45"/>
      <c r="H213" s="45"/>
      <c r="I213" s="45"/>
      <c r="J213" s="46">
        <f>IF(VLOOKUP($C213,REV!$C:$AA,8,0)-'TRADE IN'!$F213=0,"",(VLOOKUP($C213,REV!$C:$AA,8,0)-'TRADE IN'!$F213))</f>
        <v>2499</v>
      </c>
      <c r="K213" s="46">
        <f>IF(VLOOKUP($C213,REV!$C:$AA,9,0)-'TRADE IN'!$F213=0,"",(VLOOKUP($C213,REV!$C:$AA,9,0)-'TRADE IN'!$F213))</f>
        <v>2499</v>
      </c>
      <c r="L213" s="46">
        <f>IF(VLOOKUP($C213,REV!$C:$AA,10,0)-'TRADE IN'!$F213=0,"",(VLOOKUP($C213,REV!$C:$AA,10,0)-'TRADE IN'!$F213))</f>
        <v>2499</v>
      </c>
      <c r="M213" s="46">
        <f>IF(VLOOKUP($C213,REV!$C:$AA,11,0)-'TRADE IN'!$F213=0,"",(VLOOKUP($C213,REV!$C:$AA,11,0)-'TRADE IN'!$F213))</f>
        <v>2499</v>
      </c>
      <c r="N213" s="46">
        <f>IF(VLOOKUP($C213,REV!$C:$AA,12,0)-'TRADE IN'!$F213=0,"",(VLOOKUP($C213,REV!$C:$AA,12,0)-'TRADE IN'!$F213))</f>
        <v>2499</v>
      </c>
      <c r="O213" s="46">
        <f>IF(VLOOKUP($C213,REV!$C:$AA,13,0)-'TRADE IN'!$F213=0,"",(VLOOKUP($C213,REV!$C:$AA,13,0)-'TRADE IN'!$F213))</f>
        <v>2399</v>
      </c>
      <c r="P213" s="46">
        <f>IF(VLOOKUP($C213,REV!$C:$AA,14,0)-'TRADE IN'!$F213=0,"",(VLOOKUP($C213,REV!$C:$AA,14,0)-'TRADE IN'!$F213))</f>
        <v>2299</v>
      </c>
      <c r="Q213" s="46">
        <f>IF(VLOOKUP($C213,REV!$C:$AA,15,0)-'TRADE IN'!$F213=0,"",(VLOOKUP($C213,REV!$C:$AA,15,0)-'TRADE IN'!$F213))</f>
        <v>1499</v>
      </c>
      <c r="R213" s="46">
        <f>IF(VLOOKUP($C213,REV!$C:$AA,16,0)-'TRADE IN'!$F213=0,"",(VLOOKUP($C213,REV!$C:$AA,16,0)-'TRADE IN'!$F213))</f>
        <v>2399</v>
      </c>
      <c r="S213" s="46">
        <f>IF(VLOOKUP($C213,REV!$C:$AA,17,0)-'TRADE IN'!$F213=0,"",(VLOOKUP($C213,REV!$C:$AA,17,0)-'TRADE IN'!$F213))</f>
        <v>2299</v>
      </c>
      <c r="T213" s="46">
        <f>IF(VLOOKUP($C213,REV!$C:$AA,18,0)-'TRADE IN'!$F213=0,"",(VLOOKUP($C213,REV!$C:$AA,18,0)-'TRADE IN'!$F213))</f>
        <v>1499</v>
      </c>
      <c r="U213" s="46">
        <f>IF(VLOOKUP($C213,REV!$C:$AA,19,0)-'TRADE IN'!$F213=0,"",(VLOOKUP($C213,REV!$C:$AA,19,0)-'TRADE IN'!$F213))</f>
        <v>1499</v>
      </c>
      <c r="V213" s="46">
        <f>IF(VLOOKUP($C213,REV!$C:$AA,20,0)-'TRADE IN'!$F213=0,"",(VLOOKUP($C213,REV!$C:$AA,20,0)-'TRADE IN'!$F213))</f>
        <v>1499</v>
      </c>
      <c r="W213" s="46">
        <f>IF(VLOOKUP($C213,REV!$C:$AA,21,0)-'TRADE IN'!$F213=0,"",(VLOOKUP($C213,REV!$C:$AA,21,0)-'TRADE IN'!$F213))</f>
        <v>1499</v>
      </c>
      <c r="X213" s="46">
        <f>IF(VLOOKUP($C213,REV!$C:$AA,22,0)-'TRADE IN'!$F213=0,"",(VLOOKUP($C213,REV!$C:$AA,22,0)-'TRADE IN'!$F213))</f>
        <v>1399</v>
      </c>
      <c r="Y213" s="46">
        <f>IF(VLOOKUP($C213,REV!$C:$AA,23,0)-'TRADE IN'!$F213=0,"",(VLOOKUP($C213,REV!$C:$AA,23,0)-'TRADE IN'!$F213))</f>
        <v>1299</v>
      </c>
      <c r="Z213" s="46">
        <f>IF(VLOOKUP($C213,REV!$C:$AA,24,0)-'TRADE IN'!$F213=0,"",(VLOOKUP($C213,REV!$C:$AA,24,0)-'TRADE IN'!$F213))</f>
        <v>1299</v>
      </c>
      <c r="AA213" s="46">
        <f>IF(VLOOKUP($C213,REV!$C:$AA,25,0)-'TRADE IN'!$F213=0,"",(VLOOKUP($C213,REV!$C:$AA,25,0)-'TRADE IN'!$F213))</f>
        <v>1299</v>
      </c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7"/>
      <c r="AW213" s="48" t="str">
        <f>REV!AW213</f>
        <v>01.12.2026</v>
      </c>
      <c r="AX213" s="153" t="str">
        <f>VLOOKUP(C213,REV!C:AX,48,0)</f>
        <v>5G</v>
      </c>
    </row>
    <row r="214" spans="1:50" ht="22" customHeight="1">
      <c r="A214" s="57" t="s">
        <v>247</v>
      </c>
      <c r="B214" s="42" t="s">
        <v>64</v>
      </c>
      <c r="C214" s="43">
        <v>4017966</v>
      </c>
      <c r="D214" s="58" t="s">
        <v>348</v>
      </c>
      <c r="E214" s="58" t="s">
        <v>350</v>
      </c>
      <c r="F214" s="45"/>
      <c r="G214" s="45"/>
      <c r="H214" s="45"/>
      <c r="I214" s="45"/>
      <c r="J214" s="46">
        <f>IF(VLOOKUP($C214,REV!$C:$AA,8,0)-'TRADE IN'!$F214=0,"",(VLOOKUP($C214,REV!$C:$AA,8,0)-'TRADE IN'!$F214))</f>
        <v>2499</v>
      </c>
      <c r="K214" s="46">
        <f>IF(VLOOKUP($C214,REV!$C:$AA,9,0)-'TRADE IN'!$F214=0,"",(VLOOKUP($C214,REV!$C:$AA,9,0)-'TRADE IN'!$F214))</f>
        <v>2499</v>
      </c>
      <c r="L214" s="46">
        <f>IF(VLOOKUP($C214,REV!$C:$AA,10,0)-'TRADE IN'!$F214=0,"",(VLOOKUP($C214,REV!$C:$AA,10,0)-'TRADE IN'!$F214))</f>
        <v>2499</v>
      </c>
      <c r="M214" s="46">
        <f>IF(VLOOKUP($C214,REV!$C:$AA,11,0)-'TRADE IN'!$F214=0,"",(VLOOKUP($C214,REV!$C:$AA,11,0)-'TRADE IN'!$F214))</f>
        <v>2499</v>
      </c>
      <c r="N214" s="46">
        <f>IF(VLOOKUP($C214,REV!$C:$AA,12,0)-'TRADE IN'!$F214=0,"",(VLOOKUP($C214,REV!$C:$AA,12,0)-'TRADE IN'!$F214))</f>
        <v>2499</v>
      </c>
      <c r="O214" s="46">
        <f>IF(VLOOKUP($C214,REV!$C:$AA,13,0)-'TRADE IN'!$F214=0,"",(VLOOKUP($C214,REV!$C:$AA,13,0)-'TRADE IN'!$F214))</f>
        <v>2399</v>
      </c>
      <c r="P214" s="46">
        <f>IF(VLOOKUP($C214,REV!$C:$AA,14,0)-'TRADE IN'!$F214=0,"",(VLOOKUP($C214,REV!$C:$AA,14,0)-'TRADE IN'!$F214))</f>
        <v>2299</v>
      </c>
      <c r="Q214" s="46">
        <f>IF(VLOOKUP($C214,REV!$C:$AA,15,0)-'TRADE IN'!$F214=0,"",(VLOOKUP($C214,REV!$C:$AA,15,0)-'TRADE IN'!$F214))</f>
        <v>1499</v>
      </c>
      <c r="R214" s="46">
        <f>IF(VLOOKUP($C214,REV!$C:$AA,16,0)-'TRADE IN'!$F214=0,"",(VLOOKUP($C214,REV!$C:$AA,16,0)-'TRADE IN'!$F214))</f>
        <v>2399</v>
      </c>
      <c r="S214" s="46">
        <f>IF(VLOOKUP($C214,REV!$C:$AA,17,0)-'TRADE IN'!$F214=0,"",(VLOOKUP($C214,REV!$C:$AA,17,0)-'TRADE IN'!$F214))</f>
        <v>2299</v>
      </c>
      <c r="T214" s="46">
        <f>IF(VLOOKUP($C214,REV!$C:$AA,18,0)-'TRADE IN'!$F214=0,"",(VLOOKUP($C214,REV!$C:$AA,18,0)-'TRADE IN'!$F214))</f>
        <v>1499</v>
      </c>
      <c r="U214" s="46">
        <f>IF(VLOOKUP($C214,REV!$C:$AA,19,0)-'TRADE IN'!$F214=0,"",(VLOOKUP($C214,REV!$C:$AA,19,0)-'TRADE IN'!$F214))</f>
        <v>1499</v>
      </c>
      <c r="V214" s="46">
        <f>IF(VLOOKUP($C214,REV!$C:$AA,20,0)-'TRADE IN'!$F214=0,"",(VLOOKUP($C214,REV!$C:$AA,20,0)-'TRADE IN'!$F214))</f>
        <v>1499</v>
      </c>
      <c r="W214" s="46">
        <f>IF(VLOOKUP($C214,REV!$C:$AA,21,0)-'TRADE IN'!$F214=0,"",(VLOOKUP($C214,REV!$C:$AA,21,0)-'TRADE IN'!$F214))</f>
        <v>1499</v>
      </c>
      <c r="X214" s="46">
        <f>IF(VLOOKUP($C214,REV!$C:$AA,22,0)-'TRADE IN'!$F214=0,"",(VLOOKUP($C214,REV!$C:$AA,22,0)-'TRADE IN'!$F214))</f>
        <v>1399</v>
      </c>
      <c r="Y214" s="46">
        <f>IF(VLOOKUP($C214,REV!$C:$AA,23,0)-'TRADE IN'!$F214=0,"",(VLOOKUP($C214,REV!$C:$AA,23,0)-'TRADE IN'!$F214))</f>
        <v>1299</v>
      </c>
      <c r="Z214" s="46">
        <f>IF(VLOOKUP($C214,REV!$C:$AA,24,0)-'TRADE IN'!$F214=0,"",(VLOOKUP($C214,REV!$C:$AA,24,0)-'TRADE IN'!$F214))</f>
        <v>1299</v>
      </c>
      <c r="AA214" s="46">
        <f>IF(VLOOKUP($C214,REV!$C:$AA,25,0)-'TRADE IN'!$F214=0,"",(VLOOKUP($C214,REV!$C:$AA,25,0)-'TRADE IN'!$F214))</f>
        <v>1299</v>
      </c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7"/>
      <c r="AW214" s="48" t="str">
        <f>REV!AW214</f>
        <v>01.12.2026</v>
      </c>
      <c r="AX214" s="153" t="str">
        <f>VLOOKUP(C214,REV!C:AX,48,0)</f>
        <v>5G</v>
      </c>
    </row>
    <row r="215" spans="1:50" ht="22.5" customHeight="1">
      <c r="A215" s="41" t="s">
        <v>63</v>
      </c>
      <c r="B215" s="42" t="s">
        <v>64</v>
      </c>
      <c r="C215" s="43">
        <v>4015582</v>
      </c>
      <c r="D215" s="58" t="s">
        <v>351</v>
      </c>
      <c r="E215" s="58" t="s">
        <v>352</v>
      </c>
      <c r="F215" s="45"/>
      <c r="G215" s="45"/>
      <c r="H215" s="45"/>
      <c r="I215" s="45"/>
      <c r="J215" s="46">
        <f>IF(VLOOKUP($C215,REV!$C:$AA,8,0)-'TRADE IN'!$F215=0,"",(VLOOKUP($C215,REV!$C:$AA,8,0)-'TRADE IN'!$F215))</f>
        <v>2499</v>
      </c>
      <c r="K215" s="46">
        <f>IF(VLOOKUP($C215,REV!$C:$AA,9,0)-'TRADE IN'!$F215=0,"",(VLOOKUP($C215,REV!$C:$AA,9,0)-'TRADE IN'!$F215))</f>
        <v>2399</v>
      </c>
      <c r="L215" s="46">
        <f>IF(VLOOKUP($C215,REV!$C:$AA,10,0)-'TRADE IN'!$F215=0,"",(VLOOKUP($C215,REV!$C:$AA,10,0)-'TRADE IN'!$F215))</f>
        <v>2399</v>
      </c>
      <c r="M215" s="46">
        <f>IF(VLOOKUP($C215,REV!$C:$AA,11,0)-'TRADE IN'!$F215=0,"",(VLOOKUP($C215,REV!$C:$AA,11,0)-'TRADE IN'!$F215))</f>
        <v>2499</v>
      </c>
      <c r="N215" s="46">
        <f>IF(VLOOKUP($C215,REV!$C:$AA,12,0)-'TRADE IN'!$F215=0,"",(VLOOKUP($C215,REV!$C:$AA,12,0)-'TRADE IN'!$F215))</f>
        <v>2499</v>
      </c>
      <c r="O215" s="46">
        <f>IF(VLOOKUP($C215,REV!$C:$AA,13,0)-'TRADE IN'!$F215=0,"",(VLOOKUP($C215,REV!$C:$AA,13,0)-'TRADE IN'!$F215))</f>
        <v>2299</v>
      </c>
      <c r="P215" s="46">
        <f>IF(VLOOKUP($C215,REV!$C:$AA,14,0)-'TRADE IN'!$F215=0,"",(VLOOKUP($C215,REV!$C:$AA,14,0)-'TRADE IN'!$F215))</f>
        <v>2199</v>
      </c>
      <c r="Q215" s="46">
        <f>IF(VLOOKUP($C215,REV!$C:$AA,15,0)-'TRADE IN'!$F215=0,"",(VLOOKUP($C215,REV!$C:$AA,15,0)-'TRADE IN'!$F215))</f>
        <v>1699</v>
      </c>
      <c r="R215" s="46">
        <f>IF(VLOOKUP($C215,REV!$C:$AA,16,0)-'TRADE IN'!$F215=0,"",(VLOOKUP($C215,REV!$C:$AA,16,0)-'TRADE IN'!$F215))</f>
        <v>2299</v>
      </c>
      <c r="S215" s="46">
        <f>IF(VLOOKUP($C215,REV!$C:$AA,17,0)-'TRADE IN'!$F215=0,"",(VLOOKUP($C215,REV!$C:$AA,17,0)-'TRADE IN'!$F215))</f>
        <v>2199</v>
      </c>
      <c r="T215" s="46">
        <f>IF(VLOOKUP($C215,REV!$C:$AA,18,0)-'TRADE IN'!$F215=0,"",(VLOOKUP($C215,REV!$C:$AA,18,0)-'TRADE IN'!$F215))</f>
        <v>1699</v>
      </c>
      <c r="U215" s="46">
        <f>IF(VLOOKUP($C215,REV!$C:$AA,19,0)-'TRADE IN'!$F215=0,"",(VLOOKUP($C215,REV!$C:$AA,19,0)-'TRADE IN'!$F215))</f>
        <v>1699</v>
      </c>
      <c r="V215" s="46">
        <f>IF(VLOOKUP($C215,REV!$C:$AA,20,0)-'TRADE IN'!$F215=0,"",(VLOOKUP($C215,REV!$C:$AA,20,0)-'TRADE IN'!$F215))</f>
        <v>1699</v>
      </c>
      <c r="W215" s="46">
        <f>IF(VLOOKUP($C215,REV!$C:$AA,21,0)-'TRADE IN'!$F215=0,"",(VLOOKUP($C215,REV!$C:$AA,21,0)-'TRADE IN'!$F215))</f>
        <v>1699</v>
      </c>
      <c r="X215" s="46">
        <f>IF(VLOOKUP($C215,REV!$C:$AA,22,0)-'TRADE IN'!$F215=0,"",(VLOOKUP($C215,REV!$C:$AA,22,0)-'TRADE IN'!$F215))</f>
        <v>1599</v>
      </c>
      <c r="Y215" s="46">
        <f>IF(VLOOKUP($C215,REV!$C:$AA,23,0)-'TRADE IN'!$F215=0,"",(VLOOKUP($C215,REV!$C:$AA,23,0)-'TRADE IN'!$F215))</f>
        <v>1399</v>
      </c>
      <c r="Z215" s="46">
        <f>IF(VLOOKUP($C215,REV!$C:$AA,24,0)-'TRADE IN'!$F215=0,"",(VLOOKUP($C215,REV!$C:$AA,24,0)-'TRADE IN'!$F215))</f>
        <v>1399</v>
      </c>
      <c r="AA215" s="46">
        <f>IF(VLOOKUP($C215,REV!$C:$AA,25,0)-'TRADE IN'!$F215=0,"",(VLOOKUP($C215,REV!$C:$AA,25,0)-'TRADE IN'!$F215))</f>
        <v>1399</v>
      </c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7"/>
      <c r="AW215" s="48" t="str">
        <f>REV!AW215</f>
        <v>01.12.2026</v>
      </c>
      <c r="AX215" s="153" t="str">
        <f>VLOOKUP(C215,REV!C:AX,48,0)</f>
        <v>5G</v>
      </c>
    </row>
    <row r="216" spans="1:50" ht="22.5" customHeight="1">
      <c r="A216" s="41" t="s">
        <v>63</v>
      </c>
      <c r="B216" s="42" t="s">
        <v>64</v>
      </c>
      <c r="C216" s="43">
        <v>4015584</v>
      </c>
      <c r="D216" s="58" t="s">
        <v>351</v>
      </c>
      <c r="E216" s="58" t="s">
        <v>353</v>
      </c>
      <c r="F216" s="45"/>
      <c r="G216" s="45"/>
      <c r="H216" s="45"/>
      <c r="I216" s="45"/>
      <c r="J216" s="46">
        <f>IF(VLOOKUP($C216,REV!$C:$AA,8,0)-'TRADE IN'!$F216=0,"",(VLOOKUP($C216,REV!$C:$AA,8,0)-'TRADE IN'!$F216))</f>
        <v>2499</v>
      </c>
      <c r="K216" s="46">
        <f>IF(VLOOKUP($C216,REV!$C:$AA,9,0)-'TRADE IN'!$F216=0,"",(VLOOKUP($C216,REV!$C:$AA,9,0)-'TRADE IN'!$F216))</f>
        <v>2399</v>
      </c>
      <c r="L216" s="46">
        <f>IF(VLOOKUP($C216,REV!$C:$AA,10,0)-'TRADE IN'!$F216=0,"",(VLOOKUP($C216,REV!$C:$AA,10,0)-'TRADE IN'!$F216))</f>
        <v>2399</v>
      </c>
      <c r="M216" s="46">
        <f>IF(VLOOKUP($C216,REV!$C:$AA,11,0)-'TRADE IN'!$F216=0,"",(VLOOKUP($C216,REV!$C:$AA,11,0)-'TRADE IN'!$F216))</f>
        <v>2499</v>
      </c>
      <c r="N216" s="46">
        <f>IF(VLOOKUP($C216,REV!$C:$AA,12,0)-'TRADE IN'!$F216=0,"",(VLOOKUP($C216,REV!$C:$AA,12,0)-'TRADE IN'!$F216))</f>
        <v>2499</v>
      </c>
      <c r="O216" s="46">
        <f>IF(VLOOKUP($C216,REV!$C:$AA,13,0)-'TRADE IN'!$F216=0,"",(VLOOKUP($C216,REV!$C:$AA,13,0)-'TRADE IN'!$F216))</f>
        <v>2299</v>
      </c>
      <c r="P216" s="46">
        <f>IF(VLOOKUP($C216,REV!$C:$AA,14,0)-'TRADE IN'!$F216=0,"",(VLOOKUP($C216,REV!$C:$AA,14,0)-'TRADE IN'!$F216))</f>
        <v>2199</v>
      </c>
      <c r="Q216" s="46">
        <f>IF(VLOOKUP($C216,REV!$C:$AA,15,0)-'TRADE IN'!$F216=0,"",(VLOOKUP($C216,REV!$C:$AA,15,0)-'TRADE IN'!$F216))</f>
        <v>1699</v>
      </c>
      <c r="R216" s="46">
        <f>IF(VLOOKUP($C216,REV!$C:$AA,16,0)-'TRADE IN'!$F216=0,"",(VLOOKUP($C216,REV!$C:$AA,16,0)-'TRADE IN'!$F216))</f>
        <v>2299</v>
      </c>
      <c r="S216" s="46">
        <f>IF(VLOOKUP($C216,REV!$C:$AA,17,0)-'TRADE IN'!$F216=0,"",(VLOOKUP($C216,REV!$C:$AA,17,0)-'TRADE IN'!$F216))</f>
        <v>2199</v>
      </c>
      <c r="T216" s="46">
        <f>IF(VLOOKUP($C216,REV!$C:$AA,18,0)-'TRADE IN'!$F216=0,"",(VLOOKUP($C216,REV!$C:$AA,18,0)-'TRADE IN'!$F216))</f>
        <v>1699</v>
      </c>
      <c r="U216" s="46">
        <f>IF(VLOOKUP($C216,REV!$C:$AA,19,0)-'TRADE IN'!$F216=0,"",(VLOOKUP($C216,REV!$C:$AA,19,0)-'TRADE IN'!$F216))</f>
        <v>1699</v>
      </c>
      <c r="V216" s="46">
        <f>IF(VLOOKUP($C216,REV!$C:$AA,20,0)-'TRADE IN'!$F216=0,"",(VLOOKUP($C216,REV!$C:$AA,20,0)-'TRADE IN'!$F216))</f>
        <v>1699</v>
      </c>
      <c r="W216" s="46">
        <f>IF(VLOOKUP($C216,REV!$C:$AA,21,0)-'TRADE IN'!$F216=0,"",(VLOOKUP($C216,REV!$C:$AA,21,0)-'TRADE IN'!$F216))</f>
        <v>1699</v>
      </c>
      <c r="X216" s="46">
        <f>IF(VLOOKUP($C216,REV!$C:$AA,22,0)-'TRADE IN'!$F216=0,"",(VLOOKUP($C216,REV!$C:$AA,22,0)-'TRADE IN'!$F216))</f>
        <v>1599</v>
      </c>
      <c r="Y216" s="46">
        <f>IF(VLOOKUP($C216,REV!$C:$AA,23,0)-'TRADE IN'!$F216=0,"",(VLOOKUP($C216,REV!$C:$AA,23,0)-'TRADE IN'!$F216))</f>
        <v>1399</v>
      </c>
      <c r="Z216" s="46">
        <f>IF(VLOOKUP($C216,REV!$C:$AA,24,0)-'TRADE IN'!$F216=0,"",(VLOOKUP($C216,REV!$C:$AA,24,0)-'TRADE IN'!$F216))</f>
        <v>1399</v>
      </c>
      <c r="AA216" s="46">
        <f>IF(VLOOKUP($C216,REV!$C:$AA,25,0)-'TRADE IN'!$F216=0,"",(VLOOKUP($C216,REV!$C:$AA,25,0)-'TRADE IN'!$F216))</f>
        <v>1399</v>
      </c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7"/>
      <c r="AW216" s="48" t="str">
        <f>REV!AW216</f>
        <v>01.12.2026</v>
      </c>
      <c r="AX216" s="153" t="str">
        <f>VLOOKUP(C216,REV!C:AX,48,0)</f>
        <v>5G</v>
      </c>
    </row>
    <row r="217" spans="1:50" ht="22.5" customHeight="1">
      <c r="A217" s="41" t="s">
        <v>63</v>
      </c>
      <c r="B217" s="42" t="s">
        <v>64</v>
      </c>
      <c r="C217" s="43">
        <v>4015556</v>
      </c>
      <c r="D217" s="58" t="s">
        <v>354</v>
      </c>
      <c r="E217" s="58" t="s">
        <v>355</v>
      </c>
      <c r="F217" s="45"/>
      <c r="G217" s="45"/>
      <c r="H217" s="45"/>
      <c r="I217" s="45"/>
      <c r="J217" s="46">
        <f>IF(VLOOKUP($C217,REV!$C:$AA,8,0)-'TRADE IN'!$F217=0,"",(VLOOKUP($C217,REV!$C:$AA,8,0)-'TRADE IN'!$F217))</f>
        <v>3099</v>
      </c>
      <c r="K217" s="46">
        <f>IF(VLOOKUP($C217,REV!$C:$AA,9,0)-'TRADE IN'!$F217=0,"",(VLOOKUP($C217,REV!$C:$AA,9,0)-'TRADE IN'!$F217))</f>
        <v>2999</v>
      </c>
      <c r="L217" s="46">
        <f>IF(VLOOKUP($C217,REV!$C:$AA,10,0)-'TRADE IN'!$F217=0,"",(VLOOKUP($C217,REV!$C:$AA,10,0)-'TRADE IN'!$F217))</f>
        <v>2999</v>
      </c>
      <c r="M217" s="46">
        <f>IF(VLOOKUP($C217,REV!$C:$AA,11,0)-'TRADE IN'!$F217=0,"",(VLOOKUP($C217,REV!$C:$AA,11,0)-'TRADE IN'!$F217))</f>
        <v>3099</v>
      </c>
      <c r="N217" s="46">
        <f>IF(VLOOKUP($C217,REV!$C:$AA,12,0)-'TRADE IN'!$F217=0,"",(VLOOKUP($C217,REV!$C:$AA,12,0)-'TRADE IN'!$F217))</f>
        <v>3099</v>
      </c>
      <c r="O217" s="46">
        <f>IF(VLOOKUP($C217,REV!$C:$AA,13,0)-'TRADE IN'!$F217=0,"",(VLOOKUP($C217,REV!$C:$AA,13,0)-'TRADE IN'!$F217))</f>
        <v>2899</v>
      </c>
      <c r="P217" s="46">
        <f>IF(VLOOKUP($C217,REV!$C:$AA,14,0)-'TRADE IN'!$F217=0,"",(VLOOKUP($C217,REV!$C:$AA,14,0)-'TRADE IN'!$F217))</f>
        <v>2799</v>
      </c>
      <c r="Q217" s="46">
        <f>IF(VLOOKUP($C217,REV!$C:$AA,15,0)-'TRADE IN'!$F217=0,"",(VLOOKUP($C217,REV!$C:$AA,15,0)-'TRADE IN'!$F217))</f>
        <v>2599</v>
      </c>
      <c r="R217" s="46">
        <f>IF(VLOOKUP($C217,REV!$C:$AA,16,0)-'TRADE IN'!$F217=0,"",(VLOOKUP($C217,REV!$C:$AA,16,0)-'TRADE IN'!$F217))</f>
        <v>2899</v>
      </c>
      <c r="S217" s="46">
        <f>IF(VLOOKUP($C217,REV!$C:$AA,17,0)-'TRADE IN'!$F217=0,"",(VLOOKUP($C217,REV!$C:$AA,17,0)-'TRADE IN'!$F217))</f>
        <v>2799</v>
      </c>
      <c r="T217" s="46">
        <f>IF(VLOOKUP($C217,REV!$C:$AA,18,0)-'TRADE IN'!$F217=0,"",(VLOOKUP($C217,REV!$C:$AA,18,0)-'TRADE IN'!$F217))</f>
        <v>2599</v>
      </c>
      <c r="U217" s="46">
        <f>IF(VLOOKUP($C217,REV!$C:$AA,19,0)-'TRADE IN'!$F217=0,"",(VLOOKUP($C217,REV!$C:$AA,19,0)-'TRADE IN'!$F217))</f>
        <v>2599</v>
      </c>
      <c r="V217" s="46">
        <f>IF(VLOOKUP($C217,REV!$C:$AA,20,0)-'TRADE IN'!$F217=0,"",(VLOOKUP($C217,REV!$C:$AA,20,0)-'TRADE IN'!$F217))</f>
        <v>2599</v>
      </c>
      <c r="W217" s="46">
        <f>IF(VLOOKUP($C217,REV!$C:$AA,21,0)-'TRADE IN'!$F217=0,"",(VLOOKUP($C217,REV!$C:$AA,21,0)-'TRADE IN'!$F217))</f>
        <v>2599</v>
      </c>
      <c r="X217" s="46">
        <f>IF(VLOOKUP($C217,REV!$C:$AA,22,0)-'TRADE IN'!$F217=0,"",(VLOOKUP($C217,REV!$C:$AA,22,0)-'TRADE IN'!$F217))</f>
        <v>2499</v>
      </c>
      <c r="Y217" s="46">
        <f>IF(VLOOKUP($C217,REV!$C:$AA,23,0)-'TRADE IN'!$F217=0,"",(VLOOKUP($C217,REV!$C:$AA,23,0)-'TRADE IN'!$F217))</f>
        <v>2399</v>
      </c>
      <c r="Z217" s="46">
        <f>IF(VLOOKUP($C217,REV!$C:$AA,24,0)-'TRADE IN'!$F217=0,"",(VLOOKUP($C217,REV!$C:$AA,24,0)-'TRADE IN'!$F217))</f>
        <v>2399</v>
      </c>
      <c r="AA217" s="46">
        <f>IF(VLOOKUP($C217,REV!$C:$AA,25,0)-'TRADE IN'!$F217=0,"",(VLOOKUP($C217,REV!$C:$AA,25,0)-'TRADE IN'!$F217))</f>
        <v>2399</v>
      </c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7"/>
      <c r="AW217" s="48" t="str">
        <f>REV!AW217</f>
        <v>01.12.2026</v>
      </c>
      <c r="AX217" s="153" t="str">
        <f>VLOOKUP(C217,REV!C:AX,48,0)</f>
        <v>5G</v>
      </c>
    </row>
    <row r="218" spans="1:50" ht="22.5" customHeight="1">
      <c r="A218" s="41" t="s">
        <v>63</v>
      </c>
      <c r="B218" s="42" t="s">
        <v>64</v>
      </c>
      <c r="C218" s="43">
        <v>4016294</v>
      </c>
      <c r="D218" s="58" t="s">
        <v>356</v>
      </c>
      <c r="E218" s="58" t="s">
        <v>357</v>
      </c>
      <c r="F218" s="45"/>
      <c r="G218" s="45"/>
      <c r="H218" s="45"/>
      <c r="I218" s="45"/>
      <c r="J218" s="46">
        <f>IF(VLOOKUP($C218,REV!$C:$AA,8,0)-'TRADE IN'!$F218=0,"",(VLOOKUP($C218,REV!$C:$AA,8,0)-'TRADE IN'!$F218))</f>
        <v>4999</v>
      </c>
      <c r="K218" s="46">
        <f>IF(VLOOKUP($C218,REV!$C:$AA,9,0)-'TRADE IN'!$F218=0,"",(VLOOKUP($C218,REV!$C:$AA,9,0)-'TRADE IN'!$F218))</f>
        <v>4999</v>
      </c>
      <c r="L218" s="46">
        <f>IF(VLOOKUP($C218,REV!$C:$AA,10,0)-'TRADE IN'!$F218=0,"",(VLOOKUP($C218,REV!$C:$AA,10,0)-'TRADE IN'!$F218))</f>
        <v>4999</v>
      </c>
      <c r="M218" s="46">
        <f>IF(VLOOKUP($C218,REV!$C:$AA,11,0)-'TRADE IN'!$F218=0,"",(VLOOKUP($C218,REV!$C:$AA,11,0)-'TRADE IN'!$F218))</f>
        <v>4999</v>
      </c>
      <c r="N218" s="46">
        <f>IF(VLOOKUP($C218,REV!$C:$AA,12,0)-'TRADE IN'!$F218=0,"",(VLOOKUP($C218,REV!$C:$AA,12,0)-'TRADE IN'!$F218))</f>
        <v>4999</v>
      </c>
      <c r="O218" s="46">
        <f>IF(VLOOKUP($C218,REV!$C:$AA,13,0)-'TRADE IN'!$F218=0,"",(VLOOKUP($C218,REV!$C:$AA,13,0)-'TRADE IN'!$F218))</f>
        <v>4899</v>
      </c>
      <c r="P218" s="46">
        <f>IF(VLOOKUP($C218,REV!$C:$AA,14,0)-'TRADE IN'!$F218=0,"",(VLOOKUP($C218,REV!$C:$AA,14,0)-'TRADE IN'!$F218))</f>
        <v>4799</v>
      </c>
      <c r="Q218" s="46">
        <f>IF(VLOOKUP($C218,REV!$C:$AA,15,0)-'TRADE IN'!$F218=0,"",(VLOOKUP($C218,REV!$C:$AA,15,0)-'TRADE IN'!$F218))</f>
        <v>3599</v>
      </c>
      <c r="R218" s="46">
        <f>IF(VLOOKUP($C218,REV!$C:$AA,16,0)-'TRADE IN'!$F218=0,"",(VLOOKUP($C218,REV!$C:$AA,16,0)-'TRADE IN'!$F218))</f>
        <v>4899</v>
      </c>
      <c r="S218" s="46">
        <f>IF(VLOOKUP($C218,REV!$C:$AA,17,0)-'TRADE IN'!$F218=0,"",(VLOOKUP($C218,REV!$C:$AA,17,0)-'TRADE IN'!$F218))</f>
        <v>4799</v>
      </c>
      <c r="T218" s="46">
        <f>IF(VLOOKUP($C218,REV!$C:$AA,18,0)-'TRADE IN'!$F218=0,"",(VLOOKUP($C218,REV!$C:$AA,18,0)-'TRADE IN'!$F218))</f>
        <v>3599</v>
      </c>
      <c r="U218" s="46">
        <f>IF(VLOOKUP($C218,REV!$C:$AA,19,0)-'TRADE IN'!$F218=0,"",(VLOOKUP($C218,REV!$C:$AA,19,0)-'TRADE IN'!$F218))</f>
        <v>3599</v>
      </c>
      <c r="V218" s="46">
        <f>IF(VLOOKUP($C218,REV!$C:$AA,20,0)-'TRADE IN'!$F218=0,"",(VLOOKUP($C218,REV!$C:$AA,20,0)-'TRADE IN'!$F218))</f>
        <v>3599</v>
      </c>
      <c r="W218" s="46">
        <f>IF(VLOOKUP($C218,REV!$C:$AA,21,0)-'TRADE IN'!$F218=0,"",(VLOOKUP($C218,REV!$C:$AA,21,0)-'TRADE IN'!$F218))</f>
        <v>3599</v>
      </c>
      <c r="X218" s="46">
        <f>IF(VLOOKUP($C218,REV!$C:$AA,22,0)-'TRADE IN'!$F218=0,"",(VLOOKUP($C218,REV!$C:$AA,22,0)-'TRADE IN'!$F218))</f>
        <v>3299</v>
      </c>
      <c r="Y218" s="46">
        <f>IF(VLOOKUP($C218,REV!$C:$AA,23,0)-'TRADE IN'!$F218=0,"",(VLOOKUP($C218,REV!$C:$AA,23,0)-'TRADE IN'!$F218))</f>
        <v>1999</v>
      </c>
      <c r="Z218" s="46">
        <f>IF(VLOOKUP($C218,REV!$C:$AA,24,0)-'TRADE IN'!$F218=0,"",(VLOOKUP($C218,REV!$C:$AA,24,0)-'TRADE IN'!$F218))</f>
        <v>1999</v>
      </c>
      <c r="AA218" s="46">
        <f>IF(VLOOKUP($C218,REV!$C:$AA,25,0)-'TRADE IN'!$F218=0,"",(VLOOKUP($C218,REV!$C:$AA,25,0)-'TRADE IN'!$F218))</f>
        <v>1999</v>
      </c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7"/>
      <c r="AW218" s="48" t="str">
        <f>REV!AW218</f>
        <v>01.12.2026</v>
      </c>
      <c r="AX218" s="153" t="str">
        <f>VLOOKUP(C218,REV!C:AX,48,0)</f>
        <v>5G</v>
      </c>
    </row>
    <row r="219" spans="1:50" ht="22.5" customHeight="1">
      <c r="A219" s="41" t="s">
        <v>63</v>
      </c>
      <c r="B219" s="42" t="s">
        <v>64</v>
      </c>
      <c r="C219" s="43">
        <v>4016925</v>
      </c>
      <c r="D219" s="58" t="s">
        <v>358</v>
      </c>
      <c r="E219" s="58" t="s">
        <v>359</v>
      </c>
      <c r="F219" s="45"/>
      <c r="G219" s="45"/>
      <c r="H219" s="45"/>
      <c r="I219" s="45"/>
      <c r="J219" s="46">
        <f>IF(VLOOKUP($C219,REV!$C:$AA,8,0)-'TRADE IN'!$F219=0,"",(VLOOKUP($C219,REV!$C:$AA,8,0)-'TRADE IN'!$F219))</f>
        <v>6699</v>
      </c>
      <c r="K219" s="46">
        <f>IF(VLOOKUP($C219,REV!$C:$AA,9,0)-'TRADE IN'!$F219=0,"",(VLOOKUP($C219,REV!$C:$AA,9,0)-'TRADE IN'!$F219))</f>
        <v>6699</v>
      </c>
      <c r="L219" s="46">
        <f>IF(VLOOKUP($C219,REV!$C:$AA,10,0)-'TRADE IN'!$F219=0,"",(VLOOKUP($C219,REV!$C:$AA,10,0)-'TRADE IN'!$F219))</f>
        <v>6699</v>
      </c>
      <c r="M219" s="46">
        <f>IF(VLOOKUP($C219,REV!$C:$AA,11,0)-'TRADE IN'!$F219=0,"",(VLOOKUP($C219,REV!$C:$AA,11,0)-'TRADE IN'!$F219))</f>
        <v>6699</v>
      </c>
      <c r="N219" s="46">
        <f>IF(VLOOKUP($C219,REV!$C:$AA,12,0)-'TRADE IN'!$F219=0,"",(VLOOKUP($C219,REV!$C:$AA,12,0)-'TRADE IN'!$F219))</f>
        <v>6699</v>
      </c>
      <c r="O219" s="46">
        <f>IF(VLOOKUP($C219,REV!$C:$AA,13,0)-'TRADE IN'!$F219=0,"",(VLOOKUP($C219,REV!$C:$AA,13,0)-'TRADE IN'!$F219))</f>
        <v>6599</v>
      </c>
      <c r="P219" s="46">
        <f>IF(VLOOKUP($C219,REV!$C:$AA,14,0)-'TRADE IN'!$F219=0,"",(VLOOKUP($C219,REV!$C:$AA,14,0)-'TRADE IN'!$F219))</f>
        <v>6499</v>
      </c>
      <c r="Q219" s="46">
        <f>IF(VLOOKUP($C219,REV!$C:$AA,15,0)-'TRADE IN'!$F219=0,"",(VLOOKUP($C219,REV!$C:$AA,15,0)-'TRADE IN'!$F219))</f>
        <v>6399</v>
      </c>
      <c r="R219" s="46">
        <f>IF(VLOOKUP($C219,REV!$C:$AA,16,0)-'TRADE IN'!$F219=0,"",(VLOOKUP($C219,REV!$C:$AA,16,0)-'TRADE IN'!$F219))</f>
        <v>6599</v>
      </c>
      <c r="S219" s="46">
        <f>IF(VLOOKUP($C219,REV!$C:$AA,17,0)-'TRADE IN'!$F219=0,"",(VLOOKUP($C219,REV!$C:$AA,17,0)-'TRADE IN'!$F219))</f>
        <v>6499</v>
      </c>
      <c r="T219" s="46">
        <f>IF(VLOOKUP($C219,REV!$C:$AA,18,0)-'TRADE IN'!$F219=0,"",(VLOOKUP($C219,REV!$C:$AA,18,0)-'TRADE IN'!$F219))</f>
        <v>6399</v>
      </c>
      <c r="U219" s="46">
        <f>IF(VLOOKUP($C219,REV!$C:$AA,19,0)-'TRADE IN'!$F219=0,"",(VLOOKUP($C219,REV!$C:$AA,19,0)-'TRADE IN'!$F219))</f>
        <v>6399</v>
      </c>
      <c r="V219" s="46">
        <f>IF(VLOOKUP($C219,REV!$C:$AA,20,0)-'TRADE IN'!$F219=0,"",(VLOOKUP($C219,REV!$C:$AA,20,0)-'TRADE IN'!$F219))</f>
        <v>6399</v>
      </c>
      <c r="W219" s="46">
        <f>IF(VLOOKUP($C219,REV!$C:$AA,21,0)-'TRADE IN'!$F219=0,"",(VLOOKUP($C219,REV!$C:$AA,21,0)-'TRADE IN'!$F219))</f>
        <v>6399</v>
      </c>
      <c r="X219" s="46">
        <f>IF(VLOOKUP($C219,REV!$C:$AA,22,0)-'TRADE IN'!$F219=0,"",(VLOOKUP($C219,REV!$C:$AA,22,0)-'TRADE IN'!$F219))</f>
        <v>6299</v>
      </c>
      <c r="Y219" s="46">
        <f>IF(VLOOKUP($C219,REV!$C:$AA,23,0)-'TRADE IN'!$F219=0,"",(VLOOKUP($C219,REV!$C:$AA,23,0)-'TRADE IN'!$F219))</f>
        <v>4999</v>
      </c>
      <c r="Z219" s="46">
        <f>IF(VLOOKUP($C219,REV!$C:$AA,24,0)-'TRADE IN'!$F219=0,"",(VLOOKUP($C219,REV!$C:$AA,24,0)-'TRADE IN'!$F219))</f>
        <v>4999</v>
      </c>
      <c r="AA219" s="46">
        <f>IF(VLOOKUP($C219,REV!$C:$AA,25,0)-'TRADE IN'!$F219=0,"",(VLOOKUP($C219,REV!$C:$AA,25,0)-'TRADE IN'!$F219))</f>
        <v>4999</v>
      </c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7"/>
      <c r="AW219" s="48" t="str">
        <f>REV!AW219</f>
        <v>01.12.2026</v>
      </c>
      <c r="AX219" s="153" t="str">
        <f>VLOOKUP(C219,REV!C:AX,48,0)</f>
        <v>5G</v>
      </c>
    </row>
    <row r="220" spans="1:50" ht="22.5" customHeight="1">
      <c r="A220" s="41" t="s">
        <v>63</v>
      </c>
      <c r="B220" s="42" t="s">
        <v>64</v>
      </c>
      <c r="C220" s="43">
        <v>4017990</v>
      </c>
      <c r="D220" s="58" t="s">
        <v>360</v>
      </c>
      <c r="E220" s="58" t="s">
        <v>361</v>
      </c>
      <c r="F220" s="45"/>
      <c r="G220" s="45"/>
      <c r="H220" s="45"/>
      <c r="I220" s="45"/>
      <c r="J220" s="46">
        <f>IF(VLOOKUP($C220,REV!$C:$AA,8,0)-'TRADE IN'!$F220=0,"",(VLOOKUP($C220,REV!$C:$AA,8,0)-'TRADE IN'!$F220))</f>
        <v>10799</v>
      </c>
      <c r="K220" s="46">
        <f>IF(VLOOKUP($C220,REV!$C:$AA,9,0)-'TRADE IN'!$F220=0,"",(VLOOKUP($C220,REV!$C:$AA,9,0)-'TRADE IN'!$F220))</f>
        <v>10799</v>
      </c>
      <c r="L220" s="46">
        <f>IF(VLOOKUP($C220,REV!$C:$AA,10,0)-'TRADE IN'!$F220=0,"",(VLOOKUP($C220,REV!$C:$AA,10,0)-'TRADE IN'!$F220))</f>
        <v>10799</v>
      </c>
      <c r="M220" s="46">
        <f>IF(VLOOKUP($C220,REV!$C:$AA,11,0)-'TRADE IN'!$F220=0,"",(VLOOKUP($C220,REV!$C:$AA,11,0)-'TRADE IN'!$F220))</f>
        <v>10799</v>
      </c>
      <c r="N220" s="46">
        <f>IF(VLOOKUP($C220,REV!$C:$AA,12,0)-'TRADE IN'!$F220=0,"",(VLOOKUP($C220,REV!$C:$AA,12,0)-'TRADE IN'!$F220))</f>
        <v>10799</v>
      </c>
      <c r="O220" s="46">
        <f>IF(VLOOKUP($C220,REV!$C:$AA,13,0)-'TRADE IN'!$F220=0,"",(VLOOKUP($C220,REV!$C:$AA,13,0)-'TRADE IN'!$F220))</f>
        <v>10699</v>
      </c>
      <c r="P220" s="46">
        <f>IF(VLOOKUP($C220,REV!$C:$AA,14,0)-'TRADE IN'!$F220=0,"",(VLOOKUP($C220,REV!$C:$AA,14,0)-'TRADE IN'!$F220))</f>
        <v>10599</v>
      </c>
      <c r="Q220" s="46">
        <f>IF(VLOOKUP($C220,REV!$C:$AA,15,0)-'TRADE IN'!$F220=0,"",(VLOOKUP($C220,REV!$C:$AA,15,0)-'TRADE IN'!$F220))</f>
        <v>6499</v>
      </c>
      <c r="R220" s="46">
        <f>IF(VLOOKUP($C220,REV!$C:$AA,16,0)-'TRADE IN'!$F220=0,"",(VLOOKUP($C220,REV!$C:$AA,16,0)-'TRADE IN'!$F220))</f>
        <v>10699</v>
      </c>
      <c r="S220" s="46">
        <f>IF(VLOOKUP($C220,REV!$C:$AA,17,0)-'TRADE IN'!$F220=0,"",(VLOOKUP($C220,REV!$C:$AA,17,0)-'TRADE IN'!$F220))</f>
        <v>10599</v>
      </c>
      <c r="T220" s="46">
        <f>IF(VLOOKUP($C220,REV!$C:$AA,18,0)-'TRADE IN'!$F220=0,"",(VLOOKUP($C220,REV!$C:$AA,18,0)-'TRADE IN'!$F220))</f>
        <v>6499</v>
      </c>
      <c r="U220" s="46">
        <f>IF(VLOOKUP($C220,REV!$C:$AA,19,0)-'TRADE IN'!$F220=0,"",(VLOOKUP($C220,REV!$C:$AA,19,0)-'TRADE IN'!$F220))</f>
        <v>6499</v>
      </c>
      <c r="V220" s="46">
        <f>IF(VLOOKUP($C220,REV!$C:$AA,20,0)-'TRADE IN'!$F220=0,"",(VLOOKUP($C220,REV!$C:$AA,20,0)-'TRADE IN'!$F220))</f>
        <v>6499</v>
      </c>
      <c r="W220" s="46">
        <f>IF(VLOOKUP($C220,REV!$C:$AA,21,0)-'TRADE IN'!$F220=0,"",(VLOOKUP($C220,REV!$C:$AA,21,0)-'TRADE IN'!$F220))</f>
        <v>6499</v>
      </c>
      <c r="X220" s="46">
        <f>IF(VLOOKUP($C220,REV!$C:$AA,22,0)-'TRADE IN'!$F220=0,"",(VLOOKUP($C220,REV!$C:$AA,22,0)-'TRADE IN'!$F220))</f>
        <v>6399</v>
      </c>
      <c r="Y220" s="46">
        <f>IF(VLOOKUP($C220,REV!$C:$AA,23,0)-'TRADE IN'!$F220=0,"",(VLOOKUP($C220,REV!$C:$AA,23,0)-'TRADE IN'!$F220))</f>
        <v>5799</v>
      </c>
      <c r="Z220" s="46">
        <f>IF(VLOOKUP($C220,REV!$C:$AA,24,0)-'TRADE IN'!$F220=0,"",(VLOOKUP($C220,REV!$C:$AA,24,0)-'TRADE IN'!$F220))</f>
        <v>5799</v>
      </c>
      <c r="AA220" s="46">
        <f>IF(VLOOKUP($C220,REV!$C:$AA,25,0)-'TRADE IN'!$F220=0,"",(VLOOKUP($C220,REV!$C:$AA,25,0)-'TRADE IN'!$F220))</f>
        <v>5499</v>
      </c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7"/>
      <c r="AW220" s="48" t="str">
        <f>REV!AW220</f>
        <v>01.12.2026</v>
      </c>
      <c r="AX220" s="153" t="str">
        <f>VLOOKUP(C220,REV!C:AX,48,0)</f>
        <v>5G</v>
      </c>
    </row>
    <row r="221" spans="1:50" ht="22.5" customHeight="1">
      <c r="A221" s="41" t="s">
        <v>63</v>
      </c>
      <c r="B221" s="42" t="s">
        <v>64</v>
      </c>
      <c r="C221" s="43">
        <v>4017991</v>
      </c>
      <c r="D221" s="58" t="s">
        <v>360</v>
      </c>
      <c r="E221" s="58" t="s">
        <v>362</v>
      </c>
      <c r="F221" s="45"/>
      <c r="G221" s="45"/>
      <c r="H221" s="45"/>
      <c r="I221" s="45"/>
      <c r="J221" s="46">
        <f>IF(VLOOKUP($C221,REV!$C:$AA,8,0)-'TRADE IN'!$F221=0,"",(VLOOKUP($C221,REV!$C:$AA,8,0)-'TRADE IN'!$F221))</f>
        <v>10799</v>
      </c>
      <c r="K221" s="46">
        <f>IF(VLOOKUP($C221,REV!$C:$AA,9,0)-'TRADE IN'!$F221=0,"",(VLOOKUP($C221,REV!$C:$AA,9,0)-'TRADE IN'!$F221))</f>
        <v>10799</v>
      </c>
      <c r="L221" s="46">
        <f>IF(VLOOKUP($C221,REV!$C:$AA,10,0)-'TRADE IN'!$F221=0,"",(VLOOKUP($C221,REV!$C:$AA,10,0)-'TRADE IN'!$F221))</f>
        <v>10799</v>
      </c>
      <c r="M221" s="46">
        <f>IF(VLOOKUP($C221,REV!$C:$AA,11,0)-'TRADE IN'!$F221=0,"",(VLOOKUP($C221,REV!$C:$AA,11,0)-'TRADE IN'!$F221))</f>
        <v>10799</v>
      </c>
      <c r="N221" s="46">
        <f>IF(VLOOKUP($C221,REV!$C:$AA,12,0)-'TRADE IN'!$F221=0,"",(VLOOKUP($C221,REV!$C:$AA,12,0)-'TRADE IN'!$F221))</f>
        <v>10799</v>
      </c>
      <c r="O221" s="46">
        <f>IF(VLOOKUP($C221,REV!$C:$AA,13,0)-'TRADE IN'!$F221=0,"",(VLOOKUP($C221,REV!$C:$AA,13,0)-'TRADE IN'!$F221))</f>
        <v>10699</v>
      </c>
      <c r="P221" s="46">
        <f>IF(VLOOKUP($C221,REV!$C:$AA,14,0)-'TRADE IN'!$F221=0,"",(VLOOKUP($C221,REV!$C:$AA,14,0)-'TRADE IN'!$F221))</f>
        <v>10599</v>
      </c>
      <c r="Q221" s="46">
        <f>IF(VLOOKUP($C221,REV!$C:$AA,15,0)-'TRADE IN'!$F221=0,"",(VLOOKUP($C221,REV!$C:$AA,15,0)-'TRADE IN'!$F221))</f>
        <v>6499</v>
      </c>
      <c r="R221" s="46">
        <f>IF(VLOOKUP($C221,REV!$C:$AA,16,0)-'TRADE IN'!$F221=0,"",(VLOOKUP($C221,REV!$C:$AA,16,0)-'TRADE IN'!$F221))</f>
        <v>10699</v>
      </c>
      <c r="S221" s="46">
        <f>IF(VLOOKUP($C221,REV!$C:$AA,17,0)-'TRADE IN'!$F221=0,"",(VLOOKUP($C221,REV!$C:$AA,17,0)-'TRADE IN'!$F221))</f>
        <v>10599</v>
      </c>
      <c r="T221" s="46">
        <f>IF(VLOOKUP($C221,REV!$C:$AA,18,0)-'TRADE IN'!$F221=0,"",(VLOOKUP($C221,REV!$C:$AA,18,0)-'TRADE IN'!$F221))</f>
        <v>6499</v>
      </c>
      <c r="U221" s="46">
        <f>IF(VLOOKUP($C221,REV!$C:$AA,19,0)-'TRADE IN'!$F221=0,"",(VLOOKUP($C221,REV!$C:$AA,19,0)-'TRADE IN'!$F221))</f>
        <v>6499</v>
      </c>
      <c r="V221" s="46">
        <f>IF(VLOOKUP($C221,REV!$C:$AA,20,0)-'TRADE IN'!$F221=0,"",(VLOOKUP($C221,REV!$C:$AA,20,0)-'TRADE IN'!$F221))</f>
        <v>6499</v>
      </c>
      <c r="W221" s="46">
        <f>IF(VLOOKUP($C221,REV!$C:$AA,21,0)-'TRADE IN'!$F221=0,"",(VLOOKUP($C221,REV!$C:$AA,21,0)-'TRADE IN'!$F221))</f>
        <v>6499</v>
      </c>
      <c r="X221" s="46">
        <f>IF(VLOOKUP($C221,REV!$C:$AA,22,0)-'TRADE IN'!$F221=0,"",(VLOOKUP($C221,REV!$C:$AA,22,0)-'TRADE IN'!$F221))</f>
        <v>6399</v>
      </c>
      <c r="Y221" s="46">
        <f>IF(VLOOKUP($C221,REV!$C:$AA,23,0)-'TRADE IN'!$F221=0,"",(VLOOKUP($C221,REV!$C:$AA,23,0)-'TRADE IN'!$F221))</f>
        <v>5799</v>
      </c>
      <c r="Z221" s="46">
        <f>IF(VLOOKUP($C221,REV!$C:$AA,24,0)-'TRADE IN'!$F221=0,"",(VLOOKUP($C221,REV!$C:$AA,24,0)-'TRADE IN'!$F221))</f>
        <v>5799</v>
      </c>
      <c r="AA221" s="46">
        <f>IF(VLOOKUP($C221,REV!$C:$AA,25,0)-'TRADE IN'!$F221=0,"",(VLOOKUP($C221,REV!$C:$AA,25,0)-'TRADE IN'!$F221))</f>
        <v>5499</v>
      </c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7"/>
      <c r="AW221" s="48" t="str">
        <f>REV!AW221</f>
        <v>01.12.2026</v>
      </c>
      <c r="AX221" s="153" t="str">
        <f>VLOOKUP(C221,REV!C:AX,48,0)</f>
        <v>5G</v>
      </c>
    </row>
    <row r="222" spans="1:50" ht="22.5" customHeight="1">
      <c r="A222" s="41" t="s">
        <v>63</v>
      </c>
      <c r="B222" s="42" t="s">
        <v>64</v>
      </c>
      <c r="C222" s="43">
        <v>4017960</v>
      </c>
      <c r="D222" s="58" t="s">
        <v>363</v>
      </c>
      <c r="E222" s="58" t="s">
        <v>364</v>
      </c>
      <c r="F222" s="45"/>
      <c r="G222" s="45"/>
      <c r="H222" s="45"/>
      <c r="I222" s="45"/>
      <c r="J222" s="46">
        <f>IF(VLOOKUP($C222,REV!$C:$AA,8,0)-'TRADE IN'!$F222=0,"",(VLOOKUP($C222,REV!$C:$AA,8,0)-'TRADE IN'!$F222))</f>
        <v>13799</v>
      </c>
      <c r="K222" s="46">
        <f>IF(VLOOKUP($C222,REV!$C:$AA,9,0)-'TRADE IN'!$F222=0,"",(VLOOKUP($C222,REV!$C:$AA,9,0)-'TRADE IN'!$F222))</f>
        <v>13799</v>
      </c>
      <c r="L222" s="46">
        <f>IF(VLOOKUP($C222,REV!$C:$AA,10,0)-'TRADE IN'!$F222=0,"",(VLOOKUP($C222,REV!$C:$AA,10,0)-'TRADE IN'!$F222))</f>
        <v>13799</v>
      </c>
      <c r="M222" s="46">
        <f>IF(VLOOKUP($C222,REV!$C:$AA,11,0)-'TRADE IN'!$F222=0,"",(VLOOKUP($C222,REV!$C:$AA,11,0)-'TRADE IN'!$F222))</f>
        <v>13799</v>
      </c>
      <c r="N222" s="46">
        <f>IF(VLOOKUP($C222,REV!$C:$AA,12,0)-'TRADE IN'!$F222=0,"",(VLOOKUP($C222,REV!$C:$AA,12,0)-'TRADE IN'!$F222))</f>
        <v>13799</v>
      </c>
      <c r="O222" s="46">
        <f>IF(VLOOKUP($C222,REV!$C:$AA,13,0)-'TRADE IN'!$F222=0,"",(VLOOKUP($C222,REV!$C:$AA,13,0)-'TRADE IN'!$F222))</f>
        <v>13699</v>
      </c>
      <c r="P222" s="46">
        <f>IF(VLOOKUP($C222,REV!$C:$AA,14,0)-'TRADE IN'!$F222=0,"",(VLOOKUP($C222,REV!$C:$AA,14,0)-'TRADE IN'!$F222))</f>
        <v>13599</v>
      </c>
      <c r="Q222" s="46">
        <f>IF(VLOOKUP($C222,REV!$C:$AA,15,0)-'TRADE IN'!$F222=0,"",(VLOOKUP($C222,REV!$C:$AA,15,0)-'TRADE IN'!$F222))</f>
        <v>7999</v>
      </c>
      <c r="R222" s="46">
        <f>IF(VLOOKUP($C222,REV!$C:$AA,16,0)-'TRADE IN'!$F222=0,"",(VLOOKUP($C222,REV!$C:$AA,16,0)-'TRADE IN'!$F222))</f>
        <v>13699</v>
      </c>
      <c r="S222" s="46">
        <f>IF(VLOOKUP($C222,REV!$C:$AA,17,0)-'TRADE IN'!$F222=0,"",(VLOOKUP($C222,REV!$C:$AA,17,0)-'TRADE IN'!$F222))</f>
        <v>13599</v>
      </c>
      <c r="T222" s="46">
        <f>IF(VLOOKUP($C222,REV!$C:$AA,18,0)-'TRADE IN'!$F222=0,"",(VLOOKUP($C222,REV!$C:$AA,18,0)-'TRADE IN'!$F222))</f>
        <v>7999</v>
      </c>
      <c r="U222" s="46">
        <f>IF(VLOOKUP($C222,REV!$C:$AA,19,0)-'TRADE IN'!$F222=0,"",(VLOOKUP($C222,REV!$C:$AA,19,0)-'TRADE IN'!$F222))</f>
        <v>7999</v>
      </c>
      <c r="V222" s="46">
        <f>IF(VLOOKUP($C222,REV!$C:$AA,20,0)-'TRADE IN'!$F222=0,"",(VLOOKUP($C222,REV!$C:$AA,20,0)-'TRADE IN'!$F222))</f>
        <v>7999</v>
      </c>
      <c r="W222" s="46">
        <f>IF(VLOOKUP($C222,REV!$C:$AA,21,0)-'TRADE IN'!$F222=0,"",(VLOOKUP($C222,REV!$C:$AA,21,0)-'TRADE IN'!$F222))</f>
        <v>7999</v>
      </c>
      <c r="X222" s="46">
        <f>IF(VLOOKUP($C222,REV!$C:$AA,22,0)-'TRADE IN'!$F222=0,"",(VLOOKUP($C222,REV!$C:$AA,22,0)-'TRADE IN'!$F222))</f>
        <v>7899</v>
      </c>
      <c r="Y222" s="46">
        <f>IF(VLOOKUP($C222,REV!$C:$AA,23,0)-'TRADE IN'!$F222=0,"",(VLOOKUP($C222,REV!$C:$AA,23,0)-'TRADE IN'!$F222))</f>
        <v>7299</v>
      </c>
      <c r="Z222" s="46">
        <f>IF(VLOOKUP($C222,REV!$C:$AA,24,0)-'TRADE IN'!$F222=0,"",(VLOOKUP($C222,REV!$C:$AA,24,0)-'TRADE IN'!$F222))</f>
        <v>7299</v>
      </c>
      <c r="AA222" s="46">
        <f>IF(VLOOKUP($C222,REV!$C:$AA,25,0)-'TRADE IN'!$F222=0,"",(VLOOKUP($C222,REV!$C:$AA,25,0)-'TRADE IN'!$F222))</f>
        <v>6999</v>
      </c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7"/>
      <c r="AW222" s="48" t="str">
        <f>REV!AW222</f>
        <v>01.12.2026</v>
      </c>
      <c r="AX222" s="153" t="str">
        <f>VLOOKUP(C222,REV!C:AX,48,0)</f>
        <v>5G</v>
      </c>
    </row>
    <row r="223" spans="1:50" ht="22.5" customHeight="1">
      <c r="A223" s="41" t="s">
        <v>63</v>
      </c>
      <c r="B223" s="42" t="s">
        <v>64</v>
      </c>
      <c r="C223" s="43">
        <v>4017738</v>
      </c>
      <c r="D223" s="58" t="s">
        <v>365</v>
      </c>
      <c r="E223" s="58" t="s">
        <v>366</v>
      </c>
      <c r="F223" s="45"/>
      <c r="G223" s="45"/>
      <c r="H223" s="45"/>
      <c r="I223" s="45"/>
      <c r="J223" s="46">
        <f>IF(VLOOKUP($C223,REV!$C:$AA,8,0)-'TRADE IN'!$F223=0,"",(VLOOKUP($C223,REV!$C:$AA,8,0)-'TRADE IN'!$F223))</f>
        <v>6599</v>
      </c>
      <c r="K223" s="46">
        <f>IF(VLOOKUP($C223,REV!$C:$AA,9,0)-'TRADE IN'!$F223=0,"",(VLOOKUP($C223,REV!$C:$AA,9,0)-'TRADE IN'!$F223))</f>
        <v>6599</v>
      </c>
      <c r="L223" s="46">
        <f>IF(VLOOKUP($C223,REV!$C:$AA,10,0)-'TRADE IN'!$F223=0,"",(VLOOKUP($C223,REV!$C:$AA,10,0)-'TRADE IN'!$F223))</f>
        <v>6599</v>
      </c>
      <c r="M223" s="46">
        <f>IF(VLOOKUP($C223,REV!$C:$AA,11,0)-'TRADE IN'!$F223=0,"",(VLOOKUP($C223,REV!$C:$AA,11,0)-'TRADE IN'!$F223))</f>
        <v>6599</v>
      </c>
      <c r="N223" s="46">
        <f>IF(VLOOKUP($C223,REV!$C:$AA,12,0)-'TRADE IN'!$F223=0,"",(VLOOKUP($C223,REV!$C:$AA,12,0)-'TRADE IN'!$F223))</f>
        <v>6599</v>
      </c>
      <c r="O223" s="46">
        <f>IF(VLOOKUP($C223,REV!$C:$AA,13,0)-'TRADE IN'!$F223=0,"",(VLOOKUP($C223,REV!$C:$AA,13,0)-'TRADE IN'!$F223))</f>
        <v>6499</v>
      </c>
      <c r="P223" s="46">
        <f>IF(VLOOKUP($C223,REV!$C:$AA,14,0)-'TRADE IN'!$F223=0,"",(VLOOKUP($C223,REV!$C:$AA,14,0)-'TRADE IN'!$F223))</f>
        <v>6399</v>
      </c>
      <c r="Q223" s="46">
        <f>IF(VLOOKUP($C223,REV!$C:$AA,15,0)-'TRADE IN'!$F223=0,"",(VLOOKUP($C223,REV!$C:$AA,15,0)-'TRADE IN'!$F223))</f>
        <v>5999</v>
      </c>
      <c r="R223" s="46">
        <f>IF(VLOOKUP($C223,REV!$C:$AA,16,0)-'TRADE IN'!$F223=0,"",(VLOOKUP($C223,REV!$C:$AA,16,0)-'TRADE IN'!$F223))</f>
        <v>6499</v>
      </c>
      <c r="S223" s="46">
        <f>IF(VLOOKUP($C223,REV!$C:$AA,17,0)-'TRADE IN'!$F223=0,"",(VLOOKUP($C223,REV!$C:$AA,17,0)-'TRADE IN'!$F223))</f>
        <v>6399</v>
      </c>
      <c r="T223" s="46">
        <f>IF(VLOOKUP($C223,REV!$C:$AA,18,0)-'TRADE IN'!$F223=0,"",(VLOOKUP($C223,REV!$C:$AA,18,0)-'TRADE IN'!$F223))</f>
        <v>5999</v>
      </c>
      <c r="U223" s="46">
        <f>IF(VLOOKUP($C223,REV!$C:$AA,19,0)-'TRADE IN'!$F223=0,"",(VLOOKUP($C223,REV!$C:$AA,19,0)-'TRADE IN'!$F223))</f>
        <v>5999</v>
      </c>
      <c r="V223" s="46">
        <f>IF(VLOOKUP($C223,REV!$C:$AA,20,0)-'TRADE IN'!$F223=0,"",(VLOOKUP($C223,REV!$C:$AA,20,0)-'TRADE IN'!$F223))</f>
        <v>5999</v>
      </c>
      <c r="W223" s="46">
        <f>IF(VLOOKUP($C223,REV!$C:$AA,21,0)-'TRADE IN'!$F223=0,"",(VLOOKUP($C223,REV!$C:$AA,21,0)-'TRADE IN'!$F223))</f>
        <v>5999</v>
      </c>
      <c r="X223" s="46">
        <f>IF(VLOOKUP($C223,REV!$C:$AA,22,0)-'TRADE IN'!$F223=0,"",(VLOOKUP($C223,REV!$C:$AA,22,0)-'TRADE IN'!$F223))</f>
        <v>5899</v>
      </c>
      <c r="Y223" s="46">
        <f>IF(VLOOKUP($C223,REV!$C:$AA,23,0)-'TRADE IN'!$F223=0,"",(VLOOKUP($C223,REV!$C:$AA,23,0)-'TRADE IN'!$F223))</f>
        <v>5199</v>
      </c>
      <c r="Z223" s="46">
        <f>IF(VLOOKUP($C223,REV!$C:$AA,24,0)-'TRADE IN'!$F223=0,"",(VLOOKUP($C223,REV!$C:$AA,24,0)-'TRADE IN'!$F223))</f>
        <v>5199</v>
      </c>
      <c r="AA223" s="46">
        <f>IF(VLOOKUP($C223,REV!$C:$AA,25,0)-'TRADE IN'!$F223=0,"",(VLOOKUP($C223,REV!$C:$AA,25,0)-'TRADE IN'!$F223))</f>
        <v>4999</v>
      </c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7"/>
      <c r="AW223" s="48" t="str">
        <f>REV!AW223</f>
        <v>01.12.2026</v>
      </c>
      <c r="AX223" s="153" t="str">
        <f>VLOOKUP(C223,REV!C:AX,48,0)</f>
        <v>5G</v>
      </c>
    </row>
    <row r="224" spans="1:50" ht="22.5" customHeight="1">
      <c r="A224" s="57" t="s">
        <v>247</v>
      </c>
      <c r="B224" s="42" t="s">
        <v>64</v>
      </c>
      <c r="C224" s="43">
        <v>4014215</v>
      </c>
      <c r="D224" s="58" t="s">
        <v>367</v>
      </c>
      <c r="E224" s="58" t="s">
        <v>368</v>
      </c>
      <c r="F224" s="45"/>
      <c r="G224" s="45"/>
      <c r="H224" s="45"/>
      <c r="I224" s="45"/>
      <c r="J224" s="46">
        <f>IF(VLOOKUP($C224,REV!$C:$AA,8,0)-'TRADE IN'!$F224=0,"",(VLOOKUP($C224,REV!$C:$AA,8,0)-'TRADE IN'!$F224))</f>
        <v>299</v>
      </c>
      <c r="K224" s="46">
        <f>IF(VLOOKUP($C224,REV!$C:$AA,9,0)-'TRADE IN'!$F224=0,"",(VLOOKUP($C224,REV!$C:$AA,9,0)-'TRADE IN'!$F224))</f>
        <v>299</v>
      </c>
      <c r="L224" s="46">
        <f>IF(VLOOKUP($C224,REV!$C:$AA,10,0)-'TRADE IN'!$F224=0,"",(VLOOKUP($C224,REV!$C:$AA,10,0)-'TRADE IN'!$F224))</f>
        <v>299</v>
      </c>
      <c r="M224" s="46">
        <f>IF(VLOOKUP($C224,REV!$C:$AA,11,0)-'TRADE IN'!$F224=0,"",(VLOOKUP($C224,REV!$C:$AA,11,0)-'TRADE IN'!$F224))</f>
        <v>299</v>
      </c>
      <c r="N224" s="46">
        <f>IF(VLOOKUP($C224,REV!$C:$AA,12,0)-'TRADE IN'!$F224=0,"",(VLOOKUP($C224,REV!$C:$AA,12,0)-'TRADE IN'!$F224))</f>
        <v>299</v>
      </c>
      <c r="O224" s="46">
        <f>IF(VLOOKUP($C224,REV!$C:$AA,13,0)-'TRADE IN'!$F224=0,"",(VLOOKUP($C224,REV!$C:$AA,13,0)-'TRADE IN'!$F224))</f>
        <v>299</v>
      </c>
      <c r="P224" s="46">
        <f>IF(VLOOKUP($C224,REV!$C:$AA,14,0)-'TRADE IN'!$F224=0,"",(VLOOKUP($C224,REV!$C:$AA,14,0)-'TRADE IN'!$F224))</f>
        <v>299</v>
      </c>
      <c r="Q224" s="46">
        <f>IF(VLOOKUP($C224,REV!$C:$AA,15,0)-'TRADE IN'!$F224=0,"",(VLOOKUP($C224,REV!$C:$AA,15,0)-'TRADE IN'!$F224))</f>
        <v>299</v>
      </c>
      <c r="R224" s="46">
        <f>IF(VLOOKUP($C224,REV!$C:$AA,16,0)-'TRADE IN'!$F224=0,"",(VLOOKUP($C224,REV!$C:$AA,16,0)-'TRADE IN'!$F224))</f>
        <v>299</v>
      </c>
      <c r="S224" s="46">
        <f>IF(VLOOKUP($C224,REV!$C:$AA,17,0)-'TRADE IN'!$F224=0,"",(VLOOKUP($C224,REV!$C:$AA,17,0)-'TRADE IN'!$F224))</f>
        <v>299</v>
      </c>
      <c r="T224" s="46">
        <f>IF(VLOOKUP($C224,REV!$C:$AA,18,0)-'TRADE IN'!$F224=0,"",(VLOOKUP($C224,REV!$C:$AA,18,0)-'TRADE IN'!$F224))</f>
        <v>299</v>
      </c>
      <c r="U224" s="46">
        <f>IF(VLOOKUP($C224,REV!$C:$AA,19,0)-'TRADE IN'!$F224=0,"",(VLOOKUP($C224,REV!$C:$AA,19,0)-'TRADE IN'!$F224))</f>
        <v>299</v>
      </c>
      <c r="V224" s="46">
        <f>IF(VLOOKUP($C224,REV!$C:$AA,20,0)-'TRADE IN'!$F224=0,"",(VLOOKUP($C224,REV!$C:$AA,20,0)-'TRADE IN'!$F224))</f>
        <v>299</v>
      </c>
      <c r="W224" s="46">
        <f>IF(VLOOKUP($C224,REV!$C:$AA,21,0)-'TRADE IN'!$F224=0,"",(VLOOKUP($C224,REV!$C:$AA,21,0)-'TRADE IN'!$F224))</f>
        <v>299</v>
      </c>
      <c r="X224" s="46">
        <f>IF(VLOOKUP($C224,REV!$C:$AA,22,0)-'TRADE IN'!$F224=0,"",(VLOOKUP($C224,REV!$C:$AA,22,0)-'TRADE IN'!$F224))</f>
        <v>299</v>
      </c>
      <c r="Y224" s="46">
        <f>IF(VLOOKUP($C224,REV!$C:$AA,23,0)-'TRADE IN'!$F224=0,"",(VLOOKUP($C224,REV!$C:$AA,23,0)-'TRADE IN'!$F224))</f>
        <v>299</v>
      </c>
      <c r="Z224" s="46">
        <f>IF(VLOOKUP($C224,REV!$C:$AA,24,0)-'TRADE IN'!$F224=0,"",(VLOOKUP($C224,REV!$C:$AA,24,0)-'TRADE IN'!$F224))</f>
        <v>299</v>
      </c>
      <c r="AA224" s="46">
        <f>IF(VLOOKUP($C224,REV!$C:$AA,25,0)-'TRADE IN'!$F224=0,"",(VLOOKUP($C224,REV!$C:$AA,25,0)-'TRADE IN'!$F224))</f>
        <v>299</v>
      </c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7"/>
      <c r="AW224" s="48" t="str">
        <f>REV!AW224</f>
        <v>01.12.2026</v>
      </c>
      <c r="AX224" s="153" t="str">
        <f>VLOOKUP(C224,REV!C:AX,48,0)</f>
        <v>4G</v>
      </c>
    </row>
    <row r="225" spans="1:50" ht="22.5" customHeight="1">
      <c r="A225" s="57" t="s">
        <v>247</v>
      </c>
      <c r="B225" s="42" t="s">
        <v>64</v>
      </c>
      <c r="C225" s="43">
        <v>4014569</v>
      </c>
      <c r="D225" s="58" t="s">
        <v>369</v>
      </c>
      <c r="E225" s="58" t="s">
        <v>370</v>
      </c>
      <c r="F225" s="45"/>
      <c r="G225" s="45"/>
      <c r="H225" s="45"/>
      <c r="I225" s="45"/>
      <c r="J225" s="46">
        <f>IF(VLOOKUP($C225,REV!$C:$AA,8,0)-'TRADE IN'!$F225=0,"",(VLOOKUP($C225,REV!$C:$AA,8,0)-'TRADE IN'!$F225))</f>
        <v>199</v>
      </c>
      <c r="K225" s="46">
        <f>IF(VLOOKUP($C225,REV!$C:$AA,9,0)-'TRADE IN'!$F225=0,"",(VLOOKUP($C225,REV!$C:$AA,9,0)-'TRADE IN'!$F225))</f>
        <v>199</v>
      </c>
      <c r="L225" s="46">
        <f>IF(VLOOKUP($C225,REV!$C:$AA,10,0)-'TRADE IN'!$F225=0,"",(VLOOKUP($C225,REV!$C:$AA,10,0)-'TRADE IN'!$F225))</f>
        <v>199</v>
      </c>
      <c r="M225" s="46">
        <f>IF(VLOOKUP($C225,REV!$C:$AA,11,0)-'TRADE IN'!$F225=0,"",(VLOOKUP($C225,REV!$C:$AA,11,0)-'TRADE IN'!$F225))</f>
        <v>199</v>
      </c>
      <c r="N225" s="46">
        <f>IF(VLOOKUP($C225,REV!$C:$AA,12,0)-'TRADE IN'!$F225=0,"",(VLOOKUP($C225,REV!$C:$AA,12,0)-'TRADE IN'!$F225))</f>
        <v>199</v>
      </c>
      <c r="O225" s="46">
        <f>IF(VLOOKUP($C225,REV!$C:$AA,13,0)-'TRADE IN'!$F225=0,"",(VLOOKUP($C225,REV!$C:$AA,13,0)-'TRADE IN'!$F225))</f>
        <v>199</v>
      </c>
      <c r="P225" s="46">
        <f>IF(VLOOKUP($C225,REV!$C:$AA,14,0)-'TRADE IN'!$F225=0,"",(VLOOKUP($C225,REV!$C:$AA,14,0)-'TRADE IN'!$F225))</f>
        <v>199</v>
      </c>
      <c r="Q225" s="46">
        <f>IF(VLOOKUP($C225,REV!$C:$AA,15,0)-'TRADE IN'!$F225=0,"",(VLOOKUP($C225,REV!$C:$AA,15,0)-'TRADE IN'!$F225))</f>
        <v>199</v>
      </c>
      <c r="R225" s="46">
        <f>IF(VLOOKUP($C225,REV!$C:$AA,16,0)-'TRADE IN'!$F225=0,"",(VLOOKUP($C225,REV!$C:$AA,16,0)-'TRADE IN'!$F225))</f>
        <v>199</v>
      </c>
      <c r="S225" s="46">
        <f>IF(VLOOKUP($C225,REV!$C:$AA,17,0)-'TRADE IN'!$F225=0,"",(VLOOKUP($C225,REV!$C:$AA,17,0)-'TRADE IN'!$F225))</f>
        <v>199</v>
      </c>
      <c r="T225" s="46">
        <f>IF(VLOOKUP($C225,REV!$C:$AA,18,0)-'TRADE IN'!$F225=0,"",(VLOOKUP($C225,REV!$C:$AA,18,0)-'TRADE IN'!$F225))</f>
        <v>199</v>
      </c>
      <c r="U225" s="46">
        <f>IF(VLOOKUP($C225,REV!$C:$AA,19,0)-'TRADE IN'!$F225=0,"",(VLOOKUP($C225,REV!$C:$AA,19,0)-'TRADE IN'!$F225))</f>
        <v>199</v>
      </c>
      <c r="V225" s="46">
        <f>IF(VLOOKUP($C225,REV!$C:$AA,20,0)-'TRADE IN'!$F225=0,"",(VLOOKUP($C225,REV!$C:$AA,20,0)-'TRADE IN'!$F225))</f>
        <v>199</v>
      </c>
      <c r="W225" s="46">
        <f>IF(VLOOKUP($C225,REV!$C:$AA,21,0)-'TRADE IN'!$F225=0,"",(VLOOKUP($C225,REV!$C:$AA,21,0)-'TRADE IN'!$F225))</f>
        <v>199</v>
      </c>
      <c r="X225" s="46">
        <f>IF(VLOOKUP($C225,REV!$C:$AA,22,0)-'TRADE IN'!$F225=0,"",(VLOOKUP($C225,REV!$C:$AA,22,0)-'TRADE IN'!$F225))</f>
        <v>199</v>
      </c>
      <c r="Y225" s="46">
        <f>IF(VLOOKUP($C225,REV!$C:$AA,23,0)-'TRADE IN'!$F225=0,"",(VLOOKUP($C225,REV!$C:$AA,23,0)-'TRADE IN'!$F225))</f>
        <v>199</v>
      </c>
      <c r="Z225" s="46">
        <f>IF(VLOOKUP($C225,REV!$C:$AA,24,0)-'TRADE IN'!$F225=0,"",(VLOOKUP($C225,REV!$C:$AA,24,0)-'TRADE IN'!$F225))</f>
        <v>199</v>
      </c>
      <c r="AA225" s="46">
        <f>IF(VLOOKUP($C225,REV!$C:$AA,25,0)-'TRADE IN'!$F225=0,"",(VLOOKUP($C225,REV!$C:$AA,25,0)-'TRADE IN'!$F225))</f>
        <v>199</v>
      </c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7"/>
      <c r="AW225" s="48" t="str">
        <f>REV!AW225</f>
        <v>01.12.2026</v>
      </c>
      <c r="AX225" s="153" t="str">
        <f>VLOOKUP(C225,REV!C:AX,48,0)</f>
        <v>4G</v>
      </c>
    </row>
    <row r="226" spans="1:50" ht="22.5" customHeight="1">
      <c r="A226" s="57" t="s">
        <v>247</v>
      </c>
      <c r="B226" s="42" t="s">
        <v>64</v>
      </c>
      <c r="C226" s="43">
        <v>4017883</v>
      </c>
      <c r="D226" s="63" t="s">
        <v>371</v>
      </c>
      <c r="E226" s="58" t="s">
        <v>372</v>
      </c>
      <c r="F226" s="45"/>
      <c r="G226" s="45"/>
      <c r="H226" s="45"/>
      <c r="I226" s="45"/>
      <c r="J226" s="46">
        <f>IF(VLOOKUP($C226,REV!$C:$AA,8,0)-'TRADE IN'!$F226=0,"",(VLOOKUP($C226,REV!$C:$AA,8,0)-'TRADE IN'!$F226))</f>
        <v>1399</v>
      </c>
      <c r="K226" s="46">
        <f>IF(VLOOKUP($C226,REV!$C:$AA,9,0)-'TRADE IN'!$F226=0,"",(VLOOKUP($C226,REV!$C:$AA,9,0)-'TRADE IN'!$F226))</f>
        <v>1399</v>
      </c>
      <c r="L226" s="46">
        <f>IF(VLOOKUP($C226,REV!$C:$AA,10,0)-'TRADE IN'!$F226=0,"",(VLOOKUP($C226,REV!$C:$AA,10,0)-'TRADE IN'!$F226))</f>
        <v>1399</v>
      </c>
      <c r="M226" s="46">
        <f>IF(VLOOKUP($C226,REV!$C:$AA,11,0)-'TRADE IN'!$F226=0,"",(VLOOKUP($C226,REV!$C:$AA,11,0)-'TRADE IN'!$F226))</f>
        <v>1399</v>
      </c>
      <c r="N226" s="46">
        <f>IF(VLOOKUP($C226,REV!$C:$AA,12,0)-'TRADE IN'!$F226=0,"",(VLOOKUP($C226,REV!$C:$AA,12,0)-'TRADE IN'!$F226))</f>
        <v>1399</v>
      </c>
      <c r="O226" s="46">
        <f>IF(VLOOKUP($C226,REV!$C:$AA,13,0)-'TRADE IN'!$F226=0,"",(VLOOKUP($C226,REV!$C:$AA,13,0)-'TRADE IN'!$F226))</f>
        <v>1299</v>
      </c>
      <c r="P226" s="46">
        <f>IF(VLOOKUP($C226,REV!$C:$AA,14,0)-'TRADE IN'!$F226=0,"",(VLOOKUP($C226,REV!$C:$AA,14,0)-'TRADE IN'!$F226))</f>
        <v>1199</v>
      </c>
      <c r="Q226" s="46">
        <f>IF(VLOOKUP($C226,REV!$C:$AA,15,0)-'TRADE IN'!$F226=0,"",(VLOOKUP($C226,REV!$C:$AA,15,0)-'TRADE IN'!$F226))</f>
        <v>899</v>
      </c>
      <c r="R226" s="46">
        <f>IF(VLOOKUP($C226,REV!$C:$AA,16,0)-'TRADE IN'!$F226=0,"",(VLOOKUP($C226,REV!$C:$AA,16,0)-'TRADE IN'!$F226))</f>
        <v>1299</v>
      </c>
      <c r="S226" s="46">
        <f>IF(VLOOKUP($C226,REV!$C:$AA,17,0)-'TRADE IN'!$F226=0,"",(VLOOKUP($C226,REV!$C:$AA,17,0)-'TRADE IN'!$F226))</f>
        <v>1199</v>
      </c>
      <c r="T226" s="46">
        <f>IF(VLOOKUP($C226,REV!$C:$AA,18,0)-'TRADE IN'!$F226=0,"",(VLOOKUP($C226,REV!$C:$AA,18,0)-'TRADE IN'!$F226))</f>
        <v>899</v>
      </c>
      <c r="U226" s="46">
        <f>IF(VLOOKUP($C226,REV!$C:$AA,19,0)-'TRADE IN'!$F226=0,"",(VLOOKUP($C226,REV!$C:$AA,19,0)-'TRADE IN'!$F226))</f>
        <v>899</v>
      </c>
      <c r="V226" s="46">
        <f>IF(VLOOKUP($C226,REV!$C:$AA,20,0)-'TRADE IN'!$F226=0,"",(VLOOKUP($C226,REV!$C:$AA,20,0)-'TRADE IN'!$F226))</f>
        <v>899</v>
      </c>
      <c r="W226" s="46">
        <f>IF(VLOOKUP($C226,REV!$C:$AA,21,0)-'TRADE IN'!$F226=0,"",(VLOOKUP($C226,REV!$C:$AA,21,0)-'TRADE IN'!$F226))</f>
        <v>899</v>
      </c>
      <c r="X226" s="46">
        <f>IF(VLOOKUP($C226,REV!$C:$AA,22,0)-'TRADE IN'!$F226=0,"",(VLOOKUP($C226,REV!$C:$AA,22,0)-'TRADE IN'!$F226))</f>
        <v>799</v>
      </c>
      <c r="Y226" s="46">
        <f>IF(VLOOKUP($C226,REV!$C:$AA,23,0)-'TRADE IN'!$F226=0,"",(VLOOKUP($C226,REV!$C:$AA,23,0)-'TRADE IN'!$F226))</f>
        <v>699</v>
      </c>
      <c r="Z226" s="46">
        <f>IF(VLOOKUP($C226,REV!$C:$AA,24,0)-'TRADE IN'!$F226=0,"",(VLOOKUP($C226,REV!$C:$AA,24,0)-'TRADE IN'!$F226))</f>
        <v>699</v>
      </c>
      <c r="AA226" s="46">
        <f>IF(VLOOKUP($C226,REV!$C:$AA,25,0)-'TRADE IN'!$F226=0,"",(VLOOKUP($C226,REV!$C:$AA,25,0)-'TRADE IN'!$F226))</f>
        <v>699</v>
      </c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7"/>
      <c r="AW226" s="48" t="str">
        <f>REV!AW226</f>
        <v>01.12.2026</v>
      </c>
      <c r="AX226" s="153" t="str">
        <f>VLOOKUP(C226,REV!C:AX,48,0)</f>
        <v>5G</v>
      </c>
    </row>
    <row r="227" spans="1:50" ht="22.5" customHeight="1">
      <c r="A227" s="57" t="s">
        <v>247</v>
      </c>
      <c r="B227" s="42" t="s">
        <v>64</v>
      </c>
      <c r="C227" s="43">
        <v>4014160</v>
      </c>
      <c r="D227" s="63" t="s">
        <v>373</v>
      </c>
      <c r="E227" s="58" t="s">
        <v>374</v>
      </c>
      <c r="F227" s="45"/>
      <c r="G227" s="45"/>
      <c r="H227" s="45"/>
      <c r="I227" s="45"/>
      <c r="J227" s="46">
        <f>IF(VLOOKUP($C227,REV!$C:$AA,8,0)-'TRADE IN'!$F227=0,"",(VLOOKUP($C227,REV!$C:$AA,8,0)-'TRADE IN'!$F227))</f>
        <v>149</v>
      </c>
      <c r="K227" s="46">
        <f>IF(VLOOKUP($C227,REV!$C:$AA,9,0)-'TRADE IN'!$F227=0,"",(VLOOKUP($C227,REV!$C:$AA,9,0)-'TRADE IN'!$F227))</f>
        <v>149</v>
      </c>
      <c r="L227" s="46">
        <f>IF(VLOOKUP($C227,REV!$C:$AA,10,0)-'TRADE IN'!$F227=0,"",(VLOOKUP($C227,REV!$C:$AA,10,0)-'TRADE IN'!$F227))</f>
        <v>149</v>
      </c>
      <c r="M227" s="46">
        <f>IF(VLOOKUP($C227,REV!$C:$AA,11,0)-'TRADE IN'!$F227=0,"",(VLOOKUP($C227,REV!$C:$AA,11,0)-'TRADE IN'!$F227))</f>
        <v>149</v>
      </c>
      <c r="N227" s="46">
        <f>IF(VLOOKUP($C227,REV!$C:$AA,12,0)-'TRADE IN'!$F227=0,"",(VLOOKUP($C227,REV!$C:$AA,12,0)-'TRADE IN'!$F227))</f>
        <v>149</v>
      </c>
      <c r="O227" s="46">
        <f>IF(VLOOKUP($C227,REV!$C:$AA,13,0)-'TRADE IN'!$F227=0,"",(VLOOKUP($C227,REV!$C:$AA,13,0)-'TRADE IN'!$F227))</f>
        <v>149</v>
      </c>
      <c r="P227" s="46">
        <f>IF(VLOOKUP($C227,REV!$C:$AA,14,0)-'TRADE IN'!$F227=0,"",(VLOOKUP($C227,REV!$C:$AA,14,0)-'TRADE IN'!$F227))</f>
        <v>149</v>
      </c>
      <c r="Q227" s="46">
        <f>IF(VLOOKUP($C227,REV!$C:$AA,15,0)-'TRADE IN'!$F227=0,"",(VLOOKUP($C227,REV!$C:$AA,15,0)-'TRADE IN'!$F227))</f>
        <v>149</v>
      </c>
      <c r="R227" s="46">
        <f>IF(VLOOKUP($C227,REV!$C:$AA,16,0)-'TRADE IN'!$F227=0,"",(VLOOKUP($C227,REV!$C:$AA,16,0)-'TRADE IN'!$F227))</f>
        <v>149</v>
      </c>
      <c r="S227" s="46">
        <f>IF(VLOOKUP($C227,REV!$C:$AA,17,0)-'TRADE IN'!$F227=0,"",(VLOOKUP($C227,REV!$C:$AA,17,0)-'TRADE IN'!$F227))</f>
        <v>149</v>
      </c>
      <c r="T227" s="46">
        <f>IF(VLOOKUP($C227,REV!$C:$AA,18,0)-'TRADE IN'!$F227=0,"",(VLOOKUP($C227,REV!$C:$AA,18,0)-'TRADE IN'!$F227))</f>
        <v>149</v>
      </c>
      <c r="U227" s="46">
        <f>IF(VLOOKUP($C227,REV!$C:$AA,19,0)-'TRADE IN'!$F227=0,"",(VLOOKUP($C227,REV!$C:$AA,19,0)-'TRADE IN'!$F227))</f>
        <v>149</v>
      </c>
      <c r="V227" s="46">
        <f>IF(VLOOKUP($C227,REV!$C:$AA,20,0)-'TRADE IN'!$F227=0,"",(VLOOKUP($C227,REV!$C:$AA,20,0)-'TRADE IN'!$F227))</f>
        <v>149</v>
      </c>
      <c r="W227" s="46">
        <f>IF(VLOOKUP($C227,REV!$C:$AA,21,0)-'TRADE IN'!$F227=0,"",(VLOOKUP($C227,REV!$C:$AA,21,0)-'TRADE IN'!$F227))</f>
        <v>149</v>
      </c>
      <c r="X227" s="46">
        <f>IF(VLOOKUP($C227,REV!$C:$AA,22,0)-'TRADE IN'!$F227=0,"",(VLOOKUP($C227,REV!$C:$AA,22,0)-'TRADE IN'!$F227))</f>
        <v>149</v>
      </c>
      <c r="Y227" s="46">
        <f>IF(VLOOKUP($C227,REV!$C:$AA,23,0)-'TRADE IN'!$F227=0,"",(VLOOKUP($C227,REV!$C:$AA,23,0)-'TRADE IN'!$F227))</f>
        <v>149</v>
      </c>
      <c r="Z227" s="46">
        <f>IF(VLOOKUP($C227,REV!$C:$AA,24,0)-'TRADE IN'!$F227=0,"",(VLOOKUP($C227,REV!$C:$AA,24,0)-'TRADE IN'!$F227))</f>
        <v>149</v>
      </c>
      <c r="AA227" s="46">
        <f>IF(VLOOKUP($C227,REV!$C:$AA,25,0)-'TRADE IN'!$F227=0,"",(VLOOKUP($C227,REV!$C:$AA,25,0)-'TRADE IN'!$F227))</f>
        <v>149</v>
      </c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7"/>
      <c r="AW227" s="48" t="str">
        <f>REV!AW227</f>
        <v>01.12.2026</v>
      </c>
      <c r="AX227" s="153" t="str">
        <f>VLOOKUP(C227,REV!C:AX,48,0)</f>
        <v>4G</v>
      </c>
    </row>
    <row r="228" spans="1:50" ht="22.5" customHeight="1">
      <c r="A228" s="57" t="s">
        <v>247</v>
      </c>
      <c r="B228" s="42" t="s">
        <v>64</v>
      </c>
      <c r="C228" s="43">
        <v>4015002</v>
      </c>
      <c r="D228" s="58" t="s">
        <v>375</v>
      </c>
      <c r="E228" s="58" t="s">
        <v>376</v>
      </c>
      <c r="F228" s="45"/>
      <c r="G228" s="45"/>
      <c r="H228" s="45"/>
      <c r="I228" s="45"/>
      <c r="J228" s="46">
        <f>IF(VLOOKUP($C228,REV!$C:$AA,8,0)-'TRADE IN'!$F228=0,"",(VLOOKUP($C228,REV!$C:$AA,8,0)-'TRADE IN'!$F228))</f>
        <v>349</v>
      </c>
      <c r="K228" s="46">
        <f>IF(VLOOKUP($C228,REV!$C:$AA,9,0)-'TRADE IN'!$F228=0,"",(VLOOKUP($C228,REV!$C:$AA,9,0)-'TRADE IN'!$F228))</f>
        <v>349</v>
      </c>
      <c r="L228" s="46">
        <f>IF(VLOOKUP($C228,REV!$C:$AA,10,0)-'TRADE IN'!$F228=0,"",(VLOOKUP($C228,REV!$C:$AA,10,0)-'TRADE IN'!$F228))</f>
        <v>349</v>
      </c>
      <c r="M228" s="46">
        <f>IF(VLOOKUP($C228,REV!$C:$AA,11,0)-'TRADE IN'!$F228=0,"",(VLOOKUP($C228,REV!$C:$AA,11,0)-'TRADE IN'!$F228))</f>
        <v>349</v>
      </c>
      <c r="N228" s="46">
        <f>IF(VLOOKUP($C228,REV!$C:$AA,12,0)-'TRADE IN'!$F228=0,"",(VLOOKUP($C228,REV!$C:$AA,12,0)-'TRADE IN'!$F228))</f>
        <v>349</v>
      </c>
      <c r="O228" s="46">
        <f>IF(VLOOKUP($C228,REV!$C:$AA,13,0)-'TRADE IN'!$F228=0,"",(VLOOKUP($C228,REV!$C:$AA,13,0)-'TRADE IN'!$F228))</f>
        <v>349</v>
      </c>
      <c r="P228" s="46">
        <f>IF(VLOOKUP($C228,REV!$C:$AA,14,0)-'TRADE IN'!$F228=0,"",(VLOOKUP($C228,REV!$C:$AA,14,0)-'TRADE IN'!$F228))</f>
        <v>349</v>
      </c>
      <c r="Q228" s="46">
        <f>IF(VLOOKUP($C228,REV!$C:$AA,15,0)-'TRADE IN'!$F228=0,"",(VLOOKUP($C228,REV!$C:$AA,15,0)-'TRADE IN'!$F228))</f>
        <v>349</v>
      </c>
      <c r="R228" s="46">
        <f>IF(VLOOKUP($C228,REV!$C:$AA,16,0)-'TRADE IN'!$F228=0,"",(VLOOKUP($C228,REV!$C:$AA,16,0)-'TRADE IN'!$F228))</f>
        <v>349</v>
      </c>
      <c r="S228" s="46">
        <f>IF(VLOOKUP($C228,REV!$C:$AA,17,0)-'TRADE IN'!$F228=0,"",(VLOOKUP($C228,REV!$C:$AA,17,0)-'TRADE IN'!$F228))</f>
        <v>349</v>
      </c>
      <c r="T228" s="46">
        <f>IF(VLOOKUP($C228,REV!$C:$AA,18,0)-'TRADE IN'!$F228=0,"",(VLOOKUP($C228,REV!$C:$AA,18,0)-'TRADE IN'!$F228))</f>
        <v>349</v>
      </c>
      <c r="U228" s="46">
        <f>IF(VLOOKUP($C228,REV!$C:$AA,19,0)-'TRADE IN'!$F228=0,"",(VLOOKUP($C228,REV!$C:$AA,19,0)-'TRADE IN'!$F228))</f>
        <v>349</v>
      </c>
      <c r="V228" s="46">
        <f>IF(VLOOKUP($C228,REV!$C:$AA,20,0)-'TRADE IN'!$F228=0,"",(VLOOKUP($C228,REV!$C:$AA,20,0)-'TRADE IN'!$F228))</f>
        <v>349</v>
      </c>
      <c r="W228" s="46">
        <f>IF(VLOOKUP($C228,REV!$C:$AA,21,0)-'TRADE IN'!$F228=0,"",(VLOOKUP($C228,REV!$C:$AA,21,0)-'TRADE IN'!$F228))</f>
        <v>349</v>
      </c>
      <c r="X228" s="46">
        <f>IF(VLOOKUP($C228,REV!$C:$AA,22,0)-'TRADE IN'!$F228=0,"",(VLOOKUP($C228,REV!$C:$AA,22,0)-'TRADE IN'!$F228))</f>
        <v>349</v>
      </c>
      <c r="Y228" s="46">
        <f>IF(VLOOKUP($C228,REV!$C:$AA,23,0)-'TRADE IN'!$F228=0,"",(VLOOKUP($C228,REV!$C:$AA,23,0)-'TRADE IN'!$F228))</f>
        <v>349</v>
      </c>
      <c r="Z228" s="46">
        <f>IF(VLOOKUP($C228,REV!$C:$AA,24,0)-'TRADE IN'!$F228=0,"",(VLOOKUP($C228,REV!$C:$AA,24,0)-'TRADE IN'!$F228))</f>
        <v>349</v>
      </c>
      <c r="AA228" s="46">
        <f>IF(VLOOKUP($C228,REV!$C:$AA,25,0)-'TRADE IN'!$F228=0,"",(VLOOKUP($C228,REV!$C:$AA,25,0)-'TRADE IN'!$F228))</f>
        <v>349</v>
      </c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7"/>
      <c r="AW228" s="48" t="str">
        <f>REV!AW228</f>
        <v>01.12.2026</v>
      </c>
      <c r="AX228" s="153" t="str">
        <f>VLOOKUP(C228,REV!C:AX,48,0)</f>
        <v>4G</v>
      </c>
    </row>
    <row r="229" spans="1:50" ht="22.5" customHeight="1">
      <c r="A229" s="57" t="s">
        <v>247</v>
      </c>
      <c r="B229" s="42" t="s">
        <v>64</v>
      </c>
      <c r="C229" s="43">
        <v>4015007</v>
      </c>
      <c r="D229" s="58" t="s">
        <v>375</v>
      </c>
      <c r="E229" s="58" t="s">
        <v>377</v>
      </c>
      <c r="F229" s="45"/>
      <c r="G229" s="45"/>
      <c r="H229" s="45"/>
      <c r="I229" s="45"/>
      <c r="J229" s="46">
        <f>IF(VLOOKUP($C229,REV!$C:$AA,8,0)-'TRADE IN'!$F229=0,"",(VLOOKUP($C229,REV!$C:$AA,8,0)-'TRADE IN'!$F229))</f>
        <v>349</v>
      </c>
      <c r="K229" s="46">
        <f>IF(VLOOKUP($C229,REV!$C:$AA,9,0)-'TRADE IN'!$F229=0,"",(VLOOKUP($C229,REV!$C:$AA,9,0)-'TRADE IN'!$F229))</f>
        <v>349</v>
      </c>
      <c r="L229" s="46">
        <f>IF(VLOOKUP($C229,REV!$C:$AA,10,0)-'TRADE IN'!$F229=0,"",(VLOOKUP($C229,REV!$C:$AA,10,0)-'TRADE IN'!$F229))</f>
        <v>349</v>
      </c>
      <c r="M229" s="46">
        <f>IF(VLOOKUP($C229,REV!$C:$AA,11,0)-'TRADE IN'!$F229=0,"",(VLOOKUP($C229,REV!$C:$AA,11,0)-'TRADE IN'!$F229))</f>
        <v>349</v>
      </c>
      <c r="N229" s="46">
        <f>IF(VLOOKUP($C229,REV!$C:$AA,12,0)-'TRADE IN'!$F229=0,"",(VLOOKUP($C229,REV!$C:$AA,12,0)-'TRADE IN'!$F229))</f>
        <v>349</v>
      </c>
      <c r="O229" s="46">
        <f>IF(VLOOKUP($C229,REV!$C:$AA,13,0)-'TRADE IN'!$F229=0,"",(VLOOKUP($C229,REV!$C:$AA,13,0)-'TRADE IN'!$F229))</f>
        <v>349</v>
      </c>
      <c r="P229" s="46">
        <f>IF(VLOOKUP($C229,REV!$C:$AA,14,0)-'TRADE IN'!$F229=0,"",(VLOOKUP($C229,REV!$C:$AA,14,0)-'TRADE IN'!$F229))</f>
        <v>349</v>
      </c>
      <c r="Q229" s="46">
        <f>IF(VLOOKUP($C229,REV!$C:$AA,15,0)-'TRADE IN'!$F229=0,"",(VLOOKUP($C229,REV!$C:$AA,15,0)-'TRADE IN'!$F229))</f>
        <v>349</v>
      </c>
      <c r="R229" s="46">
        <f>IF(VLOOKUP($C229,REV!$C:$AA,16,0)-'TRADE IN'!$F229=0,"",(VLOOKUP($C229,REV!$C:$AA,16,0)-'TRADE IN'!$F229))</f>
        <v>349</v>
      </c>
      <c r="S229" s="46">
        <f>IF(VLOOKUP($C229,REV!$C:$AA,17,0)-'TRADE IN'!$F229=0,"",(VLOOKUP($C229,REV!$C:$AA,17,0)-'TRADE IN'!$F229))</f>
        <v>349</v>
      </c>
      <c r="T229" s="46">
        <f>IF(VLOOKUP($C229,REV!$C:$AA,18,0)-'TRADE IN'!$F229=0,"",(VLOOKUP($C229,REV!$C:$AA,18,0)-'TRADE IN'!$F229))</f>
        <v>349</v>
      </c>
      <c r="U229" s="46">
        <f>IF(VLOOKUP($C229,REV!$C:$AA,19,0)-'TRADE IN'!$F229=0,"",(VLOOKUP($C229,REV!$C:$AA,19,0)-'TRADE IN'!$F229))</f>
        <v>349</v>
      </c>
      <c r="V229" s="46">
        <f>IF(VLOOKUP($C229,REV!$C:$AA,20,0)-'TRADE IN'!$F229=0,"",(VLOOKUP($C229,REV!$C:$AA,20,0)-'TRADE IN'!$F229))</f>
        <v>349</v>
      </c>
      <c r="W229" s="46">
        <f>IF(VLOOKUP($C229,REV!$C:$AA,21,0)-'TRADE IN'!$F229=0,"",(VLOOKUP($C229,REV!$C:$AA,21,0)-'TRADE IN'!$F229))</f>
        <v>349</v>
      </c>
      <c r="X229" s="46">
        <f>IF(VLOOKUP($C229,REV!$C:$AA,22,0)-'TRADE IN'!$F229=0,"",(VLOOKUP($C229,REV!$C:$AA,22,0)-'TRADE IN'!$F229))</f>
        <v>349</v>
      </c>
      <c r="Y229" s="46">
        <f>IF(VLOOKUP($C229,REV!$C:$AA,23,0)-'TRADE IN'!$F229=0,"",(VLOOKUP($C229,REV!$C:$AA,23,0)-'TRADE IN'!$F229))</f>
        <v>349</v>
      </c>
      <c r="Z229" s="46">
        <f>IF(VLOOKUP($C229,REV!$C:$AA,24,0)-'TRADE IN'!$F229=0,"",(VLOOKUP($C229,REV!$C:$AA,24,0)-'TRADE IN'!$F229))</f>
        <v>349</v>
      </c>
      <c r="AA229" s="46">
        <f>IF(VLOOKUP($C229,REV!$C:$AA,25,0)-'TRADE IN'!$F229=0,"",(VLOOKUP($C229,REV!$C:$AA,25,0)-'TRADE IN'!$F229))</f>
        <v>349</v>
      </c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7"/>
      <c r="AW229" s="48" t="str">
        <f>REV!AW229</f>
        <v>01.12.2026</v>
      </c>
      <c r="AX229" s="153" t="str">
        <f>VLOOKUP(C229,REV!C:AX,48,0)</f>
        <v>4G</v>
      </c>
    </row>
    <row r="230" spans="1:50" ht="22.5" customHeight="1">
      <c r="A230" s="57" t="s">
        <v>247</v>
      </c>
      <c r="B230" s="42" t="s">
        <v>64</v>
      </c>
      <c r="C230" s="43">
        <v>4015000</v>
      </c>
      <c r="D230" s="58" t="s">
        <v>375</v>
      </c>
      <c r="E230" s="58" t="s">
        <v>378</v>
      </c>
      <c r="F230" s="45"/>
      <c r="G230" s="45"/>
      <c r="H230" s="45"/>
      <c r="I230" s="45"/>
      <c r="J230" s="46">
        <f>IF(VLOOKUP($C230,REV!$C:$AA,8,0)-'TRADE IN'!$F230=0,"",(VLOOKUP($C230,REV!$C:$AA,8,0)-'TRADE IN'!$F230))</f>
        <v>349</v>
      </c>
      <c r="K230" s="46">
        <f>IF(VLOOKUP($C230,REV!$C:$AA,9,0)-'TRADE IN'!$F230=0,"",(VLOOKUP($C230,REV!$C:$AA,9,0)-'TRADE IN'!$F230))</f>
        <v>349</v>
      </c>
      <c r="L230" s="46">
        <f>IF(VLOOKUP($C230,REV!$C:$AA,10,0)-'TRADE IN'!$F230=0,"",(VLOOKUP($C230,REV!$C:$AA,10,0)-'TRADE IN'!$F230))</f>
        <v>349</v>
      </c>
      <c r="M230" s="46">
        <f>IF(VLOOKUP($C230,REV!$C:$AA,11,0)-'TRADE IN'!$F230=0,"",(VLOOKUP($C230,REV!$C:$AA,11,0)-'TRADE IN'!$F230))</f>
        <v>349</v>
      </c>
      <c r="N230" s="46">
        <f>IF(VLOOKUP($C230,REV!$C:$AA,12,0)-'TRADE IN'!$F230=0,"",(VLOOKUP($C230,REV!$C:$AA,12,0)-'TRADE IN'!$F230))</f>
        <v>349</v>
      </c>
      <c r="O230" s="46">
        <f>IF(VLOOKUP($C230,REV!$C:$AA,13,0)-'TRADE IN'!$F230=0,"",(VLOOKUP($C230,REV!$C:$AA,13,0)-'TRADE IN'!$F230))</f>
        <v>349</v>
      </c>
      <c r="P230" s="46">
        <f>IF(VLOOKUP($C230,REV!$C:$AA,14,0)-'TRADE IN'!$F230=0,"",(VLOOKUP($C230,REV!$C:$AA,14,0)-'TRADE IN'!$F230))</f>
        <v>349</v>
      </c>
      <c r="Q230" s="46">
        <f>IF(VLOOKUP($C230,REV!$C:$AA,15,0)-'TRADE IN'!$F230=0,"",(VLOOKUP($C230,REV!$C:$AA,15,0)-'TRADE IN'!$F230))</f>
        <v>349</v>
      </c>
      <c r="R230" s="46">
        <f>IF(VLOOKUP($C230,REV!$C:$AA,16,0)-'TRADE IN'!$F230=0,"",(VLOOKUP($C230,REV!$C:$AA,16,0)-'TRADE IN'!$F230))</f>
        <v>349</v>
      </c>
      <c r="S230" s="46">
        <f>IF(VLOOKUP($C230,REV!$C:$AA,17,0)-'TRADE IN'!$F230=0,"",(VLOOKUP($C230,REV!$C:$AA,17,0)-'TRADE IN'!$F230))</f>
        <v>349</v>
      </c>
      <c r="T230" s="46">
        <f>IF(VLOOKUP($C230,REV!$C:$AA,18,0)-'TRADE IN'!$F230=0,"",(VLOOKUP($C230,REV!$C:$AA,18,0)-'TRADE IN'!$F230))</f>
        <v>349</v>
      </c>
      <c r="U230" s="46">
        <f>IF(VLOOKUP($C230,REV!$C:$AA,19,0)-'TRADE IN'!$F230=0,"",(VLOOKUP($C230,REV!$C:$AA,19,0)-'TRADE IN'!$F230))</f>
        <v>349</v>
      </c>
      <c r="V230" s="46">
        <f>IF(VLOOKUP($C230,REV!$C:$AA,20,0)-'TRADE IN'!$F230=0,"",(VLOOKUP($C230,REV!$C:$AA,20,0)-'TRADE IN'!$F230))</f>
        <v>349</v>
      </c>
      <c r="W230" s="46">
        <f>IF(VLOOKUP($C230,REV!$C:$AA,21,0)-'TRADE IN'!$F230=0,"",(VLOOKUP($C230,REV!$C:$AA,21,0)-'TRADE IN'!$F230))</f>
        <v>349</v>
      </c>
      <c r="X230" s="46">
        <f>IF(VLOOKUP($C230,REV!$C:$AA,22,0)-'TRADE IN'!$F230=0,"",(VLOOKUP($C230,REV!$C:$AA,22,0)-'TRADE IN'!$F230))</f>
        <v>349</v>
      </c>
      <c r="Y230" s="46">
        <f>IF(VLOOKUP($C230,REV!$C:$AA,23,0)-'TRADE IN'!$F230=0,"",(VLOOKUP($C230,REV!$C:$AA,23,0)-'TRADE IN'!$F230))</f>
        <v>349</v>
      </c>
      <c r="Z230" s="46">
        <f>IF(VLOOKUP($C230,REV!$C:$AA,24,0)-'TRADE IN'!$F230=0,"",(VLOOKUP($C230,REV!$C:$AA,24,0)-'TRADE IN'!$F230))</f>
        <v>349</v>
      </c>
      <c r="AA230" s="46">
        <f>IF(VLOOKUP($C230,REV!$C:$AA,25,0)-'TRADE IN'!$F230=0,"",(VLOOKUP($C230,REV!$C:$AA,25,0)-'TRADE IN'!$F230))</f>
        <v>349</v>
      </c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7"/>
      <c r="AW230" s="48" t="str">
        <f>REV!AW230</f>
        <v>01.12.2026</v>
      </c>
      <c r="AX230" s="153" t="str">
        <f>VLOOKUP(C230,REV!C:AX,48,0)</f>
        <v>4G</v>
      </c>
    </row>
    <row r="231" spans="1:50" ht="22.5" customHeight="1">
      <c r="A231" s="57" t="s">
        <v>247</v>
      </c>
      <c r="B231" s="42" t="s">
        <v>64</v>
      </c>
      <c r="C231" s="43">
        <v>4014434</v>
      </c>
      <c r="D231" s="58" t="s">
        <v>379</v>
      </c>
      <c r="E231" s="58" t="s">
        <v>380</v>
      </c>
      <c r="F231" s="45"/>
      <c r="G231" s="45"/>
      <c r="H231" s="45"/>
      <c r="I231" s="45"/>
      <c r="J231" s="46">
        <f>IF(VLOOKUP($C231,REV!$C:$AA,8,0)-'TRADE IN'!$F231=0,"",(VLOOKUP($C231,REV!$C:$AA,8,0)-'TRADE IN'!$F231))</f>
        <v>399</v>
      </c>
      <c r="K231" s="46">
        <f>IF(VLOOKUP($C231,REV!$C:$AA,9,0)-'TRADE IN'!$F231=0,"",(VLOOKUP($C231,REV!$C:$AA,9,0)-'TRADE IN'!$F231))</f>
        <v>399</v>
      </c>
      <c r="L231" s="46">
        <f>IF(VLOOKUP($C231,REV!$C:$AA,10,0)-'TRADE IN'!$F231=0,"",(VLOOKUP($C231,REV!$C:$AA,10,0)-'TRADE IN'!$F231))</f>
        <v>399</v>
      </c>
      <c r="M231" s="46">
        <f>IF(VLOOKUP($C231,REV!$C:$AA,11,0)-'TRADE IN'!$F231=0,"",(VLOOKUP($C231,REV!$C:$AA,11,0)-'TRADE IN'!$F231))</f>
        <v>399</v>
      </c>
      <c r="N231" s="46">
        <f>IF(VLOOKUP($C231,REV!$C:$AA,12,0)-'TRADE IN'!$F231=0,"",(VLOOKUP($C231,REV!$C:$AA,12,0)-'TRADE IN'!$F231))</f>
        <v>399</v>
      </c>
      <c r="O231" s="46">
        <f>IF(VLOOKUP($C231,REV!$C:$AA,13,0)-'TRADE IN'!$F231=0,"",(VLOOKUP($C231,REV!$C:$AA,13,0)-'TRADE IN'!$F231))</f>
        <v>349</v>
      </c>
      <c r="P231" s="46">
        <f>IF(VLOOKUP($C231,REV!$C:$AA,14,0)-'TRADE IN'!$F231=0,"",(VLOOKUP($C231,REV!$C:$AA,14,0)-'TRADE IN'!$F231))</f>
        <v>349</v>
      </c>
      <c r="Q231" s="46">
        <f>IF(VLOOKUP($C231,REV!$C:$AA,15,0)-'TRADE IN'!$F231=0,"",(VLOOKUP($C231,REV!$C:$AA,15,0)-'TRADE IN'!$F231))</f>
        <v>349</v>
      </c>
      <c r="R231" s="46">
        <f>IF(VLOOKUP($C231,REV!$C:$AA,16,0)-'TRADE IN'!$F231=0,"",(VLOOKUP($C231,REV!$C:$AA,16,0)-'TRADE IN'!$F231))</f>
        <v>349</v>
      </c>
      <c r="S231" s="46">
        <f>IF(VLOOKUP($C231,REV!$C:$AA,17,0)-'TRADE IN'!$F231=0,"",(VLOOKUP($C231,REV!$C:$AA,17,0)-'TRADE IN'!$F231))</f>
        <v>349</v>
      </c>
      <c r="T231" s="46">
        <f>IF(VLOOKUP($C231,REV!$C:$AA,18,0)-'TRADE IN'!$F231=0,"",(VLOOKUP($C231,REV!$C:$AA,18,0)-'TRADE IN'!$F231))</f>
        <v>349</v>
      </c>
      <c r="U231" s="46">
        <f>IF(VLOOKUP($C231,REV!$C:$AA,19,0)-'TRADE IN'!$F231=0,"",(VLOOKUP($C231,REV!$C:$AA,19,0)-'TRADE IN'!$F231))</f>
        <v>349</v>
      </c>
      <c r="V231" s="46">
        <f>IF(VLOOKUP($C231,REV!$C:$AA,20,0)-'TRADE IN'!$F231=0,"",(VLOOKUP($C231,REV!$C:$AA,20,0)-'TRADE IN'!$F231))</f>
        <v>349</v>
      </c>
      <c r="W231" s="46">
        <f>IF(VLOOKUP($C231,REV!$C:$AA,21,0)-'TRADE IN'!$F231=0,"",(VLOOKUP($C231,REV!$C:$AA,21,0)-'TRADE IN'!$F231))</f>
        <v>349</v>
      </c>
      <c r="X231" s="46">
        <f>IF(VLOOKUP($C231,REV!$C:$AA,22,0)-'TRADE IN'!$F231=0,"",(VLOOKUP($C231,REV!$C:$AA,22,0)-'TRADE IN'!$F231))</f>
        <v>349</v>
      </c>
      <c r="Y231" s="46">
        <f>IF(VLOOKUP($C231,REV!$C:$AA,23,0)-'TRADE IN'!$F231=0,"",(VLOOKUP($C231,REV!$C:$AA,23,0)-'TRADE IN'!$F231))</f>
        <v>349</v>
      </c>
      <c r="Z231" s="46">
        <f>IF(VLOOKUP($C231,REV!$C:$AA,24,0)-'TRADE IN'!$F231=0,"",(VLOOKUP($C231,REV!$C:$AA,24,0)-'TRADE IN'!$F231))</f>
        <v>349</v>
      </c>
      <c r="AA231" s="46">
        <f>IF(VLOOKUP($C231,REV!$C:$AA,25,0)-'TRADE IN'!$F231=0,"",(VLOOKUP($C231,REV!$C:$AA,25,0)-'TRADE IN'!$F231))</f>
        <v>349</v>
      </c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7"/>
      <c r="AW231" s="48" t="str">
        <f>REV!AW231</f>
        <v>01.12.2026</v>
      </c>
      <c r="AX231" s="153" t="str">
        <f>VLOOKUP(C231,REV!C:AX,48,0)</f>
        <v>4G</v>
      </c>
    </row>
    <row r="232" spans="1:50" ht="22.5" customHeight="1">
      <c r="A232" s="57" t="s">
        <v>247</v>
      </c>
      <c r="B232" s="42" t="s">
        <v>64</v>
      </c>
      <c r="C232" s="43">
        <v>4014440</v>
      </c>
      <c r="D232" s="58" t="s">
        <v>379</v>
      </c>
      <c r="E232" s="58" t="s">
        <v>381</v>
      </c>
      <c r="F232" s="45"/>
      <c r="G232" s="45"/>
      <c r="H232" s="45"/>
      <c r="I232" s="45"/>
      <c r="J232" s="46">
        <f>IF(VLOOKUP($C232,REV!$C:$AA,8,0)-'TRADE IN'!$F232=0,"",(VLOOKUP($C232,REV!$C:$AA,8,0)-'TRADE IN'!$F232))</f>
        <v>399</v>
      </c>
      <c r="K232" s="46">
        <f>IF(VLOOKUP($C232,REV!$C:$AA,9,0)-'TRADE IN'!$F232=0,"",(VLOOKUP($C232,REV!$C:$AA,9,0)-'TRADE IN'!$F232))</f>
        <v>399</v>
      </c>
      <c r="L232" s="46">
        <f>IF(VLOOKUP($C232,REV!$C:$AA,10,0)-'TRADE IN'!$F232=0,"",(VLOOKUP($C232,REV!$C:$AA,10,0)-'TRADE IN'!$F232))</f>
        <v>399</v>
      </c>
      <c r="M232" s="46">
        <f>IF(VLOOKUP($C232,REV!$C:$AA,11,0)-'TRADE IN'!$F232=0,"",(VLOOKUP($C232,REV!$C:$AA,11,0)-'TRADE IN'!$F232))</f>
        <v>399</v>
      </c>
      <c r="N232" s="46">
        <f>IF(VLOOKUP($C232,REV!$C:$AA,12,0)-'TRADE IN'!$F232=0,"",(VLOOKUP($C232,REV!$C:$AA,12,0)-'TRADE IN'!$F232))</f>
        <v>399</v>
      </c>
      <c r="O232" s="46">
        <f>IF(VLOOKUP($C232,REV!$C:$AA,13,0)-'TRADE IN'!$F232=0,"",(VLOOKUP($C232,REV!$C:$AA,13,0)-'TRADE IN'!$F232))</f>
        <v>349</v>
      </c>
      <c r="P232" s="46">
        <f>IF(VLOOKUP($C232,REV!$C:$AA,14,0)-'TRADE IN'!$F232=0,"",(VLOOKUP($C232,REV!$C:$AA,14,0)-'TRADE IN'!$F232))</f>
        <v>349</v>
      </c>
      <c r="Q232" s="46">
        <f>IF(VLOOKUP($C232,REV!$C:$AA,15,0)-'TRADE IN'!$F232=0,"",(VLOOKUP($C232,REV!$C:$AA,15,0)-'TRADE IN'!$F232))</f>
        <v>349</v>
      </c>
      <c r="R232" s="46">
        <f>IF(VLOOKUP($C232,REV!$C:$AA,16,0)-'TRADE IN'!$F232=0,"",(VLOOKUP($C232,REV!$C:$AA,16,0)-'TRADE IN'!$F232))</f>
        <v>349</v>
      </c>
      <c r="S232" s="46">
        <f>IF(VLOOKUP($C232,REV!$C:$AA,17,0)-'TRADE IN'!$F232=0,"",(VLOOKUP($C232,REV!$C:$AA,17,0)-'TRADE IN'!$F232))</f>
        <v>349</v>
      </c>
      <c r="T232" s="46">
        <f>IF(VLOOKUP($C232,REV!$C:$AA,18,0)-'TRADE IN'!$F232=0,"",(VLOOKUP($C232,REV!$C:$AA,18,0)-'TRADE IN'!$F232))</f>
        <v>349</v>
      </c>
      <c r="U232" s="46">
        <f>IF(VLOOKUP($C232,REV!$C:$AA,19,0)-'TRADE IN'!$F232=0,"",(VLOOKUP($C232,REV!$C:$AA,19,0)-'TRADE IN'!$F232))</f>
        <v>349</v>
      </c>
      <c r="V232" s="46">
        <f>IF(VLOOKUP($C232,REV!$C:$AA,20,0)-'TRADE IN'!$F232=0,"",(VLOOKUP($C232,REV!$C:$AA,20,0)-'TRADE IN'!$F232))</f>
        <v>349</v>
      </c>
      <c r="W232" s="46">
        <f>IF(VLOOKUP($C232,REV!$C:$AA,21,0)-'TRADE IN'!$F232=0,"",(VLOOKUP($C232,REV!$C:$AA,21,0)-'TRADE IN'!$F232))</f>
        <v>349</v>
      </c>
      <c r="X232" s="46">
        <f>IF(VLOOKUP($C232,REV!$C:$AA,22,0)-'TRADE IN'!$F232=0,"",(VLOOKUP($C232,REV!$C:$AA,22,0)-'TRADE IN'!$F232))</f>
        <v>349</v>
      </c>
      <c r="Y232" s="46">
        <f>IF(VLOOKUP($C232,REV!$C:$AA,23,0)-'TRADE IN'!$F232=0,"",(VLOOKUP($C232,REV!$C:$AA,23,0)-'TRADE IN'!$F232))</f>
        <v>349</v>
      </c>
      <c r="Z232" s="46">
        <f>IF(VLOOKUP($C232,REV!$C:$AA,24,0)-'TRADE IN'!$F232=0,"",(VLOOKUP($C232,REV!$C:$AA,24,0)-'TRADE IN'!$F232))</f>
        <v>349</v>
      </c>
      <c r="AA232" s="46">
        <f>IF(VLOOKUP($C232,REV!$C:$AA,25,0)-'TRADE IN'!$F232=0,"",(VLOOKUP($C232,REV!$C:$AA,25,0)-'TRADE IN'!$F232))</f>
        <v>349</v>
      </c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7"/>
      <c r="AW232" s="48" t="str">
        <f>REV!AW232</f>
        <v>01.12.2026</v>
      </c>
      <c r="AX232" s="153" t="str">
        <f>VLOOKUP(C232,REV!C:AX,48,0)</f>
        <v>4G</v>
      </c>
    </row>
    <row r="233" spans="1:50" ht="22.5" customHeight="1">
      <c r="A233" s="57" t="s">
        <v>247</v>
      </c>
      <c r="B233" s="42" t="s">
        <v>64</v>
      </c>
      <c r="C233" s="43">
        <v>4015992</v>
      </c>
      <c r="D233" s="63" t="s">
        <v>382</v>
      </c>
      <c r="E233" s="58" t="s">
        <v>383</v>
      </c>
      <c r="F233" s="45"/>
      <c r="G233" s="45"/>
      <c r="H233" s="45"/>
      <c r="I233" s="45"/>
      <c r="J233" s="46">
        <f>IF(VLOOKUP($C233,REV!$C:$AA,8,0)-'TRADE IN'!$F233=0,"",(VLOOKUP($C233,REV!$C:$AA,8,0)-'TRADE IN'!$F233))</f>
        <v>309</v>
      </c>
      <c r="K233" s="46">
        <f>IF(VLOOKUP($C233,REV!$C:$AA,9,0)-'TRADE IN'!$F233=0,"",(VLOOKUP($C233,REV!$C:$AA,9,0)-'TRADE IN'!$F233))</f>
        <v>309</v>
      </c>
      <c r="L233" s="46">
        <f>IF(VLOOKUP($C233,REV!$C:$AA,10,0)-'TRADE IN'!$F233=0,"",(VLOOKUP($C233,REV!$C:$AA,10,0)-'TRADE IN'!$F233))</f>
        <v>309</v>
      </c>
      <c r="M233" s="46">
        <f>IF(VLOOKUP($C233,REV!$C:$AA,11,0)-'TRADE IN'!$F233=0,"",(VLOOKUP($C233,REV!$C:$AA,11,0)-'TRADE IN'!$F233))</f>
        <v>309</v>
      </c>
      <c r="N233" s="46">
        <f>IF(VLOOKUP($C233,REV!$C:$AA,12,0)-'TRADE IN'!$F233=0,"",(VLOOKUP($C233,REV!$C:$AA,12,0)-'TRADE IN'!$F233))</f>
        <v>309</v>
      </c>
      <c r="O233" s="46">
        <f>IF(VLOOKUP($C233,REV!$C:$AA,13,0)-'TRADE IN'!$F233=0,"",(VLOOKUP($C233,REV!$C:$AA,13,0)-'TRADE IN'!$F233))</f>
        <v>309</v>
      </c>
      <c r="P233" s="46">
        <f>IF(VLOOKUP($C233,REV!$C:$AA,14,0)-'TRADE IN'!$F233=0,"",(VLOOKUP($C233,REV!$C:$AA,14,0)-'TRADE IN'!$F233))</f>
        <v>309</v>
      </c>
      <c r="Q233" s="46">
        <f>IF(VLOOKUP($C233,REV!$C:$AA,15,0)-'TRADE IN'!$F233=0,"",(VLOOKUP($C233,REV!$C:$AA,15,0)-'TRADE IN'!$F233))</f>
        <v>309</v>
      </c>
      <c r="R233" s="46">
        <f>IF(VLOOKUP($C233,REV!$C:$AA,16,0)-'TRADE IN'!$F233=0,"",(VLOOKUP($C233,REV!$C:$AA,16,0)-'TRADE IN'!$F233))</f>
        <v>309</v>
      </c>
      <c r="S233" s="46">
        <f>IF(VLOOKUP($C233,REV!$C:$AA,17,0)-'TRADE IN'!$F233=0,"",(VLOOKUP($C233,REV!$C:$AA,17,0)-'TRADE IN'!$F233))</f>
        <v>309</v>
      </c>
      <c r="T233" s="46">
        <f>IF(VLOOKUP($C233,REV!$C:$AA,18,0)-'TRADE IN'!$F233=0,"",(VLOOKUP($C233,REV!$C:$AA,18,0)-'TRADE IN'!$F233))</f>
        <v>309</v>
      </c>
      <c r="U233" s="46">
        <f>IF(VLOOKUP($C233,REV!$C:$AA,19,0)-'TRADE IN'!$F233=0,"",(VLOOKUP($C233,REV!$C:$AA,19,0)-'TRADE IN'!$F233))</f>
        <v>309</v>
      </c>
      <c r="V233" s="46">
        <f>IF(VLOOKUP($C233,REV!$C:$AA,20,0)-'TRADE IN'!$F233=0,"",(VLOOKUP($C233,REV!$C:$AA,20,0)-'TRADE IN'!$F233))</f>
        <v>309</v>
      </c>
      <c r="W233" s="46">
        <f>IF(VLOOKUP($C233,REV!$C:$AA,21,0)-'TRADE IN'!$F233=0,"",(VLOOKUP($C233,REV!$C:$AA,21,0)-'TRADE IN'!$F233))</f>
        <v>309</v>
      </c>
      <c r="X233" s="46">
        <f>IF(VLOOKUP($C233,REV!$C:$AA,22,0)-'TRADE IN'!$F233=0,"",(VLOOKUP($C233,REV!$C:$AA,22,0)-'TRADE IN'!$F233))</f>
        <v>309</v>
      </c>
      <c r="Y233" s="46">
        <f>IF(VLOOKUP($C233,REV!$C:$AA,23,0)-'TRADE IN'!$F233=0,"",(VLOOKUP($C233,REV!$C:$AA,23,0)-'TRADE IN'!$F233))</f>
        <v>309</v>
      </c>
      <c r="Z233" s="46">
        <f>IF(VLOOKUP($C233,REV!$C:$AA,24,0)-'TRADE IN'!$F233=0,"",(VLOOKUP($C233,REV!$C:$AA,24,0)-'TRADE IN'!$F233))</f>
        <v>309</v>
      </c>
      <c r="AA233" s="46">
        <f>IF(VLOOKUP($C233,REV!$C:$AA,25,0)-'TRADE IN'!$F233=0,"",(VLOOKUP($C233,REV!$C:$AA,25,0)-'TRADE IN'!$F233))</f>
        <v>309</v>
      </c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7"/>
      <c r="AW233" s="48" t="str">
        <f>REV!AW233</f>
        <v>01.12.2026</v>
      </c>
      <c r="AX233" s="153" t="str">
        <f>VLOOKUP(C233,REV!C:AX,48,0)</f>
        <v>4G</v>
      </c>
    </row>
    <row r="234" spans="1:50" ht="22.5" customHeight="1">
      <c r="A234" s="57" t="s">
        <v>247</v>
      </c>
      <c r="B234" s="42" t="s">
        <v>64</v>
      </c>
      <c r="C234" s="43">
        <v>4015995</v>
      </c>
      <c r="D234" s="63" t="s">
        <v>382</v>
      </c>
      <c r="E234" s="58" t="s">
        <v>384</v>
      </c>
      <c r="F234" s="45"/>
      <c r="G234" s="45"/>
      <c r="H234" s="45"/>
      <c r="I234" s="45"/>
      <c r="J234" s="46">
        <f>IF(VLOOKUP($C234,REV!$C:$AA,8,0)-'TRADE IN'!$F234=0,"",(VLOOKUP($C234,REV!$C:$AA,8,0)-'TRADE IN'!$F234))</f>
        <v>309</v>
      </c>
      <c r="K234" s="46">
        <f>IF(VLOOKUP($C234,REV!$C:$AA,9,0)-'TRADE IN'!$F234=0,"",(VLOOKUP($C234,REV!$C:$AA,9,0)-'TRADE IN'!$F234))</f>
        <v>309</v>
      </c>
      <c r="L234" s="46">
        <f>IF(VLOOKUP($C234,REV!$C:$AA,10,0)-'TRADE IN'!$F234=0,"",(VLOOKUP($C234,REV!$C:$AA,10,0)-'TRADE IN'!$F234))</f>
        <v>309</v>
      </c>
      <c r="M234" s="46">
        <f>IF(VLOOKUP($C234,REV!$C:$AA,11,0)-'TRADE IN'!$F234=0,"",(VLOOKUP($C234,REV!$C:$AA,11,0)-'TRADE IN'!$F234))</f>
        <v>309</v>
      </c>
      <c r="N234" s="46">
        <f>IF(VLOOKUP($C234,REV!$C:$AA,12,0)-'TRADE IN'!$F234=0,"",(VLOOKUP($C234,REV!$C:$AA,12,0)-'TRADE IN'!$F234))</f>
        <v>309</v>
      </c>
      <c r="O234" s="46">
        <f>IF(VLOOKUP($C234,REV!$C:$AA,13,0)-'TRADE IN'!$F234=0,"",(VLOOKUP($C234,REV!$C:$AA,13,0)-'TRADE IN'!$F234))</f>
        <v>309</v>
      </c>
      <c r="P234" s="46">
        <f>IF(VLOOKUP($C234,REV!$C:$AA,14,0)-'TRADE IN'!$F234=0,"",(VLOOKUP($C234,REV!$C:$AA,14,0)-'TRADE IN'!$F234))</f>
        <v>309</v>
      </c>
      <c r="Q234" s="46">
        <f>IF(VLOOKUP($C234,REV!$C:$AA,15,0)-'TRADE IN'!$F234=0,"",(VLOOKUP($C234,REV!$C:$AA,15,0)-'TRADE IN'!$F234))</f>
        <v>309</v>
      </c>
      <c r="R234" s="46">
        <f>IF(VLOOKUP($C234,REV!$C:$AA,16,0)-'TRADE IN'!$F234=0,"",(VLOOKUP($C234,REV!$C:$AA,16,0)-'TRADE IN'!$F234))</f>
        <v>309</v>
      </c>
      <c r="S234" s="46">
        <f>IF(VLOOKUP($C234,REV!$C:$AA,17,0)-'TRADE IN'!$F234=0,"",(VLOOKUP($C234,REV!$C:$AA,17,0)-'TRADE IN'!$F234))</f>
        <v>309</v>
      </c>
      <c r="T234" s="46">
        <f>IF(VLOOKUP($C234,REV!$C:$AA,18,0)-'TRADE IN'!$F234=0,"",(VLOOKUP($C234,REV!$C:$AA,18,0)-'TRADE IN'!$F234))</f>
        <v>309</v>
      </c>
      <c r="U234" s="46">
        <f>IF(VLOOKUP($C234,REV!$C:$AA,19,0)-'TRADE IN'!$F234=0,"",(VLOOKUP($C234,REV!$C:$AA,19,0)-'TRADE IN'!$F234))</f>
        <v>309</v>
      </c>
      <c r="V234" s="46">
        <f>IF(VLOOKUP($C234,REV!$C:$AA,20,0)-'TRADE IN'!$F234=0,"",(VLOOKUP($C234,REV!$C:$AA,20,0)-'TRADE IN'!$F234))</f>
        <v>309</v>
      </c>
      <c r="W234" s="46">
        <f>IF(VLOOKUP($C234,REV!$C:$AA,21,0)-'TRADE IN'!$F234=0,"",(VLOOKUP($C234,REV!$C:$AA,21,0)-'TRADE IN'!$F234))</f>
        <v>309</v>
      </c>
      <c r="X234" s="46">
        <f>IF(VLOOKUP($C234,REV!$C:$AA,22,0)-'TRADE IN'!$F234=0,"",(VLOOKUP($C234,REV!$C:$AA,22,0)-'TRADE IN'!$F234))</f>
        <v>309</v>
      </c>
      <c r="Y234" s="46">
        <f>IF(VLOOKUP($C234,REV!$C:$AA,23,0)-'TRADE IN'!$F234=0,"",(VLOOKUP($C234,REV!$C:$AA,23,0)-'TRADE IN'!$F234))</f>
        <v>309</v>
      </c>
      <c r="Z234" s="46">
        <f>IF(VLOOKUP($C234,REV!$C:$AA,24,0)-'TRADE IN'!$F234=0,"",(VLOOKUP($C234,REV!$C:$AA,24,0)-'TRADE IN'!$F234))</f>
        <v>309</v>
      </c>
      <c r="AA234" s="46">
        <f>IF(VLOOKUP($C234,REV!$C:$AA,25,0)-'TRADE IN'!$F234=0,"",(VLOOKUP($C234,REV!$C:$AA,25,0)-'TRADE IN'!$F234))</f>
        <v>309</v>
      </c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7"/>
      <c r="AW234" s="48" t="str">
        <f>REV!AW234</f>
        <v>01.12.2026</v>
      </c>
      <c r="AX234" s="153" t="str">
        <f>VLOOKUP(C234,REV!C:AX,48,0)</f>
        <v>4G</v>
      </c>
    </row>
    <row r="235" spans="1:50" ht="22.5" customHeight="1">
      <c r="A235" s="57" t="s">
        <v>247</v>
      </c>
      <c r="B235" s="42" t="s">
        <v>64</v>
      </c>
      <c r="C235" s="43">
        <v>4016000</v>
      </c>
      <c r="D235" s="63" t="s">
        <v>385</v>
      </c>
      <c r="E235" s="58" t="s">
        <v>386</v>
      </c>
      <c r="F235" s="45"/>
      <c r="G235" s="45"/>
      <c r="H235" s="45"/>
      <c r="I235" s="45"/>
      <c r="J235" s="46">
        <f>IF(VLOOKUP($C235,REV!$C:$AA,8,0)-'TRADE IN'!$F235=0,"",(VLOOKUP($C235,REV!$C:$AA,8,0)-'TRADE IN'!$F235))</f>
        <v>799</v>
      </c>
      <c r="K235" s="46">
        <f>IF(VLOOKUP($C235,REV!$C:$AA,9,0)-'TRADE IN'!$F235=0,"",(VLOOKUP($C235,REV!$C:$AA,9,0)-'TRADE IN'!$F235))</f>
        <v>799</v>
      </c>
      <c r="L235" s="46">
        <f>IF(VLOOKUP($C235,REV!$C:$AA,10,0)-'TRADE IN'!$F235=0,"",(VLOOKUP($C235,REV!$C:$AA,10,0)-'TRADE IN'!$F235))</f>
        <v>799</v>
      </c>
      <c r="M235" s="46">
        <f>IF(VLOOKUP($C235,REV!$C:$AA,11,0)-'TRADE IN'!$F235=0,"",(VLOOKUP($C235,REV!$C:$AA,11,0)-'TRADE IN'!$F235))</f>
        <v>799</v>
      </c>
      <c r="N235" s="46">
        <f>IF(VLOOKUP($C235,REV!$C:$AA,12,0)-'TRADE IN'!$F235=0,"",(VLOOKUP($C235,REV!$C:$AA,12,0)-'TRADE IN'!$F235))</f>
        <v>799</v>
      </c>
      <c r="O235" s="46">
        <f>IF(VLOOKUP($C235,REV!$C:$AA,13,0)-'TRADE IN'!$F235=0,"",(VLOOKUP($C235,REV!$C:$AA,13,0)-'TRADE IN'!$F235))</f>
        <v>749</v>
      </c>
      <c r="P235" s="46">
        <f>IF(VLOOKUP($C235,REV!$C:$AA,14,0)-'TRADE IN'!$F235=0,"",(VLOOKUP($C235,REV!$C:$AA,14,0)-'TRADE IN'!$F235))</f>
        <v>749</v>
      </c>
      <c r="Q235" s="46">
        <f>IF(VLOOKUP($C235,REV!$C:$AA,15,0)-'TRADE IN'!$F235=0,"",(VLOOKUP($C235,REV!$C:$AA,15,0)-'TRADE IN'!$F235))</f>
        <v>749</v>
      </c>
      <c r="R235" s="46">
        <f>IF(VLOOKUP($C235,REV!$C:$AA,16,0)-'TRADE IN'!$F235=0,"",(VLOOKUP($C235,REV!$C:$AA,16,0)-'TRADE IN'!$F235))</f>
        <v>749</v>
      </c>
      <c r="S235" s="46">
        <f>IF(VLOOKUP($C235,REV!$C:$AA,17,0)-'TRADE IN'!$F235=0,"",(VLOOKUP($C235,REV!$C:$AA,17,0)-'TRADE IN'!$F235))</f>
        <v>749</v>
      </c>
      <c r="T235" s="46">
        <f>IF(VLOOKUP($C235,REV!$C:$AA,18,0)-'TRADE IN'!$F235=0,"",(VLOOKUP($C235,REV!$C:$AA,18,0)-'TRADE IN'!$F235))</f>
        <v>749</v>
      </c>
      <c r="U235" s="46">
        <f>IF(VLOOKUP($C235,REV!$C:$AA,19,0)-'TRADE IN'!$F235=0,"",(VLOOKUP($C235,REV!$C:$AA,19,0)-'TRADE IN'!$F235))</f>
        <v>749</v>
      </c>
      <c r="V235" s="46">
        <f>IF(VLOOKUP($C235,REV!$C:$AA,20,0)-'TRADE IN'!$F235=0,"",(VLOOKUP($C235,REV!$C:$AA,20,0)-'TRADE IN'!$F235))</f>
        <v>749</v>
      </c>
      <c r="W235" s="46">
        <f>IF(VLOOKUP($C235,REV!$C:$AA,21,0)-'TRADE IN'!$F235=0,"",(VLOOKUP($C235,REV!$C:$AA,21,0)-'TRADE IN'!$F235))</f>
        <v>749</v>
      </c>
      <c r="X235" s="46">
        <f>IF(VLOOKUP($C235,REV!$C:$AA,22,0)-'TRADE IN'!$F235=0,"",(VLOOKUP($C235,REV!$C:$AA,22,0)-'TRADE IN'!$F235))</f>
        <v>749</v>
      </c>
      <c r="Y235" s="46">
        <f>IF(VLOOKUP($C235,REV!$C:$AA,23,0)-'TRADE IN'!$F235=0,"",(VLOOKUP($C235,REV!$C:$AA,23,0)-'TRADE IN'!$F235))</f>
        <v>749</v>
      </c>
      <c r="Z235" s="46">
        <f>IF(VLOOKUP($C235,REV!$C:$AA,24,0)-'TRADE IN'!$F235=0,"",(VLOOKUP($C235,REV!$C:$AA,24,0)-'TRADE IN'!$F235))</f>
        <v>749</v>
      </c>
      <c r="AA235" s="46">
        <f>IF(VLOOKUP($C235,REV!$C:$AA,25,0)-'TRADE IN'!$F235=0,"",(VLOOKUP($C235,REV!$C:$AA,25,0)-'TRADE IN'!$F235))</f>
        <v>749</v>
      </c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7"/>
      <c r="AW235" s="48" t="str">
        <f>REV!AW235</f>
        <v>01.12.2026</v>
      </c>
      <c r="AX235" s="153" t="str">
        <f>VLOOKUP(C235,REV!C:AX,48,0)</f>
        <v>4G</v>
      </c>
    </row>
    <row r="236" spans="1:50" ht="22.5" customHeight="1">
      <c r="A236" s="57" t="s">
        <v>247</v>
      </c>
      <c r="B236" s="42" t="s">
        <v>64</v>
      </c>
      <c r="C236" s="43">
        <v>4016003</v>
      </c>
      <c r="D236" s="63" t="s">
        <v>385</v>
      </c>
      <c r="E236" s="58" t="s">
        <v>387</v>
      </c>
      <c r="F236" s="45"/>
      <c r="G236" s="45"/>
      <c r="H236" s="45"/>
      <c r="I236" s="45"/>
      <c r="J236" s="46">
        <f>IF(VLOOKUP($C236,REV!$C:$AA,8,0)-'TRADE IN'!$F236=0,"",(VLOOKUP($C236,REV!$C:$AA,8,0)-'TRADE IN'!$F236))</f>
        <v>799</v>
      </c>
      <c r="K236" s="46">
        <f>IF(VLOOKUP($C236,REV!$C:$AA,9,0)-'TRADE IN'!$F236=0,"",(VLOOKUP($C236,REV!$C:$AA,9,0)-'TRADE IN'!$F236))</f>
        <v>799</v>
      </c>
      <c r="L236" s="46">
        <f>IF(VLOOKUP($C236,REV!$C:$AA,10,0)-'TRADE IN'!$F236=0,"",(VLOOKUP($C236,REV!$C:$AA,10,0)-'TRADE IN'!$F236))</f>
        <v>799</v>
      </c>
      <c r="M236" s="46">
        <f>IF(VLOOKUP($C236,REV!$C:$AA,11,0)-'TRADE IN'!$F236=0,"",(VLOOKUP($C236,REV!$C:$AA,11,0)-'TRADE IN'!$F236))</f>
        <v>799</v>
      </c>
      <c r="N236" s="46">
        <f>IF(VLOOKUP($C236,REV!$C:$AA,12,0)-'TRADE IN'!$F236=0,"",(VLOOKUP($C236,REV!$C:$AA,12,0)-'TRADE IN'!$F236))</f>
        <v>799</v>
      </c>
      <c r="O236" s="46">
        <f>IF(VLOOKUP($C236,REV!$C:$AA,13,0)-'TRADE IN'!$F236=0,"",(VLOOKUP($C236,REV!$C:$AA,13,0)-'TRADE IN'!$F236))</f>
        <v>749</v>
      </c>
      <c r="P236" s="46">
        <f>IF(VLOOKUP($C236,REV!$C:$AA,14,0)-'TRADE IN'!$F236=0,"",(VLOOKUP($C236,REV!$C:$AA,14,0)-'TRADE IN'!$F236))</f>
        <v>749</v>
      </c>
      <c r="Q236" s="46">
        <f>IF(VLOOKUP($C236,REV!$C:$AA,15,0)-'TRADE IN'!$F236=0,"",(VLOOKUP($C236,REV!$C:$AA,15,0)-'TRADE IN'!$F236))</f>
        <v>749</v>
      </c>
      <c r="R236" s="46">
        <f>IF(VLOOKUP($C236,REV!$C:$AA,16,0)-'TRADE IN'!$F236=0,"",(VLOOKUP($C236,REV!$C:$AA,16,0)-'TRADE IN'!$F236))</f>
        <v>749</v>
      </c>
      <c r="S236" s="46">
        <f>IF(VLOOKUP($C236,REV!$C:$AA,17,0)-'TRADE IN'!$F236=0,"",(VLOOKUP($C236,REV!$C:$AA,17,0)-'TRADE IN'!$F236))</f>
        <v>749</v>
      </c>
      <c r="T236" s="46">
        <f>IF(VLOOKUP($C236,REV!$C:$AA,18,0)-'TRADE IN'!$F236=0,"",(VLOOKUP($C236,REV!$C:$AA,18,0)-'TRADE IN'!$F236))</f>
        <v>749</v>
      </c>
      <c r="U236" s="46">
        <f>IF(VLOOKUP($C236,REV!$C:$AA,19,0)-'TRADE IN'!$F236=0,"",(VLOOKUP($C236,REV!$C:$AA,19,0)-'TRADE IN'!$F236))</f>
        <v>749</v>
      </c>
      <c r="V236" s="46">
        <f>IF(VLOOKUP($C236,REV!$C:$AA,20,0)-'TRADE IN'!$F236=0,"",(VLOOKUP($C236,REV!$C:$AA,20,0)-'TRADE IN'!$F236))</f>
        <v>749</v>
      </c>
      <c r="W236" s="46">
        <f>IF(VLOOKUP($C236,REV!$C:$AA,21,0)-'TRADE IN'!$F236=0,"",(VLOOKUP($C236,REV!$C:$AA,21,0)-'TRADE IN'!$F236))</f>
        <v>749</v>
      </c>
      <c r="X236" s="46">
        <f>IF(VLOOKUP($C236,REV!$C:$AA,22,0)-'TRADE IN'!$F236=0,"",(VLOOKUP($C236,REV!$C:$AA,22,0)-'TRADE IN'!$F236))</f>
        <v>749</v>
      </c>
      <c r="Y236" s="46">
        <f>IF(VLOOKUP($C236,REV!$C:$AA,23,0)-'TRADE IN'!$F236=0,"",(VLOOKUP($C236,REV!$C:$AA,23,0)-'TRADE IN'!$F236))</f>
        <v>749</v>
      </c>
      <c r="Z236" s="46">
        <f>IF(VLOOKUP($C236,REV!$C:$AA,24,0)-'TRADE IN'!$F236=0,"",(VLOOKUP($C236,REV!$C:$AA,24,0)-'TRADE IN'!$F236))</f>
        <v>749</v>
      </c>
      <c r="AA236" s="46">
        <f>IF(VLOOKUP($C236,REV!$C:$AA,25,0)-'TRADE IN'!$F236=0,"",(VLOOKUP($C236,REV!$C:$AA,25,0)-'TRADE IN'!$F236))</f>
        <v>749</v>
      </c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7"/>
      <c r="AW236" s="48" t="str">
        <f>REV!AW236</f>
        <v>01.12.2026</v>
      </c>
      <c r="AX236" s="153" t="str">
        <f>VLOOKUP(C236,REV!C:AX,48,0)</f>
        <v>4G</v>
      </c>
    </row>
    <row r="237" spans="1:50" ht="22.5" customHeight="1">
      <c r="A237" s="57" t="s">
        <v>247</v>
      </c>
      <c r="B237" s="42" t="s">
        <v>64</v>
      </c>
      <c r="C237" s="43">
        <v>4016641</v>
      </c>
      <c r="D237" s="63" t="s">
        <v>388</v>
      </c>
      <c r="E237" s="58" t="s">
        <v>389</v>
      </c>
      <c r="F237" s="45"/>
      <c r="G237" s="45"/>
      <c r="H237" s="45"/>
      <c r="I237" s="45"/>
      <c r="J237" s="46">
        <f>IF(VLOOKUP($C237,REV!$C:$AA,8,0)-'TRADE IN'!$F237=0,"",(VLOOKUP($C237,REV!$C:$AA,8,0)-'TRADE IN'!$F237))</f>
        <v>799</v>
      </c>
      <c r="K237" s="46">
        <f>IF(VLOOKUP($C237,REV!$C:$AA,9,0)-'TRADE IN'!$F237=0,"",(VLOOKUP($C237,REV!$C:$AA,9,0)-'TRADE IN'!$F237))</f>
        <v>799</v>
      </c>
      <c r="L237" s="46">
        <f>IF(VLOOKUP($C237,REV!$C:$AA,10,0)-'TRADE IN'!$F237=0,"",(VLOOKUP($C237,REV!$C:$AA,10,0)-'TRADE IN'!$F237))</f>
        <v>799</v>
      </c>
      <c r="M237" s="46">
        <f>IF(VLOOKUP($C237,REV!$C:$AA,11,0)-'TRADE IN'!$F237=0,"",(VLOOKUP($C237,REV!$C:$AA,11,0)-'TRADE IN'!$F237))</f>
        <v>799</v>
      </c>
      <c r="N237" s="46">
        <f>IF(VLOOKUP($C237,REV!$C:$AA,12,0)-'TRADE IN'!$F237=0,"",(VLOOKUP($C237,REV!$C:$AA,12,0)-'TRADE IN'!$F237))</f>
        <v>799</v>
      </c>
      <c r="O237" s="46">
        <f>IF(VLOOKUP($C237,REV!$C:$AA,13,0)-'TRADE IN'!$F237=0,"",(VLOOKUP($C237,REV!$C:$AA,13,0)-'TRADE IN'!$F237))</f>
        <v>699</v>
      </c>
      <c r="P237" s="46">
        <f>IF(VLOOKUP($C237,REV!$C:$AA,14,0)-'TRADE IN'!$F237=0,"",(VLOOKUP($C237,REV!$C:$AA,14,0)-'TRADE IN'!$F237))</f>
        <v>699</v>
      </c>
      <c r="Q237" s="46">
        <f>IF(VLOOKUP($C237,REV!$C:$AA,15,0)-'TRADE IN'!$F237=0,"",(VLOOKUP($C237,REV!$C:$AA,15,0)-'TRADE IN'!$F237))</f>
        <v>699</v>
      </c>
      <c r="R237" s="46">
        <f>IF(VLOOKUP($C237,REV!$C:$AA,16,0)-'TRADE IN'!$F237=0,"",(VLOOKUP($C237,REV!$C:$AA,16,0)-'TRADE IN'!$F237))</f>
        <v>699</v>
      </c>
      <c r="S237" s="46">
        <f>IF(VLOOKUP($C237,REV!$C:$AA,17,0)-'TRADE IN'!$F237=0,"",(VLOOKUP($C237,REV!$C:$AA,17,0)-'TRADE IN'!$F237))</f>
        <v>699</v>
      </c>
      <c r="T237" s="46">
        <f>IF(VLOOKUP($C237,REV!$C:$AA,18,0)-'TRADE IN'!$F237=0,"",(VLOOKUP($C237,REV!$C:$AA,18,0)-'TRADE IN'!$F237))</f>
        <v>699</v>
      </c>
      <c r="U237" s="46">
        <f>IF(VLOOKUP($C237,REV!$C:$AA,19,0)-'TRADE IN'!$F237=0,"",(VLOOKUP($C237,REV!$C:$AA,19,0)-'TRADE IN'!$F237))</f>
        <v>699</v>
      </c>
      <c r="V237" s="46">
        <f>IF(VLOOKUP($C237,REV!$C:$AA,20,0)-'TRADE IN'!$F237=0,"",(VLOOKUP($C237,REV!$C:$AA,20,0)-'TRADE IN'!$F237))</f>
        <v>699</v>
      </c>
      <c r="W237" s="46">
        <f>IF(VLOOKUP($C237,REV!$C:$AA,21,0)-'TRADE IN'!$F237=0,"",(VLOOKUP($C237,REV!$C:$AA,21,0)-'TRADE IN'!$F237))</f>
        <v>699</v>
      </c>
      <c r="X237" s="46">
        <f>IF(VLOOKUP($C237,REV!$C:$AA,22,0)-'TRADE IN'!$F237=0,"",(VLOOKUP($C237,REV!$C:$AA,22,0)-'TRADE IN'!$F237))</f>
        <v>699</v>
      </c>
      <c r="Y237" s="46">
        <f>IF(VLOOKUP($C237,REV!$C:$AA,23,0)-'TRADE IN'!$F237=0,"",(VLOOKUP($C237,REV!$C:$AA,23,0)-'TRADE IN'!$F237))</f>
        <v>699</v>
      </c>
      <c r="Z237" s="46">
        <f>IF(VLOOKUP($C237,REV!$C:$AA,24,0)-'TRADE IN'!$F237=0,"",(VLOOKUP($C237,REV!$C:$AA,24,0)-'TRADE IN'!$F237))</f>
        <v>699</v>
      </c>
      <c r="AA237" s="46">
        <f>IF(VLOOKUP($C237,REV!$C:$AA,25,0)-'TRADE IN'!$F237=0,"",(VLOOKUP($C237,REV!$C:$AA,25,0)-'TRADE IN'!$F237))</f>
        <v>699</v>
      </c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7"/>
      <c r="AW237" s="48" t="str">
        <f>REV!AW237</f>
        <v>01.12.2026</v>
      </c>
      <c r="AX237" s="153" t="str">
        <f>VLOOKUP(C237,REV!C:AX,48,0)</f>
        <v>4G</v>
      </c>
    </row>
    <row r="238" spans="1:50" ht="22.5" customHeight="1">
      <c r="A238" s="57" t="s">
        <v>247</v>
      </c>
      <c r="B238" s="42" t="s">
        <v>64</v>
      </c>
      <c r="C238" s="43">
        <v>4016642</v>
      </c>
      <c r="D238" s="63" t="s">
        <v>388</v>
      </c>
      <c r="E238" s="58" t="s">
        <v>390</v>
      </c>
      <c r="F238" s="45"/>
      <c r="G238" s="45"/>
      <c r="H238" s="45"/>
      <c r="I238" s="45"/>
      <c r="J238" s="46">
        <f>IF(VLOOKUP($C238,REV!$C:$AA,8,0)-'TRADE IN'!$F238=0,"",(VLOOKUP($C238,REV!$C:$AA,8,0)-'TRADE IN'!$F238))</f>
        <v>799</v>
      </c>
      <c r="K238" s="46">
        <f>IF(VLOOKUP($C238,REV!$C:$AA,9,0)-'TRADE IN'!$F238=0,"",(VLOOKUP($C238,REV!$C:$AA,9,0)-'TRADE IN'!$F238))</f>
        <v>799</v>
      </c>
      <c r="L238" s="46">
        <f>IF(VLOOKUP($C238,REV!$C:$AA,10,0)-'TRADE IN'!$F238=0,"",(VLOOKUP($C238,REV!$C:$AA,10,0)-'TRADE IN'!$F238))</f>
        <v>799</v>
      </c>
      <c r="M238" s="46">
        <f>IF(VLOOKUP($C238,REV!$C:$AA,11,0)-'TRADE IN'!$F238=0,"",(VLOOKUP($C238,REV!$C:$AA,11,0)-'TRADE IN'!$F238))</f>
        <v>799</v>
      </c>
      <c r="N238" s="46">
        <f>IF(VLOOKUP($C238,REV!$C:$AA,12,0)-'TRADE IN'!$F238=0,"",(VLOOKUP($C238,REV!$C:$AA,12,0)-'TRADE IN'!$F238))</f>
        <v>799</v>
      </c>
      <c r="O238" s="46">
        <f>IF(VLOOKUP($C238,REV!$C:$AA,13,0)-'TRADE IN'!$F238=0,"",(VLOOKUP($C238,REV!$C:$AA,13,0)-'TRADE IN'!$F238))</f>
        <v>699</v>
      </c>
      <c r="P238" s="46">
        <f>IF(VLOOKUP($C238,REV!$C:$AA,14,0)-'TRADE IN'!$F238=0,"",(VLOOKUP($C238,REV!$C:$AA,14,0)-'TRADE IN'!$F238))</f>
        <v>699</v>
      </c>
      <c r="Q238" s="46">
        <f>IF(VLOOKUP($C238,REV!$C:$AA,15,0)-'TRADE IN'!$F238=0,"",(VLOOKUP($C238,REV!$C:$AA,15,0)-'TRADE IN'!$F238))</f>
        <v>699</v>
      </c>
      <c r="R238" s="46">
        <f>IF(VLOOKUP($C238,REV!$C:$AA,16,0)-'TRADE IN'!$F238=0,"",(VLOOKUP($C238,REV!$C:$AA,16,0)-'TRADE IN'!$F238))</f>
        <v>699</v>
      </c>
      <c r="S238" s="46">
        <f>IF(VLOOKUP($C238,REV!$C:$AA,17,0)-'TRADE IN'!$F238=0,"",(VLOOKUP($C238,REV!$C:$AA,17,0)-'TRADE IN'!$F238))</f>
        <v>699</v>
      </c>
      <c r="T238" s="46">
        <f>IF(VLOOKUP($C238,REV!$C:$AA,18,0)-'TRADE IN'!$F238=0,"",(VLOOKUP($C238,REV!$C:$AA,18,0)-'TRADE IN'!$F238))</f>
        <v>699</v>
      </c>
      <c r="U238" s="46">
        <f>IF(VLOOKUP($C238,REV!$C:$AA,19,0)-'TRADE IN'!$F238=0,"",(VLOOKUP($C238,REV!$C:$AA,19,0)-'TRADE IN'!$F238))</f>
        <v>699</v>
      </c>
      <c r="V238" s="46">
        <f>IF(VLOOKUP($C238,REV!$C:$AA,20,0)-'TRADE IN'!$F238=0,"",(VLOOKUP($C238,REV!$C:$AA,20,0)-'TRADE IN'!$F238))</f>
        <v>699</v>
      </c>
      <c r="W238" s="46">
        <f>IF(VLOOKUP($C238,REV!$C:$AA,21,0)-'TRADE IN'!$F238=0,"",(VLOOKUP($C238,REV!$C:$AA,21,0)-'TRADE IN'!$F238))</f>
        <v>699</v>
      </c>
      <c r="X238" s="46">
        <f>IF(VLOOKUP($C238,REV!$C:$AA,22,0)-'TRADE IN'!$F238=0,"",(VLOOKUP($C238,REV!$C:$AA,22,0)-'TRADE IN'!$F238))</f>
        <v>699</v>
      </c>
      <c r="Y238" s="46">
        <f>IF(VLOOKUP($C238,REV!$C:$AA,23,0)-'TRADE IN'!$F238=0,"",(VLOOKUP($C238,REV!$C:$AA,23,0)-'TRADE IN'!$F238))</f>
        <v>699</v>
      </c>
      <c r="Z238" s="46">
        <f>IF(VLOOKUP($C238,REV!$C:$AA,24,0)-'TRADE IN'!$F238=0,"",(VLOOKUP($C238,REV!$C:$AA,24,0)-'TRADE IN'!$F238))</f>
        <v>699</v>
      </c>
      <c r="AA238" s="46">
        <f>IF(VLOOKUP($C238,REV!$C:$AA,25,0)-'TRADE IN'!$F238=0,"",(VLOOKUP($C238,REV!$C:$AA,25,0)-'TRADE IN'!$F238))</f>
        <v>699</v>
      </c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7"/>
      <c r="AW238" s="48" t="str">
        <f>REV!AW238</f>
        <v>01.12.2026</v>
      </c>
      <c r="AX238" s="153" t="str">
        <f>VLOOKUP(C238,REV!C:AX,48,0)</f>
        <v>4G</v>
      </c>
    </row>
    <row r="239" spans="1:50" ht="22.5" customHeight="1">
      <c r="A239" s="57" t="s">
        <v>247</v>
      </c>
      <c r="B239" s="42" t="s">
        <v>64</v>
      </c>
      <c r="C239" s="43">
        <v>4016976</v>
      </c>
      <c r="D239" s="63" t="s">
        <v>391</v>
      </c>
      <c r="E239" s="58" t="s">
        <v>392</v>
      </c>
      <c r="F239" s="45"/>
      <c r="G239" s="45"/>
      <c r="H239" s="45"/>
      <c r="I239" s="45"/>
      <c r="J239" s="46">
        <f>IF(VLOOKUP($C239,REV!$C:$AA,8,0)-'TRADE IN'!$F239=0,"",(VLOOKUP($C239,REV!$C:$AA,8,0)-'TRADE IN'!$F239))</f>
        <v>799</v>
      </c>
      <c r="K239" s="46">
        <f>IF(VLOOKUP($C239,REV!$C:$AA,9,0)-'TRADE IN'!$F239=0,"",(VLOOKUP($C239,REV!$C:$AA,9,0)-'TRADE IN'!$F239))</f>
        <v>699</v>
      </c>
      <c r="L239" s="46">
        <f>IF(VLOOKUP($C239,REV!$C:$AA,10,0)-'TRADE IN'!$F239=0,"",(VLOOKUP($C239,REV!$C:$AA,10,0)-'TRADE IN'!$F239))</f>
        <v>699</v>
      </c>
      <c r="M239" s="46">
        <f>IF(VLOOKUP($C239,REV!$C:$AA,11,0)-'TRADE IN'!$F239=0,"",(VLOOKUP($C239,REV!$C:$AA,11,0)-'TRADE IN'!$F239))</f>
        <v>799</v>
      </c>
      <c r="N239" s="46">
        <f>IF(VLOOKUP($C239,REV!$C:$AA,12,0)-'TRADE IN'!$F239=0,"",(VLOOKUP($C239,REV!$C:$AA,12,0)-'TRADE IN'!$F239))</f>
        <v>699</v>
      </c>
      <c r="O239" s="46">
        <f>IF(VLOOKUP($C239,REV!$C:$AA,13,0)-'TRADE IN'!$F239=0,"",(VLOOKUP($C239,REV!$C:$AA,13,0)-'TRADE IN'!$F239))</f>
        <v>699</v>
      </c>
      <c r="P239" s="46">
        <f>IF(VLOOKUP($C239,REV!$C:$AA,14,0)-'TRADE IN'!$F239=0,"",(VLOOKUP($C239,REV!$C:$AA,14,0)-'TRADE IN'!$F239))</f>
        <v>699</v>
      </c>
      <c r="Q239" s="46">
        <f>IF(VLOOKUP($C239,REV!$C:$AA,15,0)-'TRADE IN'!$F239=0,"",(VLOOKUP($C239,REV!$C:$AA,15,0)-'TRADE IN'!$F239))</f>
        <v>699</v>
      </c>
      <c r="R239" s="46">
        <f>IF(VLOOKUP($C239,REV!$C:$AA,16,0)-'TRADE IN'!$F239=0,"",(VLOOKUP($C239,REV!$C:$AA,16,0)-'TRADE IN'!$F239))</f>
        <v>699</v>
      </c>
      <c r="S239" s="46">
        <f>IF(VLOOKUP($C239,REV!$C:$AA,17,0)-'TRADE IN'!$F239=0,"",(VLOOKUP($C239,REV!$C:$AA,17,0)-'TRADE IN'!$F239))</f>
        <v>699</v>
      </c>
      <c r="T239" s="46">
        <f>IF(VLOOKUP($C239,REV!$C:$AA,18,0)-'TRADE IN'!$F239=0,"",(VLOOKUP($C239,REV!$C:$AA,18,0)-'TRADE IN'!$F239))</f>
        <v>699</v>
      </c>
      <c r="U239" s="46">
        <f>IF(VLOOKUP($C239,REV!$C:$AA,19,0)-'TRADE IN'!$F239=0,"",(VLOOKUP($C239,REV!$C:$AA,19,0)-'TRADE IN'!$F239))</f>
        <v>699</v>
      </c>
      <c r="V239" s="46">
        <f>IF(VLOOKUP($C239,REV!$C:$AA,20,0)-'TRADE IN'!$F239=0,"",(VLOOKUP($C239,REV!$C:$AA,20,0)-'TRADE IN'!$F239))</f>
        <v>699</v>
      </c>
      <c r="W239" s="46">
        <f>IF(VLOOKUP($C239,REV!$C:$AA,21,0)-'TRADE IN'!$F239=0,"",(VLOOKUP($C239,REV!$C:$AA,21,0)-'TRADE IN'!$F239))</f>
        <v>699</v>
      </c>
      <c r="X239" s="46">
        <f>IF(VLOOKUP($C239,REV!$C:$AA,22,0)-'TRADE IN'!$F239=0,"",(VLOOKUP($C239,REV!$C:$AA,22,0)-'TRADE IN'!$F239))</f>
        <v>699</v>
      </c>
      <c r="Y239" s="46">
        <f>IF(VLOOKUP($C239,REV!$C:$AA,23,0)-'TRADE IN'!$F239=0,"",(VLOOKUP($C239,REV!$C:$AA,23,0)-'TRADE IN'!$F239))</f>
        <v>699</v>
      </c>
      <c r="Z239" s="46">
        <f>IF(VLOOKUP($C239,REV!$C:$AA,24,0)-'TRADE IN'!$F239=0,"",(VLOOKUP($C239,REV!$C:$AA,24,0)-'TRADE IN'!$F239))</f>
        <v>699</v>
      </c>
      <c r="AA239" s="46">
        <f>IF(VLOOKUP($C239,REV!$C:$AA,25,0)-'TRADE IN'!$F239=0,"",(VLOOKUP($C239,REV!$C:$AA,25,0)-'TRADE IN'!$F239))</f>
        <v>699</v>
      </c>
      <c r="AB239" s="46">
        <f>IF(VLOOKUP($C239,REV!$C:$AL,27,0)-'TRADE IN'!$F239=0,"",(VLOOKUP($C239,REV!$C:$AL,27,0)-'TRADE IN'!$F239))</f>
        <v>799</v>
      </c>
      <c r="AC239" s="46">
        <f>IF(VLOOKUP($C239,REV!$C:$AL,28,0)-'TRADE IN'!$F239=0,"",(VLOOKUP($C239,REV!$C:$AL,28,0)-'TRADE IN'!$F239))</f>
        <v>799</v>
      </c>
      <c r="AD239" s="46">
        <f>IF(VLOOKUP($C239,REV!$C:$AL,29,0)-'TRADE IN'!$F239=0,"",(VLOOKUP($C239,REV!$C:$AL,29,0)-'TRADE IN'!$F239))</f>
        <v>799</v>
      </c>
      <c r="AE239" s="46">
        <f>IF(VLOOKUP($C239,REV!$C:$AL,30,0)-'TRADE IN'!$F239=0,"",(VLOOKUP($C239,REV!$C:$AL,30,0)-'TRADE IN'!$F239))</f>
        <v>699</v>
      </c>
      <c r="AF239" s="46">
        <f>IF(VLOOKUP($C239,REV!$C:$AL,31,0)-'TRADE IN'!$F239=0,"",(VLOOKUP($C239,REV!$C:$AL,31,0)-'TRADE IN'!$F239))</f>
        <v>699</v>
      </c>
      <c r="AG239" s="46">
        <f>IF(VLOOKUP($C239,REV!$C:$AL,31,0)-'TRADE IN'!$F239=0,"",(VLOOKUP($C239,REV!$C:$AL,31,0)-'TRADE IN'!$F239))</f>
        <v>699</v>
      </c>
      <c r="AH239" s="46">
        <f>IF(VLOOKUP($C239,REV!$C:$AL,32,0)-'TRADE IN'!$F239=0,"",(VLOOKUP($C239,REV!$C:$AL,32,0)-'TRADE IN'!$F239))</f>
        <v>699</v>
      </c>
      <c r="AI239" s="46">
        <f>IF(VLOOKUP($C239,REV!$C:$AL,33,0)-'TRADE IN'!$F239=0,"",(VLOOKUP($C239,REV!$C:$AL,33,0)-'TRADE IN'!$F239))</f>
        <v>699</v>
      </c>
      <c r="AJ239" s="46">
        <f>IF(VLOOKUP($C239,REV!$C:$AL,34,0)-'TRADE IN'!$F239=0,"",(VLOOKUP($C239,REV!$C:$AL,34,0)-'TRADE IN'!$F239))</f>
        <v>699</v>
      </c>
      <c r="AK239" s="46">
        <f>IF(VLOOKUP($C239,REV!$C:$AL,35,0)-'TRADE IN'!$F239=0,"",(VLOOKUP($C239,REV!$C:$AL,35,0)-'TRADE IN'!$F239))</f>
        <v>699</v>
      </c>
      <c r="AL239" s="46">
        <f>IF(VLOOKUP($C239,REV!$C:$AL,36,0)-'TRADE IN'!$F239=0,"",(VLOOKUP($C239,REV!$C:$AL,36,0)-'TRADE IN'!$F239))</f>
        <v>699</v>
      </c>
      <c r="AM239" s="45"/>
      <c r="AN239" s="45"/>
      <c r="AO239" s="45"/>
      <c r="AP239" s="45"/>
      <c r="AQ239" s="45"/>
      <c r="AR239" s="45"/>
      <c r="AS239" s="45"/>
      <c r="AT239" s="45"/>
      <c r="AU239" s="45"/>
      <c r="AV239" s="47"/>
      <c r="AW239" s="48" t="str">
        <f>REV!AW239</f>
        <v>01.12.2026</v>
      </c>
      <c r="AX239" s="153" t="str">
        <f>VLOOKUP(C239,REV!C:AX,48,0)</f>
        <v>5G</v>
      </c>
    </row>
    <row r="240" spans="1:50" ht="22.5" customHeight="1">
      <c r="A240" s="57" t="s">
        <v>247</v>
      </c>
      <c r="B240" s="42" t="s">
        <v>64</v>
      </c>
      <c r="C240" s="43">
        <v>4016987</v>
      </c>
      <c r="D240" s="63" t="s">
        <v>391</v>
      </c>
      <c r="E240" s="58" t="s">
        <v>393</v>
      </c>
      <c r="F240" s="45"/>
      <c r="G240" s="45"/>
      <c r="H240" s="45"/>
      <c r="I240" s="45"/>
      <c r="J240" s="46">
        <f>IF(VLOOKUP($C240,REV!$C:$AA,8,0)-'TRADE IN'!$F240=0,"",(VLOOKUP($C240,REV!$C:$AA,8,0)-'TRADE IN'!$F240))</f>
        <v>799</v>
      </c>
      <c r="K240" s="46">
        <f>IF(VLOOKUP($C240,REV!$C:$AA,9,0)-'TRADE IN'!$F240=0,"",(VLOOKUP($C240,REV!$C:$AA,9,0)-'TRADE IN'!$F240))</f>
        <v>699</v>
      </c>
      <c r="L240" s="46">
        <f>IF(VLOOKUP($C240,REV!$C:$AA,10,0)-'TRADE IN'!$F240=0,"",(VLOOKUP($C240,REV!$C:$AA,10,0)-'TRADE IN'!$F240))</f>
        <v>699</v>
      </c>
      <c r="M240" s="46">
        <f>IF(VLOOKUP($C240,REV!$C:$AA,11,0)-'TRADE IN'!$F240=0,"",(VLOOKUP($C240,REV!$C:$AA,11,0)-'TRADE IN'!$F240))</f>
        <v>799</v>
      </c>
      <c r="N240" s="46">
        <f>IF(VLOOKUP($C240,REV!$C:$AA,12,0)-'TRADE IN'!$F240=0,"",(VLOOKUP($C240,REV!$C:$AA,12,0)-'TRADE IN'!$F240))</f>
        <v>699</v>
      </c>
      <c r="O240" s="46">
        <f>IF(VLOOKUP($C240,REV!$C:$AA,13,0)-'TRADE IN'!$F240=0,"",(VLOOKUP($C240,REV!$C:$AA,13,0)-'TRADE IN'!$F240))</f>
        <v>699</v>
      </c>
      <c r="P240" s="46">
        <f>IF(VLOOKUP($C240,REV!$C:$AA,14,0)-'TRADE IN'!$F240=0,"",(VLOOKUP($C240,REV!$C:$AA,14,0)-'TRADE IN'!$F240))</f>
        <v>699</v>
      </c>
      <c r="Q240" s="46">
        <f>IF(VLOOKUP($C240,REV!$C:$AA,15,0)-'TRADE IN'!$F240=0,"",(VLOOKUP($C240,REV!$C:$AA,15,0)-'TRADE IN'!$F240))</f>
        <v>699</v>
      </c>
      <c r="R240" s="46">
        <f>IF(VLOOKUP($C240,REV!$C:$AA,16,0)-'TRADE IN'!$F240=0,"",(VLOOKUP($C240,REV!$C:$AA,16,0)-'TRADE IN'!$F240))</f>
        <v>699</v>
      </c>
      <c r="S240" s="46">
        <f>IF(VLOOKUP($C240,REV!$C:$AA,17,0)-'TRADE IN'!$F240=0,"",(VLOOKUP($C240,REV!$C:$AA,17,0)-'TRADE IN'!$F240))</f>
        <v>699</v>
      </c>
      <c r="T240" s="46">
        <f>IF(VLOOKUP($C240,REV!$C:$AA,18,0)-'TRADE IN'!$F240=0,"",(VLOOKUP($C240,REV!$C:$AA,18,0)-'TRADE IN'!$F240))</f>
        <v>699</v>
      </c>
      <c r="U240" s="46">
        <f>IF(VLOOKUP($C240,REV!$C:$AA,19,0)-'TRADE IN'!$F240=0,"",(VLOOKUP($C240,REV!$C:$AA,19,0)-'TRADE IN'!$F240))</f>
        <v>699</v>
      </c>
      <c r="V240" s="46">
        <f>IF(VLOOKUP($C240,REV!$C:$AA,20,0)-'TRADE IN'!$F240=0,"",(VLOOKUP($C240,REV!$C:$AA,20,0)-'TRADE IN'!$F240))</f>
        <v>699</v>
      </c>
      <c r="W240" s="46">
        <f>IF(VLOOKUP($C240,REV!$C:$AA,21,0)-'TRADE IN'!$F240=0,"",(VLOOKUP($C240,REV!$C:$AA,21,0)-'TRADE IN'!$F240))</f>
        <v>699</v>
      </c>
      <c r="X240" s="46">
        <f>IF(VLOOKUP($C240,REV!$C:$AA,22,0)-'TRADE IN'!$F240=0,"",(VLOOKUP($C240,REV!$C:$AA,22,0)-'TRADE IN'!$F240))</f>
        <v>699</v>
      </c>
      <c r="Y240" s="46">
        <f>IF(VLOOKUP($C240,REV!$C:$AA,23,0)-'TRADE IN'!$F240=0,"",(VLOOKUP($C240,REV!$C:$AA,23,0)-'TRADE IN'!$F240))</f>
        <v>699</v>
      </c>
      <c r="Z240" s="46">
        <f>IF(VLOOKUP($C240,REV!$C:$AA,24,0)-'TRADE IN'!$F240=0,"",(VLOOKUP($C240,REV!$C:$AA,24,0)-'TRADE IN'!$F240))</f>
        <v>699</v>
      </c>
      <c r="AA240" s="46">
        <f>IF(VLOOKUP($C240,REV!$C:$AA,25,0)-'TRADE IN'!$F240=0,"",(VLOOKUP($C240,REV!$C:$AA,25,0)-'TRADE IN'!$F240))</f>
        <v>699</v>
      </c>
      <c r="AB240" s="46">
        <f>IF(VLOOKUP($C240,REV!$C:$AL,27,0)-'TRADE IN'!$F240=0,"",(VLOOKUP($C240,REV!$C:$AL,27,0)-'TRADE IN'!$F240))</f>
        <v>799</v>
      </c>
      <c r="AC240" s="46">
        <f>IF(VLOOKUP($C240,REV!$C:$AL,28,0)-'TRADE IN'!$F240=0,"",(VLOOKUP($C240,REV!$C:$AL,28,0)-'TRADE IN'!$F240))</f>
        <v>799</v>
      </c>
      <c r="AD240" s="46">
        <f>IF(VLOOKUP($C240,REV!$C:$AL,29,0)-'TRADE IN'!$F240=0,"",(VLOOKUP($C240,REV!$C:$AL,29,0)-'TRADE IN'!$F240))</f>
        <v>799</v>
      </c>
      <c r="AE240" s="46">
        <f>IF(VLOOKUP($C240,REV!$C:$AL,30,0)-'TRADE IN'!$F240=0,"",(VLOOKUP($C240,REV!$C:$AL,30,0)-'TRADE IN'!$F240))</f>
        <v>699</v>
      </c>
      <c r="AF240" s="46">
        <f>IF(VLOOKUP($C240,REV!$C:$AL,31,0)-'TRADE IN'!$F240=0,"",(VLOOKUP($C240,REV!$C:$AL,31,0)-'TRADE IN'!$F240))</f>
        <v>699</v>
      </c>
      <c r="AG240" s="46">
        <f>IF(VLOOKUP($C240,REV!$C:$AL,31,0)-'TRADE IN'!$F240=0,"",(VLOOKUP($C240,REV!$C:$AL,31,0)-'TRADE IN'!$F240))</f>
        <v>699</v>
      </c>
      <c r="AH240" s="46">
        <f>IF(VLOOKUP($C240,REV!$C:$AL,32,0)-'TRADE IN'!$F240=0,"",(VLOOKUP($C240,REV!$C:$AL,32,0)-'TRADE IN'!$F240))</f>
        <v>699</v>
      </c>
      <c r="AI240" s="46">
        <f>IF(VLOOKUP($C240,REV!$C:$AL,33,0)-'TRADE IN'!$F240=0,"",(VLOOKUP($C240,REV!$C:$AL,33,0)-'TRADE IN'!$F240))</f>
        <v>699</v>
      </c>
      <c r="AJ240" s="46">
        <f>IF(VLOOKUP($C240,REV!$C:$AL,34,0)-'TRADE IN'!$F240=0,"",(VLOOKUP($C240,REV!$C:$AL,34,0)-'TRADE IN'!$F240))</f>
        <v>699</v>
      </c>
      <c r="AK240" s="46">
        <f>IF(VLOOKUP($C240,REV!$C:$AL,35,0)-'TRADE IN'!$F240=0,"",(VLOOKUP($C240,REV!$C:$AL,35,0)-'TRADE IN'!$F240))</f>
        <v>699</v>
      </c>
      <c r="AL240" s="46">
        <f>IF(VLOOKUP($C240,REV!$C:$AL,36,0)-'TRADE IN'!$F240=0,"",(VLOOKUP($C240,REV!$C:$AL,36,0)-'TRADE IN'!$F240))</f>
        <v>699</v>
      </c>
      <c r="AM240" s="45"/>
      <c r="AN240" s="45"/>
      <c r="AO240" s="45"/>
      <c r="AP240" s="45"/>
      <c r="AQ240" s="45"/>
      <c r="AR240" s="45"/>
      <c r="AS240" s="45"/>
      <c r="AT240" s="45"/>
      <c r="AU240" s="45"/>
      <c r="AV240" s="47"/>
      <c r="AW240" s="48" t="str">
        <f>REV!AW240</f>
        <v>01.12.2026</v>
      </c>
      <c r="AX240" s="153" t="str">
        <f>VLOOKUP(C240,REV!C:AX,48,0)</f>
        <v>5G</v>
      </c>
    </row>
    <row r="241" spans="1:50" ht="22.5" customHeight="1">
      <c r="A241" s="57" t="s">
        <v>247</v>
      </c>
      <c r="B241" s="42" t="s">
        <v>64</v>
      </c>
      <c r="C241" s="43">
        <v>4016981</v>
      </c>
      <c r="D241" s="63" t="s">
        <v>391</v>
      </c>
      <c r="E241" s="58" t="s">
        <v>394</v>
      </c>
      <c r="F241" s="45"/>
      <c r="G241" s="45"/>
      <c r="H241" s="45"/>
      <c r="I241" s="45"/>
      <c r="J241" s="46">
        <f>IF(VLOOKUP($C241,REV!$C:$AA,8,0)-'TRADE IN'!$F241=0,"",(VLOOKUP($C241,REV!$C:$AA,8,0)-'TRADE IN'!$F241))</f>
        <v>799</v>
      </c>
      <c r="K241" s="46">
        <f>IF(VLOOKUP($C241,REV!$C:$AA,9,0)-'TRADE IN'!$F241=0,"",(VLOOKUP($C241,REV!$C:$AA,9,0)-'TRADE IN'!$F241))</f>
        <v>699</v>
      </c>
      <c r="L241" s="46">
        <f>IF(VLOOKUP($C241,REV!$C:$AA,10,0)-'TRADE IN'!$F241=0,"",(VLOOKUP($C241,REV!$C:$AA,10,0)-'TRADE IN'!$F241))</f>
        <v>699</v>
      </c>
      <c r="M241" s="46">
        <f>IF(VLOOKUP($C241,REV!$C:$AA,11,0)-'TRADE IN'!$F241=0,"",(VLOOKUP($C241,REV!$C:$AA,11,0)-'TRADE IN'!$F241))</f>
        <v>799</v>
      </c>
      <c r="N241" s="46">
        <f>IF(VLOOKUP($C241,REV!$C:$AA,12,0)-'TRADE IN'!$F241=0,"",(VLOOKUP($C241,REV!$C:$AA,12,0)-'TRADE IN'!$F241))</f>
        <v>699</v>
      </c>
      <c r="O241" s="46">
        <f>IF(VLOOKUP($C241,REV!$C:$AA,13,0)-'TRADE IN'!$F241=0,"",(VLOOKUP($C241,REV!$C:$AA,13,0)-'TRADE IN'!$F241))</f>
        <v>699</v>
      </c>
      <c r="P241" s="46">
        <f>IF(VLOOKUP($C241,REV!$C:$AA,14,0)-'TRADE IN'!$F241=0,"",(VLOOKUP($C241,REV!$C:$AA,14,0)-'TRADE IN'!$F241))</f>
        <v>699</v>
      </c>
      <c r="Q241" s="46">
        <f>IF(VLOOKUP($C241,REV!$C:$AA,15,0)-'TRADE IN'!$F241=0,"",(VLOOKUP($C241,REV!$C:$AA,15,0)-'TRADE IN'!$F241))</f>
        <v>699</v>
      </c>
      <c r="R241" s="46">
        <f>IF(VLOOKUP($C241,REV!$C:$AA,16,0)-'TRADE IN'!$F241=0,"",(VLOOKUP($C241,REV!$C:$AA,16,0)-'TRADE IN'!$F241))</f>
        <v>699</v>
      </c>
      <c r="S241" s="46">
        <f>IF(VLOOKUP($C241,REV!$C:$AA,17,0)-'TRADE IN'!$F241=0,"",(VLOOKUP($C241,REV!$C:$AA,17,0)-'TRADE IN'!$F241))</f>
        <v>699</v>
      </c>
      <c r="T241" s="46">
        <f>IF(VLOOKUP($C241,REV!$C:$AA,18,0)-'TRADE IN'!$F241=0,"",(VLOOKUP($C241,REV!$C:$AA,18,0)-'TRADE IN'!$F241))</f>
        <v>699</v>
      </c>
      <c r="U241" s="46">
        <f>IF(VLOOKUP($C241,REV!$C:$AA,19,0)-'TRADE IN'!$F241=0,"",(VLOOKUP($C241,REV!$C:$AA,19,0)-'TRADE IN'!$F241))</f>
        <v>699</v>
      </c>
      <c r="V241" s="46">
        <f>IF(VLOOKUP($C241,REV!$C:$AA,20,0)-'TRADE IN'!$F241=0,"",(VLOOKUP($C241,REV!$C:$AA,20,0)-'TRADE IN'!$F241))</f>
        <v>699</v>
      </c>
      <c r="W241" s="46">
        <f>IF(VLOOKUP($C241,REV!$C:$AA,21,0)-'TRADE IN'!$F241=0,"",(VLOOKUP($C241,REV!$C:$AA,21,0)-'TRADE IN'!$F241))</f>
        <v>699</v>
      </c>
      <c r="X241" s="46">
        <f>IF(VLOOKUP($C241,REV!$C:$AA,22,0)-'TRADE IN'!$F241=0,"",(VLOOKUP($C241,REV!$C:$AA,22,0)-'TRADE IN'!$F241))</f>
        <v>699</v>
      </c>
      <c r="Y241" s="46">
        <f>IF(VLOOKUP($C241,REV!$C:$AA,23,0)-'TRADE IN'!$F241=0,"",(VLOOKUP($C241,REV!$C:$AA,23,0)-'TRADE IN'!$F241))</f>
        <v>699</v>
      </c>
      <c r="Z241" s="46">
        <f>IF(VLOOKUP($C241,REV!$C:$AA,24,0)-'TRADE IN'!$F241=0,"",(VLOOKUP($C241,REV!$C:$AA,24,0)-'TRADE IN'!$F241))</f>
        <v>699</v>
      </c>
      <c r="AA241" s="46">
        <f>IF(VLOOKUP($C241,REV!$C:$AA,25,0)-'TRADE IN'!$F241=0,"",(VLOOKUP($C241,REV!$C:$AA,25,0)-'TRADE IN'!$F241))</f>
        <v>699</v>
      </c>
      <c r="AB241" s="46">
        <f>IF(VLOOKUP($C241,REV!$C:$AL,27,0)-'TRADE IN'!$F241=0,"",(VLOOKUP($C241,REV!$C:$AL,27,0)-'TRADE IN'!$F241))</f>
        <v>799</v>
      </c>
      <c r="AC241" s="46">
        <f>IF(VLOOKUP($C241,REV!$C:$AL,28,0)-'TRADE IN'!$F241=0,"",(VLOOKUP($C241,REV!$C:$AL,28,0)-'TRADE IN'!$F241))</f>
        <v>799</v>
      </c>
      <c r="AD241" s="46">
        <f>IF(VLOOKUP($C241,REV!$C:$AL,29,0)-'TRADE IN'!$F241=0,"",(VLOOKUP($C241,REV!$C:$AL,29,0)-'TRADE IN'!$F241))</f>
        <v>799</v>
      </c>
      <c r="AE241" s="46">
        <f>IF(VLOOKUP($C241,REV!$C:$AL,30,0)-'TRADE IN'!$F241=0,"",(VLOOKUP($C241,REV!$C:$AL,30,0)-'TRADE IN'!$F241))</f>
        <v>699</v>
      </c>
      <c r="AF241" s="46">
        <f>IF(VLOOKUP($C241,REV!$C:$AL,31,0)-'TRADE IN'!$F241=0,"",(VLOOKUP($C241,REV!$C:$AL,31,0)-'TRADE IN'!$F241))</f>
        <v>699</v>
      </c>
      <c r="AG241" s="46">
        <f>IF(VLOOKUP($C241,REV!$C:$AL,31,0)-'TRADE IN'!$F241=0,"",(VLOOKUP($C241,REV!$C:$AL,31,0)-'TRADE IN'!$F241))</f>
        <v>699</v>
      </c>
      <c r="AH241" s="46">
        <f>IF(VLOOKUP($C241,REV!$C:$AL,32,0)-'TRADE IN'!$F241=0,"",(VLOOKUP($C241,REV!$C:$AL,32,0)-'TRADE IN'!$F241))</f>
        <v>699</v>
      </c>
      <c r="AI241" s="46">
        <f>IF(VLOOKUP($C241,REV!$C:$AL,33,0)-'TRADE IN'!$F241=0,"",(VLOOKUP($C241,REV!$C:$AL,33,0)-'TRADE IN'!$F241))</f>
        <v>699</v>
      </c>
      <c r="AJ241" s="46">
        <f>IF(VLOOKUP($C241,REV!$C:$AL,34,0)-'TRADE IN'!$F241=0,"",(VLOOKUP($C241,REV!$C:$AL,34,0)-'TRADE IN'!$F241))</f>
        <v>699</v>
      </c>
      <c r="AK241" s="46">
        <f>IF(VLOOKUP($C241,REV!$C:$AL,35,0)-'TRADE IN'!$F241=0,"",(VLOOKUP($C241,REV!$C:$AL,35,0)-'TRADE IN'!$F241))</f>
        <v>699</v>
      </c>
      <c r="AL241" s="46">
        <f>IF(VLOOKUP($C241,REV!$C:$AL,36,0)-'TRADE IN'!$F241=0,"",(VLOOKUP($C241,REV!$C:$AL,36,0)-'TRADE IN'!$F241))</f>
        <v>699</v>
      </c>
      <c r="AM241" s="45"/>
      <c r="AN241" s="45"/>
      <c r="AO241" s="45"/>
      <c r="AP241" s="45"/>
      <c r="AQ241" s="45"/>
      <c r="AR241" s="45"/>
      <c r="AS241" s="45"/>
      <c r="AT241" s="45"/>
      <c r="AU241" s="45"/>
      <c r="AV241" s="47"/>
      <c r="AW241" s="48" t="str">
        <f>REV!AW241</f>
        <v>01.12.2026</v>
      </c>
      <c r="AX241" s="153" t="str">
        <f>VLOOKUP(C241,REV!C:AX,48,0)</f>
        <v>5G</v>
      </c>
    </row>
    <row r="242" spans="1:50" ht="22.5" customHeight="1">
      <c r="A242" s="57" t="s">
        <v>247</v>
      </c>
      <c r="B242" s="42" t="s">
        <v>64</v>
      </c>
      <c r="C242" s="43">
        <v>4016995</v>
      </c>
      <c r="D242" s="63" t="s">
        <v>391</v>
      </c>
      <c r="E242" s="58" t="s">
        <v>395</v>
      </c>
      <c r="F242" s="45"/>
      <c r="G242" s="45"/>
      <c r="H242" s="45"/>
      <c r="I242" s="45"/>
      <c r="J242" s="46">
        <f>IF(VLOOKUP($C242,REV!$C:$AA,8,0)-'TRADE IN'!$F242=0,"",(VLOOKUP($C242,REV!$C:$AA,8,0)-'TRADE IN'!$F242))</f>
        <v>799</v>
      </c>
      <c r="K242" s="46">
        <f>IF(VLOOKUP($C242,REV!$C:$AA,9,0)-'TRADE IN'!$F242=0,"",(VLOOKUP($C242,REV!$C:$AA,9,0)-'TRADE IN'!$F242))</f>
        <v>699</v>
      </c>
      <c r="L242" s="46">
        <f>IF(VLOOKUP($C242,REV!$C:$AA,10,0)-'TRADE IN'!$F242=0,"",(VLOOKUP($C242,REV!$C:$AA,10,0)-'TRADE IN'!$F242))</f>
        <v>699</v>
      </c>
      <c r="M242" s="46">
        <f>IF(VLOOKUP($C242,REV!$C:$AA,11,0)-'TRADE IN'!$F242=0,"",(VLOOKUP($C242,REV!$C:$AA,11,0)-'TRADE IN'!$F242))</f>
        <v>799</v>
      </c>
      <c r="N242" s="46">
        <f>IF(VLOOKUP($C242,REV!$C:$AA,12,0)-'TRADE IN'!$F242=0,"",(VLOOKUP($C242,REV!$C:$AA,12,0)-'TRADE IN'!$F242))</f>
        <v>699</v>
      </c>
      <c r="O242" s="46">
        <f>IF(VLOOKUP($C242,REV!$C:$AA,13,0)-'TRADE IN'!$F242=0,"",(VLOOKUP($C242,REV!$C:$AA,13,0)-'TRADE IN'!$F242))</f>
        <v>699</v>
      </c>
      <c r="P242" s="46">
        <f>IF(VLOOKUP($C242,REV!$C:$AA,14,0)-'TRADE IN'!$F242=0,"",(VLOOKUP($C242,REV!$C:$AA,14,0)-'TRADE IN'!$F242))</f>
        <v>699</v>
      </c>
      <c r="Q242" s="46">
        <f>IF(VLOOKUP($C242,REV!$C:$AA,15,0)-'TRADE IN'!$F242=0,"",(VLOOKUP($C242,REV!$C:$AA,15,0)-'TRADE IN'!$F242))</f>
        <v>699</v>
      </c>
      <c r="R242" s="46">
        <f>IF(VLOOKUP($C242,REV!$C:$AA,16,0)-'TRADE IN'!$F242=0,"",(VLOOKUP($C242,REV!$C:$AA,16,0)-'TRADE IN'!$F242))</f>
        <v>699</v>
      </c>
      <c r="S242" s="46">
        <f>IF(VLOOKUP($C242,REV!$C:$AA,17,0)-'TRADE IN'!$F242=0,"",(VLOOKUP($C242,REV!$C:$AA,17,0)-'TRADE IN'!$F242))</f>
        <v>699</v>
      </c>
      <c r="T242" s="46">
        <f>IF(VLOOKUP($C242,REV!$C:$AA,18,0)-'TRADE IN'!$F242=0,"",(VLOOKUP($C242,REV!$C:$AA,18,0)-'TRADE IN'!$F242))</f>
        <v>699</v>
      </c>
      <c r="U242" s="46">
        <f>IF(VLOOKUP($C242,REV!$C:$AA,19,0)-'TRADE IN'!$F242=0,"",(VLOOKUP($C242,REV!$C:$AA,19,0)-'TRADE IN'!$F242))</f>
        <v>699</v>
      </c>
      <c r="V242" s="46">
        <f>IF(VLOOKUP($C242,REV!$C:$AA,20,0)-'TRADE IN'!$F242=0,"",(VLOOKUP($C242,REV!$C:$AA,20,0)-'TRADE IN'!$F242))</f>
        <v>699</v>
      </c>
      <c r="W242" s="46">
        <f>IF(VLOOKUP($C242,REV!$C:$AA,21,0)-'TRADE IN'!$F242=0,"",(VLOOKUP($C242,REV!$C:$AA,21,0)-'TRADE IN'!$F242))</f>
        <v>699</v>
      </c>
      <c r="X242" s="46">
        <f>IF(VLOOKUP($C242,REV!$C:$AA,22,0)-'TRADE IN'!$F242=0,"",(VLOOKUP($C242,REV!$C:$AA,22,0)-'TRADE IN'!$F242))</f>
        <v>699</v>
      </c>
      <c r="Y242" s="46">
        <f>IF(VLOOKUP($C242,REV!$C:$AA,23,0)-'TRADE IN'!$F242=0,"",(VLOOKUP($C242,REV!$C:$AA,23,0)-'TRADE IN'!$F242))</f>
        <v>699</v>
      </c>
      <c r="Z242" s="46">
        <f>IF(VLOOKUP($C242,REV!$C:$AA,24,0)-'TRADE IN'!$F242=0,"",(VLOOKUP($C242,REV!$C:$AA,24,0)-'TRADE IN'!$F242))</f>
        <v>699</v>
      </c>
      <c r="AA242" s="46">
        <f>IF(VLOOKUP($C242,REV!$C:$AA,25,0)-'TRADE IN'!$F242=0,"",(VLOOKUP($C242,REV!$C:$AA,25,0)-'TRADE IN'!$F242))</f>
        <v>699</v>
      </c>
      <c r="AB242" s="46">
        <f>IF(VLOOKUP($C242,REV!$C:$AL,27,0)-'TRADE IN'!$F242=0,"",(VLOOKUP($C242,REV!$C:$AL,27,0)-'TRADE IN'!$F242))</f>
        <v>799</v>
      </c>
      <c r="AC242" s="46">
        <f>IF(VLOOKUP($C242,REV!$C:$AL,28,0)-'TRADE IN'!$F242=0,"",(VLOOKUP($C242,REV!$C:$AL,28,0)-'TRADE IN'!$F242))</f>
        <v>799</v>
      </c>
      <c r="AD242" s="46">
        <f>IF(VLOOKUP($C242,REV!$C:$AL,29,0)-'TRADE IN'!$F242=0,"",(VLOOKUP($C242,REV!$C:$AL,29,0)-'TRADE IN'!$F242))</f>
        <v>799</v>
      </c>
      <c r="AE242" s="46">
        <f>IF(VLOOKUP($C242,REV!$C:$AL,30,0)-'TRADE IN'!$F242=0,"",(VLOOKUP($C242,REV!$C:$AL,30,0)-'TRADE IN'!$F242))</f>
        <v>699</v>
      </c>
      <c r="AF242" s="46">
        <f>IF(VLOOKUP($C242,REV!$C:$AL,31,0)-'TRADE IN'!$F242=0,"",(VLOOKUP($C242,REV!$C:$AL,31,0)-'TRADE IN'!$F242))</f>
        <v>699</v>
      </c>
      <c r="AG242" s="46">
        <f>IF(VLOOKUP($C242,REV!$C:$AL,31,0)-'TRADE IN'!$F242=0,"",(VLOOKUP($C242,REV!$C:$AL,31,0)-'TRADE IN'!$F242))</f>
        <v>699</v>
      </c>
      <c r="AH242" s="46">
        <f>IF(VLOOKUP($C242,REV!$C:$AL,32,0)-'TRADE IN'!$F242=0,"",(VLOOKUP($C242,REV!$C:$AL,32,0)-'TRADE IN'!$F242))</f>
        <v>699</v>
      </c>
      <c r="AI242" s="46">
        <f>IF(VLOOKUP($C242,REV!$C:$AL,33,0)-'TRADE IN'!$F242=0,"",(VLOOKUP($C242,REV!$C:$AL,33,0)-'TRADE IN'!$F242))</f>
        <v>699</v>
      </c>
      <c r="AJ242" s="46">
        <f>IF(VLOOKUP($C242,REV!$C:$AL,34,0)-'TRADE IN'!$F242=0,"",(VLOOKUP($C242,REV!$C:$AL,34,0)-'TRADE IN'!$F242))</f>
        <v>699</v>
      </c>
      <c r="AK242" s="46">
        <f>IF(VLOOKUP($C242,REV!$C:$AL,35,0)-'TRADE IN'!$F242=0,"",(VLOOKUP($C242,REV!$C:$AL,35,0)-'TRADE IN'!$F242))</f>
        <v>699</v>
      </c>
      <c r="AL242" s="46">
        <f>IF(VLOOKUP($C242,REV!$C:$AL,36,0)-'TRADE IN'!$F242=0,"",(VLOOKUP($C242,REV!$C:$AL,36,0)-'TRADE IN'!$F242))</f>
        <v>699</v>
      </c>
      <c r="AM242" s="45"/>
      <c r="AN242" s="45"/>
      <c r="AO242" s="45"/>
      <c r="AP242" s="45"/>
      <c r="AQ242" s="45"/>
      <c r="AR242" s="45"/>
      <c r="AS242" s="45"/>
      <c r="AT242" s="45"/>
      <c r="AU242" s="45"/>
      <c r="AV242" s="47"/>
      <c r="AW242" s="48" t="str">
        <f>REV!AW242</f>
        <v>01.12.2026</v>
      </c>
      <c r="AX242" s="153" t="str">
        <f>VLOOKUP(C242,REV!C:AX,48,0)</f>
        <v>5G</v>
      </c>
    </row>
    <row r="243" spans="1:50" ht="22.5" customHeight="1">
      <c r="A243" s="57" t="s">
        <v>247</v>
      </c>
      <c r="B243" s="42" t="s">
        <v>64</v>
      </c>
      <c r="C243" s="64">
        <v>4017375</v>
      </c>
      <c r="D243" s="63" t="s">
        <v>396</v>
      </c>
      <c r="E243" s="58" t="s">
        <v>397</v>
      </c>
      <c r="F243" s="45"/>
      <c r="G243" s="45"/>
      <c r="H243" s="45"/>
      <c r="I243" s="45"/>
      <c r="J243" s="46">
        <f>IF(VLOOKUP($C243,REV!$C:$AA,8,0)-'TRADE IN'!$F243=0,"",(VLOOKUP($C243,REV!$C:$AA,8,0)-'TRADE IN'!$F243))</f>
        <v>899</v>
      </c>
      <c r="K243" s="46">
        <f>IF(VLOOKUP($C243,REV!$C:$AA,9,0)-'TRADE IN'!$F243=0,"",(VLOOKUP($C243,REV!$C:$AA,9,0)-'TRADE IN'!$F243))</f>
        <v>799</v>
      </c>
      <c r="L243" s="46">
        <f>IF(VLOOKUP($C243,REV!$C:$AA,10,0)-'TRADE IN'!$F243=0,"",(VLOOKUP($C243,REV!$C:$AA,10,0)-'TRADE IN'!$F243))</f>
        <v>799</v>
      </c>
      <c r="M243" s="46">
        <f>IF(VLOOKUP($C243,REV!$C:$AA,11,0)-'TRADE IN'!$F243=0,"",(VLOOKUP($C243,REV!$C:$AA,11,0)-'TRADE IN'!$F243))</f>
        <v>899</v>
      </c>
      <c r="N243" s="46">
        <f>IF(VLOOKUP($C243,REV!$C:$AA,12,0)-'TRADE IN'!$F243=0,"",(VLOOKUP($C243,REV!$C:$AA,12,0)-'TRADE IN'!$F243))</f>
        <v>799</v>
      </c>
      <c r="O243" s="46">
        <f>IF(VLOOKUP($C243,REV!$C:$AA,13,0)-'TRADE IN'!$F243=0,"",(VLOOKUP($C243,REV!$C:$AA,13,0)-'TRADE IN'!$F243))</f>
        <v>749</v>
      </c>
      <c r="P243" s="46">
        <f>IF(VLOOKUP($C243,REV!$C:$AA,14,0)-'TRADE IN'!$F243=0,"",(VLOOKUP($C243,REV!$C:$AA,14,0)-'TRADE IN'!$F243))</f>
        <v>749</v>
      </c>
      <c r="Q243" s="46">
        <f>IF(VLOOKUP($C243,REV!$C:$AA,15,0)-'TRADE IN'!$F243=0,"",(VLOOKUP($C243,REV!$C:$AA,15,0)-'TRADE IN'!$F243))</f>
        <v>699</v>
      </c>
      <c r="R243" s="46">
        <f>IF(VLOOKUP($C243,REV!$C:$AA,16,0)-'TRADE IN'!$F243=0,"",(VLOOKUP($C243,REV!$C:$AA,16,0)-'TRADE IN'!$F243))</f>
        <v>749</v>
      </c>
      <c r="S243" s="46">
        <f>IF(VLOOKUP($C243,REV!$C:$AA,17,0)-'TRADE IN'!$F243=0,"",(VLOOKUP($C243,REV!$C:$AA,17,0)-'TRADE IN'!$F243))</f>
        <v>749</v>
      </c>
      <c r="T243" s="46">
        <f>IF(VLOOKUP($C243,REV!$C:$AA,18,0)-'TRADE IN'!$F243=0,"",(VLOOKUP($C243,REV!$C:$AA,18,0)-'TRADE IN'!$F243))</f>
        <v>699</v>
      </c>
      <c r="U243" s="46">
        <f>IF(VLOOKUP($C243,REV!$C:$AA,19,0)-'TRADE IN'!$F243=0,"",(VLOOKUP($C243,REV!$C:$AA,19,0)-'TRADE IN'!$F243))</f>
        <v>699</v>
      </c>
      <c r="V243" s="46">
        <f>IF(VLOOKUP($C243,REV!$C:$AA,20,0)-'TRADE IN'!$F243=0,"",(VLOOKUP($C243,REV!$C:$AA,20,0)-'TRADE IN'!$F243))</f>
        <v>699</v>
      </c>
      <c r="W243" s="46">
        <f>IF(VLOOKUP($C243,REV!$C:$AA,21,0)-'TRADE IN'!$F243=0,"",(VLOOKUP($C243,REV!$C:$AA,21,0)-'TRADE IN'!$F243))</f>
        <v>699</v>
      </c>
      <c r="X243" s="46">
        <f>IF(VLOOKUP($C243,REV!$C:$AA,22,0)-'TRADE IN'!$F243=0,"",(VLOOKUP($C243,REV!$C:$AA,22,0)-'TRADE IN'!$F243))</f>
        <v>699</v>
      </c>
      <c r="Y243" s="46">
        <f>IF(VLOOKUP($C243,REV!$C:$AA,23,0)-'TRADE IN'!$F243=0,"",(VLOOKUP($C243,REV!$C:$AA,23,0)-'TRADE IN'!$F243))</f>
        <v>699</v>
      </c>
      <c r="Z243" s="46">
        <f>IF(VLOOKUP($C243,REV!$C:$AA,24,0)-'TRADE IN'!$F243=0,"",(VLOOKUP($C243,REV!$C:$AA,24,0)-'TRADE IN'!$F243))</f>
        <v>699</v>
      </c>
      <c r="AA243" s="46">
        <f>IF(VLOOKUP($C243,REV!$C:$AA,25,0)-'TRADE IN'!$F243=0,"",(VLOOKUP($C243,REV!$C:$AA,25,0)-'TRADE IN'!$F243))</f>
        <v>699</v>
      </c>
      <c r="AB243" s="46">
        <f>IF(VLOOKUP($C243,REV!$C:$AL,27,0)-'TRADE IN'!$F243=0,"",(VLOOKUP($C243,REV!$C:$AL,27,0)-'TRADE IN'!$F243))</f>
        <v>799</v>
      </c>
      <c r="AC243" s="46">
        <f>IF(VLOOKUP($C243,REV!$C:$AL,28,0)-'TRADE IN'!$F243=0,"",(VLOOKUP($C243,REV!$C:$AL,28,0)-'TRADE IN'!$F243))</f>
        <v>799</v>
      </c>
      <c r="AD243" s="46">
        <f>IF(VLOOKUP($C243,REV!$C:$AL,29,0)-'TRADE IN'!$F243=0,"",(VLOOKUP($C243,REV!$C:$AL,29,0)-'TRADE IN'!$F243))</f>
        <v>749</v>
      </c>
      <c r="AE243" s="46">
        <f>IF(VLOOKUP($C243,REV!$C:$AL,30,0)-'TRADE IN'!$F243=0,"",(VLOOKUP($C243,REV!$C:$AL,30,0)-'TRADE IN'!$F243))</f>
        <v>749</v>
      </c>
      <c r="AF243" s="46">
        <f>IF(VLOOKUP($C243,REV!$C:$AL,31,0)-'TRADE IN'!$F243=0,"",(VLOOKUP($C243,REV!$C:$AL,31,0)-'TRADE IN'!$F243))</f>
        <v>749</v>
      </c>
      <c r="AG243" s="46">
        <f>IF(VLOOKUP($C243,REV!$C:$AL,31,0)-'TRADE IN'!$F243=0,"",(VLOOKUP($C243,REV!$C:$AL,31,0)-'TRADE IN'!$F243))</f>
        <v>749</v>
      </c>
      <c r="AH243" s="46">
        <f>IF(VLOOKUP($C243,REV!$C:$AL,32,0)-'TRADE IN'!$F243=0,"",(VLOOKUP($C243,REV!$C:$AL,32,0)-'TRADE IN'!$F243))</f>
        <v>699</v>
      </c>
      <c r="AI243" s="46">
        <f>IF(VLOOKUP($C243,REV!$C:$AL,33,0)-'TRADE IN'!$F243=0,"",(VLOOKUP($C243,REV!$C:$AL,33,0)-'TRADE IN'!$F243))</f>
        <v>699</v>
      </c>
      <c r="AJ243" s="46">
        <f>IF(VLOOKUP($C243,REV!$C:$AL,34,0)-'TRADE IN'!$F243=0,"",(VLOOKUP($C243,REV!$C:$AL,34,0)-'TRADE IN'!$F243))</f>
        <v>699</v>
      </c>
      <c r="AK243" s="46">
        <f>IF(VLOOKUP($C243,REV!$C:$AL,35,0)-'TRADE IN'!$F243=0,"",(VLOOKUP($C243,REV!$C:$AL,35,0)-'TRADE IN'!$F243))</f>
        <v>699</v>
      </c>
      <c r="AL243" s="46">
        <f>IF(VLOOKUP($C243,REV!$C:$AL,36,0)-'TRADE IN'!$F243=0,"",(VLOOKUP($C243,REV!$C:$AL,36,0)-'TRADE IN'!$F243))</f>
        <v>699</v>
      </c>
      <c r="AM243" s="45"/>
      <c r="AN243" s="45"/>
      <c r="AO243" s="45"/>
      <c r="AP243" s="45"/>
      <c r="AQ243" s="45"/>
      <c r="AR243" s="45"/>
      <c r="AS243" s="45"/>
      <c r="AT243" s="45"/>
      <c r="AU243" s="45"/>
      <c r="AV243" s="47"/>
      <c r="AW243" s="48" t="str">
        <f>REV!AW243</f>
        <v>01.12.2026</v>
      </c>
      <c r="AX243" s="153" t="str">
        <f>VLOOKUP(C243,REV!C:AX,48,0)</f>
        <v>5G</v>
      </c>
    </row>
    <row r="244" spans="1:50" ht="22.5" customHeight="1">
      <c r="A244" s="57" t="s">
        <v>247</v>
      </c>
      <c r="B244" s="42" t="s">
        <v>64</v>
      </c>
      <c r="C244" s="64">
        <v>4017537</v>
      </c>
      <c r="D244" s="63" t="s">
        <v>396</v>
      </c>
      <c r="E244" s="58" t="s">
        <v>398</v>
      </c>
      <c r="F244" s="45"/>
      <c r="G244" s="45"/>
      <c r="H244" s="45"/>
      <c r="I244" s="45"/>
      <c r="J244" s="46">
        <f>IF(VLOOKUP($C244,REV!$C:$AA,8,0)-'TRADE IN'!$F244=0,"",(VLOOKUP($C244,REV!$C:$AA,8,0)-'TRADE IN'!$F244))</f>
        <v>899</v>
      </c>
      <c r="K244" s="46">
        <f>IF(VLOOKUP($C244,REV!$C:$AA,9,0)-'TRADE IN'!$F244=0,"",(VLOOKUP($C244,REV!$C:$AA,9,0)-'TRADE IN'!$F244))</f>
        <v>799</v>
      </c>
      <c r="L244" s="46">
        <f>IF(VLOOKUP($C244,REV!$C:$AA,10,0)-'TRADE IN'!$F244=0,"",(VLOOKUP($C244,REV!$C:$AA,10,0)-'TRADE IN'!$F244))</f>
        <v>799</v>
      </c>
      <c r="M244" s="46">
        <f>IF(VLOOKUP($C244,REV!$C:$AA,11,0)-'TRADE IN'!$F244=0,"",(VLOOKUP($C244,REV!$C:$AA,11,0)-'TRADE IN'!$F244))</f>
        <v>899</v>
      </c>
      <c r="N244" s="46">
        <f>IF(VLOOKUP($C244,REV!$C:$AA,12,0)-'TRADE IN'!$F244=0,"",(VLOOKUP($C244,REV!$C:$AA,12,0)-'TRADE IN'!$F244))</f>
        <v>799</v>
      </c>
      <c r="O244" s="46">
        <f>IF(VLOOKUP($C244,REV!$C:$AA,13,0)-'TRADE IN'!$F244=0,"",(VLOOKUP($C244,REV!$C:$AA,13,0)-'TRADE IN'!$F244))</f>
        <v>749</v>
      </c>
      <c r="P244" s="46">
        <f>IF(VLOOKUP($C244,REV!$C:$AA,14,0)-'TRADE IN'!$F244=0,"",(VLOOKUP($C244,REV!$C:$AA,14,0)-'TRADE IN'!$F244))</f>
        <v>749</v>
      </c>
      <c r="Q244" s="46">
        <f>IF(VLOOKUP($C244,REV!$C:$AA,15,0)-'TRADE IN'!$F244=0,"",(VLOOKUP($C244,REV!$C:$AA,15,0)-'TRADE IN'!$F244))</f>
        <v>699</v>
      </c>
      <c r="R244" s="46">
        <f>IF(VLOOKUP($C244,REV!$C:$AA,16,0)-'TRADE IN'!$F244=0,"",(VLOOKUP($C244,REV!$C:$AA,16,0)-'TRADE IN'!$F244))</f>
        <v>749</v>
      </c>
      <c r="S244" s="46">
        <f>IF(VLOOKUP($C244,REV!$C:$AA,17,0)-'TRADE IN'!$F244=0,"",(VLOOKUP($C244,REV!$C:$AA,17,0)-'TRADE IN'!$F244))</f>
        <v>749</v>
      </c>
      <c r="T244" s="46">
        <f>IF(VLOOKUP($C244,REV!$C:$AA,18,0)-'TRADE IN'!$F244=0,"",(VLOOKUP($C244,REV!$C:$AA,18,0)-'TRADE IN'!$F244))</f>
        <v>699</v>
      </c>
      <c r="U244" s="46">
        <f>IF(VLOOKUP($C244,REV!$C:$AA,19,0)-'TRADE IN'!$F244=0,"",(VLOOKUP($C244,REV!$C:$AA,19,0)-'TRADE IN'!$F244))</f>
        <v>699</v>
      </c>
      <c r="V244" s="46">
        <f>IF(VLOOKUP($C244,REV!$C:$AA,20,0)-'TRADE IN'!$F244=0,"",(VLOOKUP($C244,REV!$C:$AA,20,0)-'TRADE IN'!$F244))</f>
        <v>699</v>
      </c>
      <c r="W244" s="46">
        <f>IF(VLOOKUP($C244,REV!$C:$AA,21,0)-'TRADE IN'!$F244=0,"",(VLOOKUP($C244,REV!$C:$AA,21,0)-'TRADE IN'!$F244))</f>
        <v>699</v>
      </c>
      <c r="X244" s="46">
        <f>IF(VLOOKUP($C244,REV!$C:$AA,22,0)-'TRADE IN'!$F244=0,"",(VLOOKUP($C244,REV!$C:$AA,22,0)-'TRADE IN'!$F244))</f>
        <v>699</v>
      </c>
      <c r="Y244" s="46">
        <f>IF(VLOOKUP($C244,REV!$C:$AA,23,0)-'TRADE IN'!$F244=0,"",(VLOOKUP($C244,REV!$C:$AA,23,0)-'TRADE IN'!$F244))</f>
        <v>699</v>
      </c>
      <c r="Z244" s="46">
        <f>IF(VLOOKUP($C244,REV!$C:$AA,24,0)-'TRADE IN'!$F244=0,"",(VLOOKUP($C244,REV!$C:$AA,24,0)-'TRADE IN'!$F244))</f>
        <v>699</v>
      </c>
      <c r="AA244" s="46">
        <f>IF(VLOOKUP($C244,REV!$C:$AA,25,0)-'TRADE IN'!$F244=0,"",(VLOOKUP($C244,REV!$C:$AA,25,0)-'TRADE IN'!$F244))</f>
        <v>699</v>
      </c>
      <c r="AB244" s="46">
        <f>IF(VLOOKUP($C244,REV!$C:$AL,27,0)-'TRADE IN'!$F244=0,"",(VLOOKUP($C244,REV!$C:$AL,27,0)-'TRADE IN'!$F244))</f>
        <v>799</v>
      </c>
      <c r="AC244" s="46">
        <f>IF(VLOOKUP($C244,REV!$C:$AL,28,0)-'TRADE IN'!$F244=0,"",(VLOOKUP($C244,REV!$C:$AL,28,0)-'TRADE IN'!$F244))</f>
        <v>799</v>
      </c>
      <c r="AD244" s="46">
        <f>IF(VLOOKUP($C244,REV!$C:$AL,29,0)-'TRADE IN'!$F244=0,"",(VLOOKUP($C244,REV!$C:$AL,29,0)-'TRADE IN'!$F244))</f>
        <v>749</v>
      </c>
      <c r="AE244" s="46">
        <f>IF(VLOOKUP($C244,REV!$C:$AL,30,0)-'TRADE IN'!$F244=0,"",(VLOOKUP($C244,REV!$C:$AL,30,0)-'TRADE IN'!$F244))</f>
        <v>749</v>
      </c>
      <c r="AF244" s="46">
        <f>IF(VLOOKUP($C244,REV!$C:$AL,31,0)-'TRADE IN'!$F244=0,"",(VLOOKUP($C244,REV!$C:$AL,31,0)-'TRADE IN'!$F244))</f>
        <v>749</v>
      </c>
      <c r="AG244" s="46">
        <f>IF(VLOOKUP($C244,REV!$C:$AL,31,0)-'TRADE IN'!$F244=0,"",(VLOOKUP($C244,REV!$C:$AL,31,0)-'TRADE IN'!$F244))</f>
        <v>749</v>
      </c>
      <c r="AH244" s="46">
        <f>IF(VLOOKUP($C244,REV!$C:$AL,32,0)-'TRADE IN'!$F244=0,"",(VLOOKUP($C244,REV!$C:$AL,32,0)-'TRADE IN'!$F244))</f>
        <v>699</v>
      </c>
      <c r="AI244" s="46">
        <f>IF(VLOOKUP($C244,REV!$C:$AL,33,0)-'TRADE IN'!$F244=0,"",(VLOOKUP($C244,REV!$C:$AL,33,0)-'TRADE IN'!$F244))</f>
        <v>699</v>
      </c>
      <c r="AJ244" s="46">
        <f>IF(VLOOKUP($C244,REV!$C:$AL,34,0)-'TRADE IN'!$F244=0,"",(VLOOKUP($C244,REV!$C:$AL,34,0)-'TRADE IN'!$F244))</f>
        <v>699</v>
      </c>
      <c r="AK244" s="46">
        <f>IF(VLOOKUP($C244,REV!$C:$AL,35,0)-'TRADE IN'!$F244=0,"",(VLOOKUP($C244,REV!$C:$AL,35,0)-'TRADE IN'!$F244))</f>
        <v>699</v>
      </c>
      <c r="AL244" s="46">
        <f>IF(VLOOKUP($C244,REV!$C:$AL,36,0)-'TRADE IN'!$F244=0,"",(VLOOKUP($C244,REV!$C:$AL,36,0)-'TRADE IN'!$F244))</f>
        <v>699</v>
      </c>
      <c r="AM244" s="45"/>
      <c r="AN244" s="45"/>
      <c r="AO244" s="45"/>
      <c r="AP244" s="45"/>
      <c r="AQ244" s="45"/>
      <c r="AR244" s="45"/>
      <c r="AS244" s="45"/>
      <c r="AT244" s="45"/>
      <c r="AU244" s="45"/>
      <c r="AV244" s="47"/>
      <c r="AW244" s="48" t="str">
        <f>REV!AW244</f>
        <v>01.12.2026</v>
      </c>
      <c r="AX244" s="153" t="str">
        <f>VLOOKUP(C244,REV!C:AX,48,0)</f>
        <v>5G</v>
      </c>
    </row>
    <row r="245" spans="1:50" ht="22.5" customHeight="1">
      <c r="A245" s="57" t="s">
        <v>247</v>
      </c>
      <c r="B245" s="42" t="s">
        <v>64</v>
      </c>
      <c r="C245" s="43">
        <v>4017541</v>
      </c>
      <c r="D245" s="63" t="s">
        <v>399</v>
      </c>
      <c r="E245" s="58" t="s">
        <v>400</v>
      </c>
      <c r="F245" s="45"/>
      <c r="G245" s="45"/>
      <c r="H245" s="45"/>
      <c r="I245" s="45"/>
      <c r="J245" s="46">
        <f>IF(VLOOKUP($C245,REV!$C:$AA,8,0)-'TRADE IN'!$F245=0,"",(VLOOKUP($C245,REV!$C:$AA,8,0)-'TRADE IN'!$F245))</f>
        <v>1099</v>
      </c>
      <c r="K245" s="46">
        <f>IF(VLOOKUP($C245,REV!$C:$AA,9,0)-'TRADE IN'!$F245=0,"",(VLOOKUP($C245,REV!$C:$AA,9,0)-'TRADE IN'!$F245))</f>
        <v>1049</v>
      </c>
      <c r="L245" s="46">
        <f>IF(VLOOKUP($C245,REV!$C:$AA,10,0)-'TRADE IN'!$F245=0,"",(VLOOKUP($C245,REV!$C:$AA,10,0)-'TRADE IN'!$F245))</f>
        <v>1049</v>
      </c>
      <c r="M245" s="46">
        <f>IF(VLOOKUP($C245,REV!$C:$AA,11,0)-'TRADE IN'!$F245=0,"",(VLOOKUP($C245,REV!$C:$AA,11,0)-'TRADE IN'!$F245))</f>
        <v>1099</v>
      </c>
      <c r="N245" s="46">
        <f>IF(VLOOKUP($C245,REV!$C:$AA,12,0)-'TRADE IN'!$F245=0,"",(VLOOKUP($C245,REV!$C:$AA,12,0)-'TRADE IN'!$F245))</f>
        <v>1049</v>
      </c>
      <c r="O245" s="46">
        <f>IF(VLOOKUP($C245,REV!$C:$AA,13,0)-'TRADE IN'!$F245=0,"",(VLOOKUP($C245,REV!$C:$AA,13,0)-'TRADE IN'!$F245))</f>
        <v>999</v>
      </c>
      <c r="P245" s="46">
        <f>IF(VLOOKUP($C245,REV!$C:$AA,14,0)-'TRADE IN'!$F245=0,"",(VLOOKUP($C245,REV!$C:$AA,14,0)-'TRADE IN'!$F245))</f>
        <v>999</v>
      </c>
      <c r="Q245" s="46">
        <f>IF(VLOOKUP($C245,REV!$C:$AA,15,0)-'TRADE IN'!$F245=0,"",(VLOOKUP($C245,REV!$C:$AA,15,0)-'TRADE IN'!$F245))</f>
        <v>999</v>
      </c>
      <c r="R245" s="46">
        <f>IF(VLOOKUP($C245,REV!$C:$AA,16,0)-'TRADE IN'!$F245=0,"",(VLOOKUP($C245,REV!$C:$AA,16,0)-'TRADE IN'!$F245))</f>
        <v>999</v>
      </c>
      <c r="S245" s="46">
        <f>IF(VLOOKUP($C245,REV!$C:$AA,17,0)-'TRADE IN'!$F245=0,"",(VLOOKUP($C245,REV!$C:$AA,17,0)-'TRADE IN'!$F245))</f>
        <v>999</v>
      </c>
      <c r="T245" s="46">
        <f>IF(VLOOKUP($C245,REV!$C:$AA,18,0)-'TRADE IN'!$F245=0,"",(VLOOKUP($C245,REV!$C:$AA,18,0)-'TRADE IN'!$F245))</f>
        <v>999</v>
      </c>
      <c r="U245" s="46">
        <f>IF(VLOOKUP($C245,REV!$C:$AA,19,0)-'TRADE IN'!$F245=0,"",(VLOOKUP($C245,REV!$C:$AA,19,0)-'TRADE IN'!$F245))</f>
        <v>999</v>
      </c>
      <c r="V245" s="46">
        <f>IF(VLOOKUP($C245,REV!$C:$AA,20,0)-'TRADE IN'!$F245=0,"",(VLOOKUP($C245,REV!$C:$AA,20,0)-'TRADE IN'!$F245))</f>
        <v>999</v>
      </c>
      <c r="W245" s="46">
        <f>IF(VLOOKUP($C245,REV!$C:$AA,21,0)-'TRADE IN'!$F245=0,"",(VLOOKUP($C245,REV!$C:$AA,21,0)-'TRADE IN'!$F245))</f>
        <v>999</v>
      </c>
      <c r="X245" s="46">
        <f>IF(VLOOKUP($C245,REV!$C:$AA,22,0)-'TRADE IN'!$F245=0,"",(VLOOKUP($C245,REV!$C:$AA,22,0)-'TRADE IN'!$F245))</f>
        <v>999</v>
      </c>
      <c r="Y245" s="46">
        <f>IF(VLOOKUP($C245,REV!$C:$AA,23,0)-'TRADE IN'!$F245=0,"",(VLOOKUP($C245,REV!$C:$AA,23,0)-'TRADE IN'!$F245))</f>
        <v>999</v>
      </c>
      <c r="Z245" s="46">
        <f>IF(VLOOKUP($C245,REV!$C:$AA,24,0)-'TRADE IN'!$F245=0,"",(VLOOKUP($C245,REV!$C:$AA,24,0)-'TRADE IN'!$F245))</f>
        <v>999</v>
      </c>
      <c r="AA245" s="46">
        <f>IF(VLOOKUP($C245,REV!$C:$AA,25,0)-'TRADE IN'!$F245=0,"",(VLOOKUP($C245,REV!$C:$AA,25,0)-'TRADE IN'!$F245))</f>
        <v>999</v>
      </c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5"/>
      <c r="AN245" s="45"/>
      <c r="AO245" s="45"/>
      <c r="AP245" s="45"/>
      <c r="AQ245" s="45"/>
      <c r="AR245" s="45"/>
      <c r="AS245" s="45"/>
      <c r="AT245" s="45"/>
      <c r="AU245" s="45"/>
      <c r="AV245" s="47"/>
      <c r="AW245" s="48" t="str">
        <f>REV!AW245</f>
        <v>01.12.2026</v>
      </c>
      <c r="AX245" s="153" t="str">
        <f>VLOOKUP(C245,REV!C:AX,48,0)</f>
        <v>4G</v>
      </c>
    </row>
    <row r="246" spans="1:50" ht="22.5" customHeight="1">
      <c r="A246" s="57" t="s">
        <v>247</v>
      </c>
      <c r="B246" s="42" t="s">
        <v>64</v>
      </c>
      <c r="C246" s="43">
        <v>4017544</v>
      </c>
      <c r="D246" s="63" t="s">
        <v>399</v>
      </c>
      <c r="E246" s="58" t="s">
        <v>401</v>
      </c>
      <c r="F246" s="45"/>
      <c r="G246" s="45"/>
      <c r="H246" s="45"/>
      <c r="I246" s="45"/>
      <c r="J246" s="46">
        <f>IF(VLOOKUP($C246,REV!$C:$AA,8,0)-'TRADE IN'!$F246=0,"",(VLOOKUP($C246,REV!$C:$AA,8,0)-'TRADE IN'!$F246))</f>
        <v>1099</v>
      </c>
      <c r="K246" s="46">
        <f>IF(VLOOKUP($C246,REV!$C:$AA,9,0)-'TRADE IN'!$F246=0,"",(VLOOKUP($C246,REV!$C:$AA,9,0)-'TRADE IN'!$F246))</f>
        <v>1049</v>
      </c>
      <c r="L246" s="46">
        <f>IF(VLOOKUP($C246,REV!$C:$AA,10,0)-'TRADE IN'!$F246=0,"",(VLOOKUP($C246,REV!$C:$AA,10,0)-'TRADE IN'!$F246))</f>
        <v>1049</v>
      </c>
      <c r="M246" s="46">
        <f>IF(VLOOKUP($C246,REV!$C:$AA,11,0)-'TRADE IN'!$F246=0,"",(VLOOKUP($C246,REV!$C:$AA,11,0)-'TRADE IN'!$F246))</f>
        <v>1099</v>
      </c>
      <c r="N246" s="46">
        <f>IF(VLOOKUP($C246,REV!$C:$AA,12,0)-'TRADE IN'!$F246=0,"",(VLOOKUP($C246,REV!$C:$AA,12,0)-'TRADE IN'!$F246))</f>
        <v>1049</v>
      </c>
      <c r="O246" s="46">
        <f>IF(VLOOKUP($C246,REV!$C:$AA,13,0)-'TRADE IN'!$F246=0,"",(VLOOKUP($C246,REV!$C:$AA,13,0)-'TRADE IN'!$F246))</f>
        <v>999</v>
      </c>
      <c r="P246" s="46">
        <f>IF(VLOOKUP($C246,REV!$C:$AA,14,0)-'TRADE IN'!$F246=0,"",(VLOOKUP($C246,REV!$C:$AA,14,0)-'TRADE IN'!$F246))</f>
        <v>999</v>
      </c>
      <c r="Q246" s="46">
        <f>IF(VLOOKUP($C246,REV!$C:$AA,15,0)-'TRADE IN'!$F246=0,"",(VLOOKUP($C246,REV!$C:$AA,15,0)-'TRADE IN'!$F246))</f>
        <v>999</v>
      </c>
      <c r="R246" s="46">
        <f>IF(VLOOKUP($C246,REV!$C:$AA,16,0)-'TRADE IN'!$F246=0,"",(VLOOKUP($C246,REV!$C:$AA,16,0)-'TRADE IN'!$F246))</f>
        <v>999</v>
      </c>
      <c r="S246" s="46">
        <f>IF(VLOOKUP($C246,REV!$C:$AA,17,0)-'TRADE IN'!$F246=0,"",(VLOOKUP($C246,REV!$C:$AA,17,0)-'TRADE IN'!$F246))</f>
        <v>999</v>
      </c>
      <c r="T246" s="46">
        <f>IF(VLOOKUP($C246,REV!$C:$AA,18,0)-'TRADE IN'!$F246=0,"",(VLOOKUP($C246,REV!$C:$AA,18,0)-'TRADE IN'!$F246))</f>
        <v>999</v>
      </c>
      <c r="U246" s="46">
        <f>IF(VLOOKUP($C246,REV!$C:$AA,19,0)-'TRADE IN'!$F246=0,"",(VLOOKUP($C246,REV!$C:$AA,19,0)-'TRADE IN'!$F246))</f>
        <v>999</v>
      </c>
      <c r="V246" s="46">
        <f>IF(VLOOKUP($C246,REV!$C:$AA,20,0)-'TRADE IN'!$F246=0,"",(VLOOKUP($C246,REV!$C:$AA,20,0)-'TRADE IN'!$F246))</f>
        <v>999</v>
      </c>
      <c r="W246" s="46">
        <f>IF(VLOOKUP($C246,REV!$C:$AA,21,0)-'TRADE IN'!$F246=0,"",(VLOOKUP($C246,REV!$C:$AA,21,0)-'TRADE IN'!$F246))</f>
        <v>999</v>
      </c>
      <c r="X246" s="46">
        <f>IF(VLOOKUP($C246,REV!$C:$AA,22,0)-'TRADE IN'!$F246=0,"",(VLOOKUP($C246,REV!$C:$AA,22,0)-'TRADE IN'!$F246))</f>
        <v>999</v>
      </c>
      <c r="Y246" s="46">
        <f>IF(VLOOKUP($C246,REV!$C:$AA,23,0)-'TRADE IN'!$F246=0,"",(VLOOKUP($C246,REV!$C:$AA,23,0)-'TRADE IN'!$F246))</f>
        <v>999</v>
      </c>
      <c r="Z246" s="46">
        <f>IF(VLOOKUP($C246,REV!$C:$AA,24,0)-'TRADE IN'!$F246=0,"",(VLOOKUP($C246,REV!$C:$AA,24,0)-'TRADE IN'!$F246))</f>
        <v>999</v>
      </c>
      <c r="AA246" s="46">
        <f>IF(VLOOKUP($C246,REV!$C:$AA,25,0)-'TRADE IN'!$F246=0,"",(VLOOKUP($C246,REV!$C:$AA,25,0)-'TRADE IN'!$F246))</f>
        <v>999</v>
      </c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5"/>
      <c r="AN246" s="45"/>
      <c r="AO246" s="45"/>
      <c r="AP246" s="45"/>
      <c r="AQ246" s="45"/>
      <c r="AR246" s="45"/>
      <c r="AS246" s="45"/>
      <c r="AT246" s="45"/>
      <c r="AU246" s="45"/>
      <c r="AV246" s="47"/>
      <c r="AW246" s="48" t="str">
        <f>REV!AW246</f>
        <v>01.12.2026</v>
      </c>
      <c r="AX246" s="153" t="str">
        <f>VLOOKUP(C246,REV!C:AX,48,0)</f>
        <v>4G</v>
      </c>
    </row>
    <row r="247" spans="1:50" ht="22.5" customHeight="1">
      <c r="A247" s="57" t="s">
        <v>247</v>
      </c>
      <c r="B247" s="42" t="s">
        <v>64</v>
      </c>
      <c r="C247" s="43">
        <v>4017566</v>
      </c>
      <c r="D247" s="63" t="s">
        <v>399</v>
      </c>
      <c r="E247" s="58" t="s">
        <v>402</v>
      </c>
      <c r="F247" s="45"/>
      <c r="G247" s="45"/>
      <c r="H247" s="45"/>
      <c r="I247" s="45"/>
      <c r="J247" s="46">
        <f>IF(VLOOKUP($C247,REV!$C:$AA,8,0)-'TRADE IN'!$F247=0,"",(VLOOKUP($C247,REV!$C:$AA,8,0)-'TRADE IN'!$F247))</f>
        <v>1099</v>
      </c>
      <c r="K247" s="46">
        <f>IF(VLOOKUP($C247,REV!$C:$AA,9,0)-'TRADE IN'!$F247=0,"",(VLOOKUP($C247,REV!$C:$AA,9,0)-'TRADE IN'!$F247))</f>
        <v>1049</v>
      </c>
      <c r="L247" s="46">
        <f>IF(VLOOKUP($C247,REV!$C:$AA,10,0)-'TRADE IN'!$F247=0,"",(VLOOKUP($C247,REV!$C:$AA,10,0)-'TRADE IN'!$F247))</f>
        <v>1049</v>
      </c>
      <c r="M247" s="46">
        <f>IF(VLOOKUP($C247,REV!$C:$AA,11,0)-'TRADE IN'!$F247=0,"",(VLOOKUP($C247,REV!$C:$AA,11,0)-'TRADE IN'!$F247))</f>
        <v>1099</v>
      </c>
      <c r="N247" s="46">
        <f>IF(VLOOKUP($C247,REV!$C:$AA,12,0)-'TRADE IN'!$F247=0,"",(VLOOKUP($C247,REV!$C:$AA,12,0)-'TRADE IN'!$F247))</f>
        <v>1049</v>
      </c>
      <c r="O247" s="46">
        <f>IF(VLOOKUP($C247,REV!$C:$AA,13,0)-'TRADE IN'!$F247=0,"",(VLOOKUP($C247,REV!$C:$AA,13,0)-'TRADE IN'!$F247))</f>
        <v>999</v>
      </c>
      <c r="P247" s="46">
        <f>IF(VLOOKUP($C247,REV!$C:$AA,14,0)-'TRADE IN'!$F247=0,"",(VLOOKUP($C247,REV!$C:$AA,14,0)-'TRADE IN'!$F247))</f>
        <v>999</v>
      </c>
      <c r="Q247" s="46">
        <f>IF(VLOOKUP($C247,REV!$C:$AA,15,0)-'TRADE IN'!$F247=0,"",(VLOOKUP($C247,REV!$C:$AA,15,0)-'TRADE IN'!$F247))</f>
        <v>999</v>
      </c>
      <c r="R247" s="46">
        <f>IF(VLOOKUP($C247,REV!$C:$AA,16,0)-'TRADE IN'!$F247=0,"",(VLOOKUP($C247,REV!$C:$AA,16,0)-'TRADE IN'!$F247))</f>
        <v>999</v>
      </c>
      <c r="S247" s="46">
        <f>IF(VLOOKUP($C247,REV!$C:$AA,17,0)-'TRADE IN'!$F247=0,"",(VLOOKUP($C247,REV!$C:$AA,17,0)-'TRADE IN'!$F247))</f>
        <v>999</v>
      </c>
      <c r="T247" s="46">
        <f>IF(VLOOKUP($C247,REV!$C:$AA,18,0)-'TRADE IN'!$F247=0,"",(VLOOKUP($C247,REV!$C:$AA,18,0)-'TRADE IN'!$F247))</f>
        <v>999</v>
      </c>
      <c r="U247" s="46">
        <f>IF(VLOOKUP($C247,REV!$C:$AA,19,0)-'TRADE IN'!$F247=0,"",(VLOOKUP($C247,REV!$C:$AA,19,0)-'TRADE IN'!$F247))</f>
        <v>999</v>
      </c>
      <c r="V247" s="46">
        <f>IF(VLOOKUP($C247,REV!$C:$AA,20,0)-'TRADE IN'!$F247=0,"",(VLOOKUP($C247,REV!$C:$AA,20,0)-'TRADE IN'!$F247))</f>
        <v>999</v>
      </c>
      <c r="W247" s="46">
        <f>IF(VLOOKUP($C247,REV!$C:$AA,21,0)-'TRADE IN'!$F247=0,"",(VLOOKUP($C247,REV!$C:$AA,21,0)-'TRADE IN'!$F247))</f>
        <v>999</v>
      </c>
      <c r="X247" s="46">
        <f>IF(VLOOKUP($C247,REV!$C:$AA,22,0)-'TRADE IN'!$F247=0,"",(VLOOKUP($C247,REV!$C:$AA,22,0)-'TRADE IN'!$F247))</f>
        <v>999</v>
      </c>
      <c r="Y247" s="46">
        <f>IF(VLOOKUP($C247,REV!$C:$AA,23,0)-'TRADE IN'!$F247=0,"",(VLOOKUP($C247,REV!$C:$AA,23,0)-'TRADE IN'!$F247))</f>
        <v>999</v>
      </c>
      <c r="Z247" s="46">
        <f>IF(VLOOKUP($C247,REV!$C:$AA,24,0)-'TRADE IN'!$F247=0,"",(VLOOKUP($C247,REV!$C:$AA,24,0)-'TRADE IN'!$F247))</f>
        <v>999</v>
      </c>
      <c r="AA247" s="46">
        <f>IF(VLOOKUP($C247,REV!$C:$AA,25,0)-'TRADE IN'!$F247=0,"",(VLOOKUP($C247,REV!$C:$AA,25,0)-'TRADE IN'!$F247))</f>
        <v>999</v>
      </c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5"/>
      <c r="AN247" s="45"/>
      <c r="AO247" s="45"/>
      <c r="AP247" s="45"/>
      <c r="AQ247" s="45"/>
      <c r="AR247" s="45"/>
      <c r="AS247" s="45"/>
      <c r="AT247" s="45"/>
      <c r="AU247" s="45"/>
      <c r="AV247" s="47"/>
      <c r="AW247" s="48" t="str">
        <f>REV!AW247</f>
        <v>01.12.2026</v>
      </c>
      <c r="AX247" s="153" t="str">
        <f>VLOOKUP(C247,REV!C:AX,48,0)</f>
        <v>4G</v>
      </c>
    </row>
    <row r="248" spans="1:50" ht="22.5" customHeight="1">
      <c r="A248" s="57" t="s">
        <v>247</v>
      </c>
      <c r="B248" s="42" t="s">
        <v>64</v>
      </c>
      <c r="C248" s="43">
        <v>4018003</v>
      </c>
      <c r="D248" s="58" t="s">
        <v>403</v>
      </c>
      <c r="E248" s="58" t="s">
        <v>404</v>
      </c>
      <c r="F248" s="45"/>
      <c r="G248" s="45"/>
      <c r="H248" s="45"/>
      <c r="I248" s="45"/>
      <c r="J248" s="46">
        <f>IF(VLOOKUP($C248,REV!$C:$AA,8,0)-'TRADE IN'!$F248=0,"",(VLOOKUP($C248,REV!$C:$AA,8,0)-'TRADE IN'!$F248))</f>
        <v>1099</v>
      </c>
      <c r="K248" s="46">
        <f>IF(VLOOKUP($C248,REV!$C:$AA,9,0)-'TRADE IN'!$F248=0,"",(VLOOKUP($C248,REV!$C:$AA,9,0)-'TRADE IN'!$F248))</f>
        <v>999</v>
      </c>
      <c r="L248" s="46">
        <f>IF(VLOOKUP($C248,REV!$C:$AA,10,0)-'TRADE IN'!$F248=0,"",(VLOOKUP($C248,REV!$C:$AA,10,0)-'TRADE IN'!$F248))</f>
        <v>999</v>
      </c>
      <c r="M248" s="46">
        <f>IF(VLOOKUP($C248,REV!$C:$AA,11,0)-'TRADE IN'!$F248=0,"",(VLOOKUP($C248,REV!$C:$AA,11,0)-'TRADE IN'!$F248))</f>
        <v>1099</v>
      </c>
      <c r="N248" s="46">
        <f>IF(VLOOKUP($C248,REV!$C:$AA,12,0)-'TRADE IN'!$F248=0,"",(VLOOKUP($C248,REV!$C:$AA,12,0)-'TRADE IN'!$F248))</f>
        <v>999</v>
      </c>
      <c r="O248" s="46">
        <f>IF(VLOOKUP($C248,REV!$C:$AA,13,0)-'TRADE IN'!$F248=0,"",(VLOOKUP($C248,REV!$C:$AA,13,0)-'TRADE IN'!$F248))</f>
        <v>949</v>
      </c>
      <c r="P248" s="46">
        <f>IF(VLOOKUP($C248,REV!$C:$AA,14,0)-'TRADE IN'!$F248=0,"",(VLOOKUP($C248,REV!$C:$AA,14,0)-'TRADE IN'!$F248))</f>
        <v>899</v>
      </c>
      <c r="Q248" s="46">
        <f>IF(VLOOKUP($C248,REV!$C:$AA,15,0)-'TRADE IN'!$F248=0,"",(VLOOKUP($C248,REV!$C:$AA,15,0)-'TRADE IN'!$F248))</f>
        <v>849</v>
      </c>
      <c r="R248" s="46">
        <f>IF(VLOOKUP($C248,REV!$C:$AA,16,0)-'TRADE IN'!$F248=0,"",(VLOOKUP($C248,REV!$C:$AA,16,0)-'TRADE IN'!$F248))</f>
        <v>949</v>
      </c>
      <c r="S248" s="46">
        <f>IF(VLOOKUP($C248,REV!$C:$AA,17,0)-'TRADE IN'!$F248=0,"",(VLOOKUP($C248,REV!$C:$AA,17,0)-'TRADE IN'!$F248))</f>
        <v>899</v>
      </c>
      <c r="T248" s="46">
        <f>IF(VLOOKUP($C248,REV!$C:$AA,18,0)-'TRADE IN'!$F248=0,"",(VLOOKUP($C248,REV!$C:$AA,18,0)-'TRADE IN'!$F248))</f>
        <v>849</v>
      </c>
      <c r="U248" s="46">
        <f>IF(VLOOKUP($C248,REV!$C:$AA,19,0)-'TRADE IN'!$F248=0,"",(VLOOKUP($C248,REV!$C:$AA,19,0)-'TRADE IN'!$F248))</f>
        <v>849</v>
      </c>
      <c r="V248" s="46">
        <f>IF(VLOOKUP($C248,REV!$C:$AA,20,0)-'TRADE IN'!$F248=0,"",(VLOOKUP($C248,REV!$C:$AA,20,0)-'TRADE IN'!$F248))</f>
        <v>849</v>
      </c>
      <c r="W248" s="46">
        <f>IF(VLOOKUP($C248,REV!$C:$AA,21,0)-'TRADE IN'!$F248=0,"",(VLOOKUP($C248,REV!$C:$AA,21,0)-'TRADE IN'!$F248))</f>
        <v>849</v>
      </c>
      <c r="X248" s="46">
        <f>IF(VLOOKUP($C248,REV!$C:$AA,22,0)-'TRADE IN'!$F248=0,"",(VLOOKUP($C248,REV!$C:$AA,22,0)-'TRADE IN'!$F248))</f>
        <v>849</v>
      </c>
      <c r="Y248" s="46">
        <f>IF(VLOOKUP($C248,REV!$C:$AA,23,0)-'TRADE IN'!$F248=0,"",(VLOOKUP($C248,REV!$C:$AA,23,0)-'TRADE IN'!$F248))</f>
        <v>799</v>
      </c>
      <c r="Z248" s="46">
        <f>IF(VLOOKUP($C248,REV!$C:$AA,24,0)-'TRADE IN'!$F248=0,"",(VLOOKUP($C248,REV!$C:$AA,24,0)-'TRADE IN'!$F248))</f>
        <v>799</v>
      </c>
      <c r="AA248" s="46">
        <f>IF(VLOOKUP($C248,REV!$C:$AA,25,0)-'TRADE IN'!$F248=0,"",(VLOOKUP($C248,REV!$C:$AA,25,0)-'TRADE IN'!$F248))</f>
        <v>799</v>
      </c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5"/>
      <c r="AN248" s="45"/>
      <c r="AO248" s="45"/>
      <c r="AP248" s="45"/>
      <c r="AQ248" s="45"/>
      <c r="AR248" s="45"/>
      <c r="AS248" s="45"/>
      <c r="AT248" s="45"/>
      <c r="AU248" s="45"/>
      <c r="AV248" s="47"/>
      <c r="AW248" s="48" t="str">
        <f>REV!AW248</f>
        <v>01.12.2026</v>
      </c>
      <c r="AX248" s="153" t="str">
        <f>VLOOKUP(C248,REV!C:AX,48,0)</f>
        <v>5G</v>
      </c>
    </row>
    <row r="249" spans="1:50" ht="22.5" customHeight="1">
      <c r="A249" s="57" t="s">
        <v>247</v>
      </c>
      <c r="B249" s="42" t="s">
        <v>64</v>
      </c>
      <c r="C249" s="43">
        <v>4014848</v>
      </c>
      <c r="D249" s="58" t="s">
        <v>405</v>
      </c>
      <c r="E249" s="58" t="s">
        <v>406</v>
      </c>
      <c r="F249" s="45"/>
      <c r="G249" s="45"/>
      <c r="H249" s="45"/>
      <c r="I249" s="45"/>
      <c r="J249" s="46">
        <f>IF(VLOOKUP($C249,REV!$C:$AA,8,0)-'TRADE IN'!$F249=0,"",(VLOOKUP($C249,REV!$C:$AA,8,0)-'TRADE IN'!$F249))</f>
        <v>499</v>
      </c>
      <c r="K249" s="46">
        <f>IF(VLOOKUP($C249,REV!$C:$AA,9,0)-'TRADE IN'!$F249=0,"",(VLOOKUP($C249,REV!$C:$AA,9,0)-'TRADE IN'!$F249))</f>
        <v>499</v>
      </c>
      <c r="L249" s="46">
        <f>IF(VLOOKUP($C249,REV!$C:$AA,10,0)-'TRADE IN'!$F249=0,"",(VLOOKUP($C249,REV!$C:$AA,10,0)-'TRADE IN'!$F249))</f>
        <v>499</v>
      </c>
      <c r="M249" s="46">
        <f>IF(VLOOKUP($C249,REV!$C:$AA,11,0)-'TRADE IN'!$F249=0,"",(VLOOKUP($C249,REV!$C:$AA,11,0)-'TRADE IN'!$F249))</f>
        <v>499</v>
      </c>
      <c r="N249" s="46">
        <f>IF(VLOOKUP($C249,REV!$C:$AA,12,0)-'TRADE IN'!$F249=0,"",(VLOOKUP($C249,REV!$C:$AA,12,0)-'TRADE IN'!$F249))</f>
        <v>499</v>
      </c>
      <c r="O249" s="46">
        <f>IF(VLOOKUP($C249,REV!$C:$AA,13,0)-'TRADE IN'!$F249=0,"",(VLOOKUP($C249,REV!$C:$AA,13,0)-'TRADE IN'!$F249))</f>
        <v>449</v>
      </c>
      <c r="P249" s="46">
        <f>IF(VLOOKUP($C249,REV!$C:$AA,14,0)-'TRADE IN'!$F249=0,"",(VLOOKUP($C249,REV!$C:$AA,14,0)-'TRADE IN'!$F249))</f>
        <v>449</v>
      </c>
      <c r="Q249" s="46">
        <f>IF(VLOOKUP($C249,REV!$C:$AA,15,0)-'TRADE IN'!$F249=0,"",(VLOOKUP($C249,REV!$C:$AA,15,0)-'TRADE IN'!$F249))</f>
        <v>399</v>
      </c>
      <c r="R249" s="46">
        <f>IF(VLOOKUP($C249,REV!$C:$AA,16,0)-'TRADE IN'!$F249=0,"",(VLOOKUP($C249,REV!$C:$AA,16,0)-'TRADE IN'!$F249))</f>
        <v>449</v>
      </c>
      <c r="S249" s="46">
        <f>IF(VLOOKUP($C249,REV!$C:$AA,17,0)-'TRADE IN'!$F249=0,"",(VLOOKUP($C249,REV!$C:$AA,17,0)-'TRADE IN'!$F249))</f>
        <v>449</v>
      </c>
      <c r="T249" s="46">
        <f>IF(VLOOKUP($C249,REV!$C:$AA,18,0)-'TRADE IN'!$F249=0,"",(VLOOKUP($C249,REV!$C:$AA,18,0)-'TRADE IN'!$F249))</f>
        <v>399</v>
      </c>
      <c r="U249" s="46">
        <f>IF(VLOOKUP($C249,REV!$C:$AA,19,0)-'TRADE IN'!$F249=0,"",(VLOOKUP($C249,REV!$C:$AA,19,0)-'TRADE IN'!$F249))</f>
        <v>399</v>
      </c>
      <c r="V249" s="46">
        <f>IF(VLOOKUP($C249,REV!$C:$AA,20,0)-'TRADE IN'!$F249=0,"",(VLOOKUP($C249,REV!$C:$AA,20,0)-'TRADE IN'!$F249))</f>
        <v>399</v>
      </c>
      <c r="W249" s="46">
        <f>IF(VLOOKUP($C249,REV!$C:$AA,21,0)-'TRADE IN'!$F249=0,"",(VLOOKUP($C249,REV!$C:$AA,21,0)-'TRADE IN'!$F249))</f>
        <v>399</v>
      </c>
      <c r="X249" s="46">
        <f>IF(VLOOKUP($C249,REV!$C:$AA,22,0)-'TRADE IN'!$F249=0,"",(VLOOKUP($C249,REV!$C:$AA,22,0)-'TRADE IN'!$F249))</f>
        <v>399</v>
      </c>
      <c r="Y249" s="46">
        <f>IF(VLOOKUP($C249,REV!$C:$AA,23,0)-'TRADE IN'!$F249=0,"",(VLOOKUP($C249,REV!$C:$AA,23,0)-'TRADE IN'!$F249))</f>
        <v>399</v>
      </c>
      <c r="Z249" s="46">
        <f>IF(VLOOKUP($C249,REV!$C:$AA,24,0)-'TRADE IN'!$F249=0,"",(VLOOKUP($C249,REV!$C:$AA,24,0)-'TRADE IN'!$F249))</f>
        <v>399</v>
      </c>
      <c r="AA249" s="46">
        <f>IF(VLOOKUP($C249,REV!$C:$AA,25,0)-'TRADE IN'!$F249=0,"",(VLOOKUP($C249,REV!$C:$AA,25,0)-'TRADE IN'!$F249))</f>
        <v>399</v>
      </c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7"/>
      <c r="AW249" s="48" t="str">
        <f>REV!AW249</f>
        <v>01.12.2026</v>
      </c>
      <c r="AX249" s="153" t="str">
        <f>VLOOKUP(C249,REV!C:AX,48,0)</f>
        <v>4G</v>
      </c>
    </row>
    <row r="250" spans="1:50" ht="22.5" customHeight="1">
      <c r="A250" s="57" t="s">
        <v>247</v>
      </c>
      <c r="B250" s="42" t="s">
        <v>64</v>
      </c>
      <c r="C250" s="43">
        <v>4014844</v>
      </c>
      <c r="D250" s="58" t="s">
        <v>405</v>
      </c>
      <c r="E250" s="58" t="s">
        <v>407</v>
      </c>
      <c r="F250" s="45"/>
      <c r="G250" s="45"/>
      <c r="H250" s="45"/>
      <c r="I250" s="45"/>
      <c r="J250" s="46">
        <f>IF(VLOOKUP($C250,REV!$C:$AA,8,0)-'TRADE IN'!$F250=0,"",(VLOOKUP($C250,REV!$C:$AA,8,0)-'TRADE IN'!$F250))</f>
        <v>499</v>
      </c>
      <c r="K250" s="46">
        <f>IF(VLOOKUP($C250,REV!$C:$AA,9,0)-'TRADE IN'!$F250=0,"",(VLOOKUP($C250,REV!$C:$AA,9,0)-'TRADE IN'!$F250))</f>
        <v>499</v>
      </c>
      <c r="L250" s="46">
        <f>IF(VLOOKUP($C250,REV!$C:$AA,10,0)-'TRADE IN'!$F250=0,"",(VLOOKUP($C250,REV!$C:$AA,10,0)-'TRADE IN'!$F250))</f>
        <v>499</v>
      </c>
      <c r="M250" s="46">
        <f>IF(VLOOKUP($C250,REV!$C:$AA,11,0)-'TRADE IN'!$F250=0,"",(VLOOKUP($C250,REV!$C:$AA,11,0)-'TRADE IN'!$F250))</f>
        <v>499</v>
      </c>
      <c r="N250" s="46">
        <f>IF(VLOOKUP($C250,REV!$C:$AA,12,0)-'TRADE IN'!$F250=0,"",(VLOOKUP($C250,REV!$C:$AA,12,0)-'TRADE IN'!$F250))</f>
        <v>499</v>
      </c>
      <c r="O250" s="46">
        <f>IF(VLOOKUP($C250,REV!$C:$AA,13,0)-'TRADE IN'!$F250=0,"",(VLOOKUP($C250,REV!$C:$AA,13,0)-'TRADE IN'!$F250))</f>
        <v>449</v>
      </c>
      <c r="P250" s="46">
        <f>IF(VLOOKUP($C250,REV!$C:$AA,14,0)-'TRADE IN'!$F250=0,"",(VLOOKUP($C250,REV!$C:$AA,14,0)-'TRADE IN'!$F250))</f>
        <v>449</v>
      </c>
      <c r="Q250" s="46">
        <f>IF(VLOOKUP($C250,REV!$C:$AA,15,0)-'TRADE IN'!$F250=0,"",(VLOOKUP($C250,REV!$C:$AA,15,0)-'TRADE IN'!$F250))</f>
        <v>399</v>
      </c>
      <c r="R250" s="46">
        <f>IF(VLOOKUP($C250,REV!$C:$AA,16,0)-'TRADE IN'!$F250=0,"",(VLOOKUP($C250,REV!$C:$AA,16,0)-'TRADE IN'!$F250))</f>
        <v>449</v>
      </c>
      <c r="S250" s="46">
        <f>IF(VLOOKUP($C250,REV!$C:$AA,17,0)-'TRADE IN'!$F250=0,"",(VLOOKUP($C250,REV!$C:$AA,17,0)-'TRADE IN'!$F250))</f>
        <v>449</v>
      </c>
      <c r="T250" s="46">
        <f>IF(VLOOKUP($C250,REV!$C:$AA,18,0)-'TRADE IN'!$F250=0,"",(VLOOKUP($C250,REV!$C:$AA,18,0)-'TRADE IN'!$F250))</f>
        <v>399</v>
      </c>
      <c r="U250" s="46">
        <f>IF(VLOOKUP($C250,REV!$C:$AA,19,0)-'TRADE IN'!$F250=0,"",(VLOOKUP($C250,REV!$C:$AA,19,0)-'TRADE IN'!$F250))</f>
        <v>399</v>
      </c>
      <c r="V250" s="46">
        <f>IF(VLOOKUP($C250,REV!$C:$AA,20,0)-'TRADE IN'!$F250=0,"",(VLOOKUP($C250,REV!$C:$AA,20,0)-'TRADE IN'!$F250))</f>
        <v>399</v>
      </c>
      <c r="W250" s="46">
        <f>IF(VLOOKUP($C250,REV!$C:$AA,21,0)-'TRADE IN'!$F250=0,"",(VLOOKUP($C250,REV!$C:$AA,21,0)-'TRADE IN'!$F250))</f>
        <v>399</v>
      </c>
      <c r="X250" s="46">
        <f>IF(VLOOKUP($C250,REV!$C:$AA,22,0)-'TRADE IN'!$F250=0,"",(VLOOKUP($C250,REV!$C:$AA,22,0)-'TRADE IN'!$F250))</f>
        <v>399</v>
      </c>
      <c r="Y250" s="46">
        <f>IF(VLOOKUP($C250,REV!$C:$AA,23,0)-'TRADE IN'!$F250=0,"",(VLOOKUP($C250,REV!$C:$AA,23,0)-'TRADE IN'!$F250))</f>
        <v>399</v>
      </c>
      <c r="Z250" s="46">
        <f>IF(VLOOKUP($C250,REV!$C:$AA,24,0)-'TRADE IN'!$F250=0,"",(VLOOKUP($C250,REV!$C:$AA,24,0)-'TRADE IN'!$F250))</f>
        <v>399</v>
      </c>
      <c r="AA250" s="46">
        <f>IF(VLOOKUP($C250,REV!$C:$AA,25,0)-'TRADE IN'!$F250=0,"",(VLOOKUP($C250,REV!$C:$AA,25,0)-'TRADE IN'!$F250))</f>
        <v>399</v>
      </c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7"/>
      <c r="AW250" s="48" t="str">
        <f>REV!AW250</f>
        <v>01.12.2026</v>
      </c>
      <c r="AX250" s="153" t="str">
        <f>VLOOKUP(C250,REV!C:AX,48,0)</f>
        <v>4G</v>
      </c>
    </row>
    <row r="251" spans="1:50" ht="22.5" customHeight="1">
      <c r="A251" s="57" t="s">
        <v>247</v>
      </c>
      <c r="B251" s="42" t="s">
        <v>64</v>
      </c>
      <c r="C251" s="43">
        <v>4015256</v>
      </c>
      <c r="D251" s="58" t="s">
        <v>408</v>
      </c>
      <c r="E251" s="58" t="s">
        <v>409</v>
      </c>
      <c r="F251" s="45"/>
      <c r="G251" s="45"/>
      <c r="H251" s="45"/>
      <c r="I251" s="45"/>
      <c r="J251" s="46">
        <f>IF(VLOOKUP($C251,REV!$C:$AA,8,0)-'TRADE IN'!$F251=0,"",(VLOOKUP($C251,REV!$C:$AA,8,0)-'TRADE IN'!$F251))</f>
        <v>599</v>
      </c>
      <c r="K251" s="46">
        <f>IF(VLOOKUP($C251,REV!$C:$AA,9,0)-'TRADE IN'!$F251=0,"",(VLOOKUP($C251,REV!$C:$AA,9,0)-'TRADE IN'!$F251))</f>
        <v>599</v>
      </c>
      <c r="L251" s="46">
        <f>IF(VLOOKUP($C251,REV!$C:$AA,10,0)-'TRADE IN'!$F251=0,"",(VLOOKUP($C251,REV!$C:$AA,10,0)-'TRADE IN'!$F251))</f>
        <v>599</v>
      </c>
      <c r="M251" s="46">
        <f>IF(VLOOKUP($C251,REV!$C:$AA,11,0)-'TRADE IN'!$F251=0,"",(VLOOKUP($C251,REV!$C:$AA,11,0)-'TRADE IN'!$F251))</f>
        <v>599</v>
      </c>
      <c r="N251" s="46">
        <f>IF(VLOOKUP($C251,REV!$C:$AA,12,0)-'TRADE IN'!$F251=0,"",(VLOOKUP($C251,REV!$C:$AA,12,0)-'TRADE IN'!$F251))</f>
        <v>599</v>
      </c>
      <c r="O251" s="46">
        <f>IF(VLOOKUP($C251,REV!$C:$AA,13,0)-'TRADE IN'!$F251=0,"",(VLOOKUP($C251,REV!$C:$AA,13,0)-'TRADE IN'!$F251))</f>
        <v>599</v>
      </c>
      <c r="P251" s="46">
        <f>IF(VLOOKUP($C251,REV!$C:$AA,14,0)-'TRADE IN'!$F251=0,"",(VLOOKUP($C251,REV!$C:$AA,14,0)-'TRADE IN'!$F251))</f>
        <v>599</v>
      </c>
      <c r="Q251" s="46">
        <f>IF(VLOOKUP($C251,REV!$C:$AA,15,0)-'TRADE IN'!$F251=0,"",(VLOOKUP($C251,REV!$C:$AA,15,0)-'TRADE IN'!$F251))</f>
        <v>599</v>
      </c>
      <c r="R251" s="46">
        <f>IF(VLOOKUP($C251,REV!$C:$AA,16,0)-'TRADE IN'!$F251=0,"",(VLOOKUP($C251,REV!$C:$AA,16,0)-'TRADE IN'!$F251))</f>
        <v>599</v>
      </c>
      <c r="S251" s="46">
        <f>IF(VLOOKUP($C251,REV!$C:$AA,17,0)-'TRADE IN'!$F251=0,"",(VLOOKUP($C251,REV!$C:$AA,17,0)-'TRADE IN'!$F251))</f>
        <v>599</v>
      </c>
      <c r="T251" s="46">
        <f>IF(VLOOKUP($C251,REV!$C:$AA,18,0)-'TRADE IN'!$F251=0,"",(VLOOKUP($C251,REV!$C:$AA,18,0)-'TRADE IN'!$F251))</f>
        <v>599</v>
      </c>
      <c r="U251" s="46">
        <f>IF(VLOOKUP($C251,REV!$C:$AA,19,0)-'TRADE IN'!$F251=0,"",(VLOOKUP($C251,REV!$C:$AA,19,0)-'TRADE IN'!$F251))</f>
        <v>599</v>
      </c>
      <c r="V251" s="46">
        <f>IF(VLOOKUP($C251,REV!$C:$AA,20,0)-'TRADE IN'!$F251=0,"",(VLOOKUP($C251,REV!$C:$AA,20,0)-'TRADE IN'!$F251))</f>
        <v>599</v>
      </c>
      <c r="W251" s="46">
        <f>IF(VLOOKUP($C251,REV!$C:$AA,21,0)-'TRADE IN'!$F251=0,"",(VLOOKUP($C251,REV!$C:$AA,21,0)-'TRADE IN'!$F251))</f>
        <v>599</v>
      </c>
      <c r="X251" s="46">
        <f>IF(VLOOKUP($C251,REV!$C:$AA,22,0)-'TRADE IN'!$F251=0,"",(VLOOKUP($C251,REV!$C:$AA,22,0)-'TRADE IN'!$F251))</f>
        <v>599</v>
      </c>
      <c r="Y251" s="46">
        <f>IF(VLOOKUP($C251,REV!$C:$AA,23,0)-'TRADE IN'!$F251=0,"",(VLOOKUP($C251,REV!$C:$AA,23,0)-'TRADE IN'!$F251))</f>
        <v>599</v>
      </c>
      <c r="Z251" s="46">
        <f>IF(VLOOKUP($C251,REV!$C:$AA,24,0)-'TRADE IN'!$F251=0,"",(VLOOKUP($C251,REV!$C:$AA,24,0)-'TRADE IN'!$F251))</f>
        <v>599</v>
      </c>
      <c r="AA251" s="46">
        <f>IF(VLOOKUP($C251,REV!$C:$AA,25,0)-'TRADE IN'!$F251=0,"",(VLOOKUP($C251,REV!$C:$AA,25,0)-'TRADE IN'!$F251))</f>
        <v>599</v>
      </c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7"/>
      <c r="AW251" s="48" t="str">
        <f>REV!AW251</f>
        <v>01.12.2026</v>
      </c>
      <c r="AX251" s="153" t="str">
        <f>VLOOKUP(C251,REV!C:AX,48,0)</f>
        <v>5G</v>
      </c>
    </row>
    <row r="252" spans="1:50" ht="22.5" customHeight="1">
      <c r="A252" s="57" t="s">
        <v>247</v>
      </c>
      <c r="B252" s="42" t="s">
        <v>64</v>
      </c>
      <c r="C252" s="43">
        <v>4015257</v>
      </c>
      <c r="D252" s="58" t="s">
        <v>408</v>
      </c>
      <c r="E252" s="58" t="s">
        <v>410</v>
      </c>
      <c r="F252" s="45"/>
      <c r="G252" s="45"/>
      <c r="H252" s="45"/>
      <c r="I252" s="45"/>
      <c r="J252" s="46">
        <f>IF(VLOOKUP($C252,REV!$C:$AA,8,0)-'TRADE IN'!$F252=0,"",(VLOOKUP($C252,REV!$C:$AA,8,0)-'TRADE IN'!$F252))</f>
        <v>599</v>
      </c>
      <c r="K252" s="46">
        <f>IF(VLOOKUP($C252,REV!$C:$AA,9,0)-'TRADE IN'!$F252=0,"",(VLOOKUP($C252,REV!$C:$AA,9,0)-'TRADE IN'!$F252))</f>
        <v>599</v>
      </c>
      <c r="L252" s="46">
        <f>IF(VLOOKUP($C252,REV!$C:$AA,10,0)-'TRADE IN'!$F252=0,"",(VLOOKUP($C252,REV!$C:$AA,10,0)-'TRADE IN'!$F252))</f>
        <v>599</v>
      </c>
      <c r="M252" s="46">
        <f>IF(VLOOKUP($C252,REV!$C:$AA,11,0)-'TRADE IN'!$F252=0,"",(VLOOKUP($C252,REV!$C:$AA,11,0)-'TRADE IN'!$F252))</f>
        <v>599</v>
      </c>
      <c r="N252" s="46">
        <f>IF(VLOOKUP($C252,REV!$C:$AA,12,0)-'TRADE IN'!$F252=0,"",(VLOOKUP($C252,REV!$C:$AA,12,0)-'TRADE IN'!$F252))</f>
        <v>599</v>
      </c>
      <c r="O252" s="46">
        <f>IF(VLOOKUP($C252,REV!$C:$AA,13,0)-'TRADE IN'!$F252=0,"",(VLOOKUP($C252,REV!$C:$AA,13,0)-'TRADE IN'!$F252))</f>
        <v>599</v>
      </c>
      <c r="P252" s="46">
        <f>IF(VLOOKUP($C252,REV!$C:$AA,14,0)-'TRADE IN'!$F252=0,"",(VLOOKUP($C252,REV!$C:$AA,14,0)-'TRADE IN'!$F252))</f>
        <v>599</v>
      </c>
      <c r="Q252" s="46">
        <f>IF(VLOOKUP($C252,REV!$C:$AA,15,0)-'TRADE IN'!$F252=0,"",(VLOOKUP($C252,REV!$C:$AA,15,0)-'TRADE IN'!$F252))</f>
        <v>599</v>
      </c>
      <c r="R252" s="46">
        <f>IF(VLOOKUP($C252,REV!$C:$AA,16,0)-'TRADE IN'!$F252=0,"",(VLOOKUP($C252,REV!$C:$AA,16,0)-'TRADE IN'!$F252))</f>
        <v>599</v>
      </c>
      <c r="S252" s="46">
        <f>IF(VLOOKUP($C252,REV!$C:$AA,17,0)-'TRADE IN'!$F252=0,"",(VLOOKUP($C252,REV!$C:$AA,17,0)-'TRADE IN'!$F252))</f>
        <v>599</v>
      </c>
      <c r="T252" s="46">
        <f>IF(VLOOKUP($C252,REV!$C:$AA,18,0)-'TRADE IN'!$F252=0,"",(VLOOKUP($C252,REV!$C:$AA,18,0)-'TRADE IN'!$F252))</f>
        <v>599</v>
      </c>
      <c r="U252" s="46">
        <f>IF(VLOOKUP($C252,REV!$C:$AA,19,0)-'TRADE IN'!$F252=0,"",(VLOOKUP($C252,REV!$C:$AA,19,0)-'TRADE IN'!$F252))</f>
        <v>599</v>
      </c>
      <c r="V252" s="46">
        <f>IF(VLOOKUP($C252,REV!$C:$AA,20,0)-'TRADE IN'!$F252=0,"",(VLOOKUP($C252,REV!$C:$AA,20,0)-'TRADE IN'!$F252))</f>
        <v>599</v>
      </c>
      <c r="W252" s="46">
        <f>IF(VLOOKUP($C252,REV!$C:$AA,21,0)-'TRADE IN'!$F252=0,"",(VLOOKUP($C252,REV!$C:$AA,21,0)-'TRADE IN'!$F252))</f>
        <v>599</v>
      </c>
      <c r="X252" s="46">
        <f>IF(VLOOKUP($C252,REV!$C:$AA,22,0)-'TRADE IN'!$F252=0,"",(VLOOKUP($C252,REV!$C:$AA,22,0)-'TRADE IN'!$F252))</f>
        <v>599</v>
      </c>
      <c r="Y252" s="46">
        <f>IF(VLOOKUP($C252,REV!$C:$AA,23,0)-'TRADE IN'!$F252=0,"",(VLOOKUP($C252,REV!$C:$AA,23,0)-'TRADE IN'!$F252))</f>
        <v>599</v>
      </c>
      <c r="Z252" s="46">
        <f>IF(VLOOKUP($C252,REV!$C:$AA,24,0)-'TRADE IN'!$F252=0,"",(VLOOKUP($C252,REV!$C:$AA,24,0)-'TRADE IN'!$F252))</f>
        <v>599</v>
      </c>
      <c r="AA252" s="46">
        <f>IF(VLOOKUP($C252,REV!$C:$AA,25,0)-'TRADE IN'!$F252=0,"",(VLOOKUP($C252,REV!$C:$AA,25,0)-'TRADE IN'!$F252))</f>
        <v>599</v>
      </c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7"/>
      <c r="AW252" s="48" t="str">
        <f>REV!AW252</f>
        <v>01.12.2026</v>
      </c>
      <c r="AX252" s="153" t="str">
        <f>VLOOKUP(C252,REV!C:AX,48,0)</f>
        <v>5G</v>
      </c>
    </row>
    <row r="253" spans="1:50" ht="22.5" customHeight="1">
      <c r="A253" s="57" t="s">
        <v>247</v>
      </c>
      <c r="B253" s="42" t="s">
        <v>64</v>
      </c>
      <c r="C253" s="43">
        <v>4015259</v>
      </c>
      <c r="D253" s="58" t="s">
        <v>408</v>
      </c>
      <c r="E253" s="58" t="s">
        <v>411</v>
      </c>
      <c r="F253" s="45"/>
      <c r="G253" s="45"/>
      <c r="H253" s="45"/>
      <c r="I253" s="45"/>
      <c r="J253" s="46">
        <f>IF(VLOOKUP($C253,REV!$C:$AA,8,0)-'TRADE IN'!$F253=0,"",(VLOOKUP($C253,REV!$C:$AA,8,0)-'TRADE IN'!$F253))</f>
        <v>599</v>
      </c>
      <c r="K253" s="46">
        <f>IF(VLOOKUP($C253,REV!$C:$AA,9,0)-'TRADE IN'!$F253=0,"",(VLOOKUP($C253,REV!$C:$AA,9,0)-'TRADE IN'!$F253))</f>
        <v>599</v>
      </c>
      <c r="L253" s="46">
        <f>IF(VLOOKUP($C253,REV!$C:$AA,10,0)-'TRADE IN'!$F253=0,"",(VLOOKUP($C253,REV!$C:$AA,10,0)-'TRADE IN'!$F253))</f>
        <v>599</v>
      </c>
      <c r="M253" s="46">
        <f>IF(VLOOKUP($C253,REV!$C:$AA,11,0)-'TRADE IN'!$F253=0,"",(VLOOKUP($C253,REV!$C:$AA,11,0)-'TRADE IN'!$F253))</f>
        <v>599</v>
      </c>
      <c r="N253" s="46">
        <f>IF(VLOOKUP($C253,REV!$C:$AA,12,0)-'TRADE IN'!$F253=0,"",(VLOOKUP($C253,REV!$C:$AA,12,0)-'TRADE IN'!$F253))</f>
        <v>599</v>
      </c>
      <c r="O253" s="46">
        <f>IF(VLOOKUP($C253,REV!$C:$AA,13,0)-'TRADE IN'!$F253=0,"",(VLOOKUP($C253,REV!$C:$AA,13,0)-'TRADE IN'!$F253))</f>
        <v>599</v>
      </c>
      <c r="P253" s="46">
        <f>IF(VLOOKUP($C253,REV!$C:$AA,14,0)-'TRADE IN'!$F253=0,"",(VLOOKUP($C253,REV!$C:$AA,14,0)-'TRADE IN'!$F253))</f>
        <v>599</v>
      </c>
      <c r="Q253" s="46">
        <f>IF(VLOOKUP($C253,REV!$C:$AA,15,0)-'TRADE IN'!$F253=0,"",(VLOOKUP($C253,REV!$C:$AA,15,0)-'TRADE IN'!$F253))</f>
        <v>599</v>
      </c>
      <c r="R253" s="46">
        <f>IF(VLOOKUP($C253,REV!$C:$AA,16,0)-'TRADE IN'!$F253=0,"",(VLOOKUP($C253,REV!$C:$AA,16,0)-'TRADE IN'!$F253))</f>
        <v>599</v>
      </c>
      <c r="S253" s="46">
        <f>IF(VLOOKUP($C253,REV!$C:$AA,17,0)-'TRADE IN'!$F253=0,"",(VLOOKUP($C253,REV!$C:$AA,17,0)-'TRADE IN'!$F253))</f>
        <v>599</v>
      </c>
      <c r="T253" s="46">
        <f>IF(VLOOKUP($C253,REV!$C:$AA,18,0)-'TRADE IN'!$F253=0,"",(VLOOKUP($C253,REV!$C:$AA,18,0)-'TRADE IN'!$F253))</f>
        <v>599</v>
      </c>
      <c r="U253" s="46">
        <f>IF(VLOOKUP($C253,REV!$C:$AA,19,0)-'TRADE IN'!$F253=0,"",(VLOOKUP($C253,REV!$C:$AA,19,0)-'TRADE IN'!$F253))</f>
        <v>599</v>
      </c>
      <c r="V253" s="46">
        <f>IF(VLOOKUP($C253,REV!$C:$AA,20,0)-'TRADE IN'!$F253=0,"",(VLOOKUP($C253,REV!$C:$AA,20,0)-'TRADE IN'!$F253))</f>
        <v>599</v>
      </c>
      <c r="W253" s="46">
        <f>IF(VLOOKUP($C253,REV!$C:$AA,21,0)-'TRADE IN'!$F253=0,"",(VLOOKUP($C253,REV!$C:$AA,21,0)-'TRADE IN'!$F253))</f>
        <v>599</v>
      </c>
      <c r="X253" s="46">
        <f>IF(VLOOKUP($C253,REV!$C:$AA,22,0)-'TRADE IN'!$F253=0,"",(VLOOKUP($C253,REV!$C:$AA,22,0)-'TRADE IN'!$F253))</f>
        <v>599</v>
      </c>
      <c r="Y253" s="46">
        <f>IF(VLOOKUP($C253,REV!$C:$AA,23,0)-'TRADE IN'!$F253=0,"",(VLOOKUP($C253,REV!$C:$AA,23,0)-'TRADE IN'!$F253))</f>
        <v>599</v>
      </c>
      <c r="Z253" s="46">
        <f>IF(VLOOKUP($C253,REV!$C:$AA,24,0)-'TRADE IN'!$F253=0,"",(VLOOKUP($C253,REV!$C:$AA,24,0)-'TRADE IN'!$F253))</f>
        <v>599</v>
      </c>
      <c r="AA253" s="46">
        <f>IF(VLOOKUP($C253,REV!$C:$AA,25,0)-'TRADE IN'!$F253=0,"",(VLOOKUP($C253,REV!$C:$AA,25,0)-'TRADE IN'!$F253))</f>
        <v>599</v>
      </c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7"/>
      <c r="AW253" s="48" t="str">
        <f>REV!AW253</f>
        <v>01.12.2026</v>
      </c>
      <c r="AX253" s="153" t="str">
        <f>VLOOKUP(C253,REV!C:AX,48,0)</f>
        <v>5G</v>
      </c>
    </row>
    <row r="254" spans="1:50" ht="22" customHeight="1">
      <c r="A254" s="57" t="s">
        <v>247</v>
      </c>
      <c r="B254" s="42" t="s">
        <v>64</v>
      </c>
      <c r="C254" s="43">
        <v>4015563</v>
      </c>
      <c r="D254" s="58" t="s">
        <v>412</v>
      </c>
      <c r="E254" s="58" t="s">
        <v>413</v>
      </c>
      <c r="F254" s="45"/>
      <c r="G254" s="45"/>
      <c r="H254" s="45"/>
      <c r="I254" s="45"/>
      <c r="J254" s="46">
        <f>IF(VLOOKUP($C254,REV!$C:$AA,8,0)-'TRADE IN'!$F254=0,"",(VLOOKUP($C254,REV!$C:$AA,8,0)-'TRADE IN'!$F254))</f>
        <v>599</v>
      </c>
      <c r="K254" s="46">
        <f>IF(VLOOKUP($C254,REV!$C:$AA,9,0)-'TRADE IN'!$F254=0,"",(VLOOKUP($C254,REV!$C:$AA,9,0)-'TRADE IN'!$F254))</f>
        <v>599</v>
      </c>
      <c r="L254" s="46">
        <f>IF(VLOOKUP($C254,REV!$C:$AA,10,0)-'TRADE IN'!$F254=0,"",(VLOOKUP($C254,REV!$C:$AA,10,0)-'TRADE IN'!$F254))</f>
        <v>599</v>
      </c>
      <c r="M254" s="46">
        <f>IF(VLOOKUP($C254,REV!$C:$AA,11,0)-'TRADE IN'!$F254=0,"",(VLOOKUP($C254,REV!$C:$AA,11,0)-'TRADE IN'!$F254))</f>
        <v>599</v>
      </c>
      <c r="N254" s="46">
        <f>IF(VLOOKUP($C254,REV!$C:$AA,12,0)-'TRADE IN'!$F254=0,"",(VLOOKUP($C254,REV!$C:$AA,12,0)-'TRADE IN'!$F254))</f>
        <v>599</v>
      </c>
      <c r="O254" s="46">
        <f>IF(VLOOKUP($C254,REV!$C:$AA,13,0)-'TRADE IN'!$F254=0,"",(VLOOKUP($C254,REV!$C:$AA,13,0)-'TRADE IN'!$F254))</f>
        <v>549</v>
      </c>
      <c r="P254" s="46">
        <f>IF(VLOOKUP($C254,REV!$C:$AA,14,0)-'TRADE IN'!$F254=0,"",(VLOOKUP($C254,REV!$C:$AA,14,0)-'TRADE IN'!$F254))</f>
        <v>549</v>
      </c>
      <c r="Q254" s="46">
        <f>IF(VLOOKUP($C254,REV!$C:$AA,15,0)-'TRADE IN'!$F254=0,"",(VLOOKUP($C254,REV!$C:$AA,15,0)-'TRADE IN'!$F254))</f>
        <v>499</v>
      </c>
      <c r="R254" s="46">
        <f>IF(VLOOKUP($C254,REV!$C:$AA,16,0)-'TRADE IN'!$F254=0,"",(VLOOKUP($C254,REV!$C:$AA,16,0)-'TRADE IN'!$F254))</f>
        <v>549</v>
      </c>
      <c r="S254" s="46">
        <f>IF(VLOOKUP($C254,REV!$C:$AA,17,0)-'TRADE IN'!$F254=0,"",(VLOOKUP($C254,REV!$C:$AA,17,0)-'TRADE IN'!$F254))</f>
        <v>549</v>
      </c>
      <c r="T254" s="46">
        <f>IF(VLOOKUP($C254,REV!$C:$AA,18,0)-'TRADE IN'!$F254=0,"",(VLOOKUP($C254,REV!$C:$AA,18,0)-'TRADE IN'!$F254))</f>
        <v>499</v>
      </c>
      <c r="U254" s="46">
        <f>IF(VLOOKUP($C254,REV!$C:$AA,19,0)-'TRADE IN'!$F254=0,"",(VLOOKUP($C254,REV!$C:$AA,19,0)-'TRADE IN'!$F254))</f>
        <v>499</v>
      </c>
      <c r="V254" s="46">
        <f>IF(VLOOKUP($C254,REV!$C:$AA,20,0)-'TRADE IN'!$F254=0,"",(VLOOKUP($C254,REV!$C:$AA,20,0)-'TRADE IN'!$F254))</f>
        <v>499</v>
      </c>
      <c r="W254" s="46">
        <f>IF(VLOOKUP($C254,REV!$C:$AA,21,0)-'TRADE IN'!$F254=0,"",(VLOOKUP($C254,REV!$C:$AA,21,0)-'TRADE IN'!$F254))</f>
        <v>499</v>
      </c>
      <c r="X254" s="46">
        <f>IF(VLOOKUP($C254,REV!$C:$AA,22,0)-'TRADE IN'!$F254=0,"",(VLOOKUP($C254,REV!$C:$AA,22,0)-'TRADE IN'!$F254))</f>
        <v>499</v>
      </c>
      <c r="Y254" s="46">
        <f>IF(VLOOKUP($C254,REV!$C:$AA,23,0)-'TRADE IN'!$F254=0,"",(VLOOKUP($C254,REV!$C:$AA,23,0)-'TRADE IN'!$F254))</f>
        <v>499</v>
      </c>
      <c r="Z254" s="46">
        <f>IF(VLOOKUP($C254,REV!$C:$AA,24,0)-'TRADE IN'!$F254=0,"",(VLOOKUP($C254,REV!$C:$AA,24,0)-'TRADE IN'!$F254))</f>
        <v>499</v>
      </c>
      <c r="AA254" s="46">
        <f>IF(VLOOKUP($C254,REV!$C:$AA,25,0)-'TRADE IN'!$F254=0,"",(VLOOKUP($C254,REV!$C:$AA,25,0)-'TRADE IN'!$F254))</f>
        <v>499</v>
      </c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7"/>
      <c r="AW254" s="48" t="str">
        <f>REV!AW254</f>
        <v>01.12.2026</v>
      </c>
      <c r="AX254" s="153" t="str">
        <f>VLOOKUP(C254,REV!C:AX,48,0)</f>
        <v>5G</v>
      </c>
    </row>
    <row r="255" spans="1:50" ht="22.5" customHeight="1">
      <c r="A255" s="57" t="s">
        <v>247</v>
      </c>
      <c r="B255" s="42" t="s">
        <v>64</v>
      </c>
      <c r="C255" s="43">
        <v>4015565</v>
      </c>
      <c r="D255" s="58" t="s">
        <v>412</v>
      </c>
      <c r="E255" s="58" t="s">
        <v>414</v>
      </c>
      <c r="F255" s="45"/>
      <c r="G255" s="45"/>
      <c r="H255" s="45"/>
      <c r="I255" s="45"/>
      <c r="J255" s="46">
        <f>IF(VLOOKUP($C255,REV!$C:$AA,8,0)-'TRADE IN'!$F255=0,"",(VLOOKUP($C255,REV!$C:$AA,8,0)-'TRADE IN'!$F255))</f>
        <v>599</v>
      </c>
      <c r="K255" s="46">
        <f>IF(VLOOKUP($C255,REV!$C:$AA,9,0)-'TRADE IN'!$F255=0,"",(VLOOKUP($C255,REV!$C:$AA,9,0)-'TRADE IN'!$F255))</f>
        <v>599</v>
      </c>
      <c r="L255" s="46">
        <f>IF(VLOOKUP($C255,REV!$C:$AA,10,0)-'TRADE IN'!$F255=0,"",(VLOOKUP($C255,REV!$C:$AA,10,0)-'TRADE IN'!$F255))</f>
        <v>599</v>
      </c>
      <c r="M255" s="46">
        <f>IF(VLOOKUP($C255,REV!$C:$AA,11,0)-'TRADE IN'!$F255=0,"",(VLOOKUP($C255,REV!$C:$AA,11,0)-'TRADE IN'!$F255))</f>
        <v>599</v>
      </c>
      <c r="N255" s="46">
        <f>IF(VLOOKUP($C255,REV!$C:$AA,12,0)-'TRADE IN'!$F255=0,"",(VLOOKUP($C255,REV!$C:$AA,12,0)-'TRADE IN'!$F255))</f>
        <v>599</v>
      </c>
      <c r="O255" s="46">
        <f>IF(VLOOKUP($C255,REV!$C:$AA,13,0)-'TRADE IN'!$F255=0,"",(VLOOKUP($C255,REV!$C:$AA,13,0)-'TRADE IN'!$F255))</f>
        <v>549</v>
      </c>
      <c r="P255" s="46">
        <f>IF(VLOOKUP($C255,REV!$C:$AA,14,0)-'TRADE IN'!$F255=0,"",(VLOOKUP($C255,REV!$C:$AA,14,0)-'TRADE IN'!$F255))</f>
        <v>549</v>
      </c>
      <c r="Q255" s="46">
        <f>IF(VLOOKUP($C255,REV!$C:$AA,15,0)-'TRADE IN'!$F255=0,"",(VLOOKUP($C255,REV!$C:$AA,15,0)-'TRADE IN'!$F255))</f>
        <v>499</v>
      </c>
      <c r="R255" s="46">
        <f>IF(VLOOKUP($C255,REV!$C:$AA,16,0)-'TRADE IN'!$F255=0,"",(VLOOKUP($C255,REV!$C:$AA,16,0)-'TRADE IN'!$F255))</f>
        <v>549</v>
      </c>
      <c r="S255" s="46">
        <f>IF(VLOOKUP($C255,REV!$C:$AA,17,0)-'TRADE IN'!$F255=0,"",(VLOOKUP($C255,REV!$C:$AA,17,0)-'TRADE IN'!$F255))</f>
        <v>549</v>
      </c>
      <c r="T255" s="46">
        <f>IF(VLOOKUP($C255,REV!$C:$AA,18,0)-'TRADE IN'!$F255=0,"",(VLOOKUP($C255,REV!$C:$AA,18,0)-'TRADE IN'!$F255))</f>
        <v>499</v>
      </c>
      <c r="U255" s="46">
        <f>IF(VLOOKUP($C255,REV!$C:$AA,19,0)-'TRADE IN'!$F255=0,"",(VLOOKUP($C255,REV!$C:$AA,19,0)-'TRADE IN'!$F255))</f>
        <v>499</v>
      </c>
      <c r="V255" s="46">
        <f>IF(VLOOKUP($C255,REV!$C:$AA,20,0)-'TRADE IN'!$F255=0,"",(VLOOKUP($C255,REV!$C:$AA,20,0)-'TRADE IN'!$F255))</f>
        <v>499</v>
      </c>
      <c r="W255" s="46">
        <f>IF(VLOOKUP($C255,REV!$C:$AA,21,0)-'TRADE IN'!$F255=0,"",(VLOOKUP($C255,REV!$C:$AA,21,0)-'TRADE IN'!$F255))</f>
        <v>499</v>
      </c>
      <c r="X255" s="46">
        <f>IF(VLOOKUP($C255,REV!$C:$AA,22,0)-'TRADE IN'!$F255=0,"",(VLOOKUP($C255,REV!$C:$AA,22,0)-'TRADE IN'!$F255))</f>
        <v>499</v>
      </c>
      <c r="Y255" s="46">
        <f>IF(VLOOKUP($C255,REV!$C:$AA,23,0)-'TRADE IN'!$F255=0,"",(VLOOKUP($C255,REV!$C:$AA,23,0)-'TRADE IN'!$F255))</f>
        <v>499</v>
      </c>
      <c r="Z255" s="46">
        <f>IF(VLOOKUP($C255,REV!$C:$AA,24,0)-'TRADE IN'!$F255=0,"",(VLOOKUP($C255,REV!$C:$AA,24,0)-'TRADE IN'!$F255))</f>
        <v>499</v>
      </c>
      <c r="AA255" s="46">
        <f>IF(VLOOKUP($C255,REV!$C:$AA,25,0)-'TRADE IN'!$F255=0,"",(VLOOKUP($C255,REV!$C:$AA,25,0)-'TRADE IN'!$F255))</f>
        <v>499</v>
      </c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7"/>
      <c r="AW255" s="48" t="str">
        <f>REV!AW255</f>
        <v>01.12.2026</v>
      </c>
      <c r="AX255" s="153" t="str">
        <f>VLOOKUP(C255,REV!C:AX,48,0)</f>
        <v>5G</v>
      </c>
    </row>
    <row r="256" spans="1:50" ht="22.5" customHeight="1">
      <c r="A256" s="57" t="s">
        <v>247</v>
      </c>
      <c r="B256" s="42" t="s">
        <v>64</v>
      </c>
      <c r="C256" s="43">
        <v>4015567</v>
      </c>
      <c r="D256" s="58" t="s">
        <v>412</v>
      </c>
      <c r="E256" s="58" t="s">
        <v>415</v>
      </c>
      <c r="F256" s="45"/>
      <c r="G256" s="45"/>
      <c r="H256" s="45"/>
      <c r="I256" s="45"/>
      <c r="J256" s="46">
        <f>IF(VLOOKUP($C256,REV!$C:$AA,8,0)-'TRADE IN'!$F256=0,"",(VLOOKUP($C256,REV!$C:$AA,8,0)-'TRADE IN'!$F256))</f>
        <v>599</v>
      </c>
      <c r="K256" s="46">
        <f>IF(VLOOKUP($C256,REV!$C:$AA,9,0)-'TRADE IN'!$F256=0,"",(VLOOKUP($C256,REV!$C:$AA,9,0)-'TRADE IN'!$F256))</f>
        <v>599</v>
      </c>
      <c r="L256" s="46">
        <f>IF(VLOOKUP($C256,REV!$C:$AA,10,0)-'TRADE IN'!$F256=0,"",(VLOOKUP($C256,REV!$C:$AA,10,0)-'TRADE IN'!$F256))</f>
        <v>599</v>
      </c>
      <c r="M256" s="46">
        <f>IF(VLOOKUP($C256,REV!$C:$AA,11,0)-'TRADE IN'!$F256=0,"",(VLOOKUP($C256,REV!$C:$AA,11,0)-'TRADE IN'!$F256))</f>
        <v>599</v>
      </c>
      <c r="N256" s="46">
        <f>IF(VLOOKUP($C256,REV!$C:$AA,12,0)-'TRADE IN'!$F256=0,"",(VLOOKUP($C256,REV!$C:$AA,12,0)-'TRADE IN'!$F256))</f>
        <v>599</v>
      </c>
      <c r="O256" s="46">
        <f>IF(VLOOKUP($C256,REV!$C:$AA,13,0)-'TRADE IN'!$F256=0,"",(VLOOKUP($C256,REV!$C:$AA,13,0)-'TRADE IN'!$F256))</f>
        <v>549</v>
      </c>
      <c r="P256" s="46">
        <f>IF(VLOOKUP($C256,REV!$C:$AA,14,0)-'TRADE IN'!$F256=0,"",(VLOOKUP($C256,REV!$C:$AA,14,0)-'TRADE IN'!$F256))</f>
        <v>549</v>
      </c>
      <c r="Q256" s="46">
        <f>IF(VLOOKUP($C256,REV!$C:$AA,15,0)-'TRADE IN'!$F256=0,"",(VLOOKUP($C256,REV!$C:$AA,15,0)-'TRADE IN'!$F256))</f>
        <v>499</v>
      </c>
      <c r="R256" s="46">
        <f>IF(VLOOKUP($C256,REV!$C:$AA,16,0)-'TRADE IN'!$F256=0,"",(VLOOKUP($C256,REV!$C:$AA,16,0)-'TRADE IN'!$F256))</f>
        <v>549</v>
      </c>
      <c r="S256" s="46">
        <f>IF(VLOOKUP($C256,REV!$C:$AA,17,0)-'TRADE IN'!$F256=0,"",(VLOOKUP($C256,REV!$C:$AA,17,0)-'TRADE IN'!$F256))</f>
        <v>549</v>
      </c>
      <c r="T256" s="46">
        <f>IF(VLOOKUP($C256,REV!$C:$AA,18,0)-'TRADE IN'!$F256=0,"",(VLOOKUP($C256,REV!$C:$AA,18,0)-'TRADE IN'!$F256))</f>
        <v>499</v>
      </c>
      <c r="U256" s="46">
        <f>IF(VLOOKUP($C256,REV!$C:$AA,19,0)-'TRADE IN'!$F256=0,"",(VLOOKUP($C256,REV!$C:$AA,19,0)-'TRADE IN'!$F256))</f>
        <v>499</v>
      </c>
      <c r="V256" s="46">
        <f>IF(VLOOKUP($C256,REV!$C:$AA,20,0)-'TRADE IN'!$F256=0,"",(VLOOKUP($C256,REV!$C:$AA,20,0)-'TRADE IN'!$F256))</f>
        <v>499</v>
      </c>
      <c r="W256" s="46">
        <f>IF(VLOOKUP($C256,REV!$C:$AA,21,0)-'TRADE IN'!$F256=0,"",(VLOOKUP($C256,REV!$C:$AA,21,0)-'TRADE IN'!$F256))</f>
        <v>499</v>
      </c>
      <c r="X256" s="46">
        <f>IF(VLOOKUP($C256,REV!$C:$AA,22,0)-'TRADE IN'!$F256=0,"",(VLOOKUP($C256,REV!$C:$AA,22,0)-'TRADE IN'!$F256))</f>
        <v>499</v>
      </c>
      <c r="Y256" s="46">
        <f>IF(VLOOKUP($C256,REV!$C:$AA,23,0)-'TRADE IN'!$F256=0,"",(VLOOKUP($C256,REV!$C:$AA,23,0)-'TRADE IN'!$F256))</f>
        <v>499</v>
      </c>
      <c r="Z256" s="46">
        <f>IF(VLOOKUP($C256,REV!$C:$AA,24,0)-'TRADE IN'!$F256=0,"",(VLOOKUP($C256,REV!$C:$AA,24,0)-'TRADE IN'!$F256))</f>
        <v>499</v>
      </c>
      <c r="AA256" s="46">
        <f>IF(VLOOKUP($C256,REV!$C:$AA,25,0)-'TRADE IN'!$F256=0,"",(VLOOKUP($C256,REV!$C:$AA,25,0)-'TRADE IN'!$F256))</f>
        <v>499</v>
      </c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7"/>
      <c r="AW256" s="48" t="str">
        <f>REV!AW256</f>
        <v>01.12.2026</v>
      </c>
      <c r="AX256" s="153" t="str">
        <f>VLOOKUP(C256,REV!C:AX,48,0)</f>
        <v>5G</v>
      </c>
    </row>
    <row r="257" spans="1:50" ht="22.5" customHeight="1">
      <c r="A257" s="57" t="s">
        <v>247</v>
      </c>
      <c r="B257" s="42" t="s">
        <v>64</v>
      </c>
      <c r="C257" s="43">
        <v>4015569</v>
      </c>
      <c r="D257" s="58" t="s">
        <v>412</v>
      </c>
      <c r="E257" s="58" t="s">
        <v>416</v>
      </c>
      <c r="F257" s="45"/>
      <c r="G257" s="45"/>
      <c r="H257" s="45"/>
      <c r="I257" s="45"/>
      <c r="J257" s="46">
        <f>IF(VLOOKUP($C257,REV!$C:$AA,8,0)-'TRADE IN'!$F257=0,"",(VLOOKUP($C257,REV!$C:$AA,8,0)-'TRADE IN'!$F257))</f>
        <v>599</v>
      </c>
      <c r="K257" s="46">
        <f>IF(VLOOKUP($C257,REV!$C:$AA,9,0)-'TRADE IN'!$F257=0,"",(VLOOKUP($C257,REV!$C:$AA,9,0)-'TRADE IN'!$F257))</f>
        <v>599</v>
      </c>
      <c r="L257" s="46">
        <f>IF(VLOOKUP($C257,REV!$C:$AA,10,0)-'TRADE IN'!$F257=0,"",(VLOOKUP($C257,REV!$C:$AA,10,0)-'TRADE IN'!$F257))</f>
        <v>599</v>
      </c>
      <c r="M257" s="46">
        <f>IF(VLOOKUP($C257,REV!$C:$AA,11,0)-'TRADE IN'!$F257=0,"",(VLOOKUP($C257,REV!$C:$AA,11,0)-'TRADE IN'!$F257))</f>
        <v>599</v>
      </c>
      <c r="N257" s="46">
        <f>IF(VLOOKUP($C257,REV!$C:$AA,12,0)-'TRADE IN'!$F257=0,"",(VLOOKUP($C257,REV!$C:$AA,12,0)-'TRADE IN'!$F257))</f>
        <v>599</v>
      </c>
      <c r="O257" s="46">
        <f>IF(VLOOKUP($C257,REV!$C:$AA,13,0)-'TRADE IN'!$F257=0,"",(VLOOKUP($C257,REV!$C:$AA,13,0)-'TRADE IN'!$F257))</f>
        <v>549</v>
      </c>
      <c r="P257" s="46">
        <f>IF(VLOOKUP($C257,REV!$C:$AA,14,0)-'TRADE IN'!$F257=0,"",(VLOOKUP($C257,REV!$C:$AA,14,0)-'TRADE IN'!$F257))</f>
        <v>549</v>
      </c>
      <c r="Q257" s="46">
        <f>IF(VLOOKUP($C257,REV!$C:$AA,15,0)-'TRADE IN'!$F257=0,"",(VLOOKUP($C257,REV!$C:$AA,15,0)-'TRADE IN'!$F257))</f>
        <v>499</v>
      </c>
      <c r="R257" s="46">
        <f>IF(VLOOKUP($C257,REV!$C:$AA,16,0)-'TRADE IN'!$F257=0,"",(VLOOKUP($C257,REV!$C:$AA,16,0)-'TRADE IN'!$F257))</f>
        <v>549</v>
      </c>
      <c r="S257" s="46">
        <f>IF(VLOOKUP($C257,REV!$C:$AA,17,0)-'TRADE IN'!$F257=0,"",(VLOOKUP($C257,REV!$C:$AA,17,0)-'TRADE IN'!$F257))</f>
        <v>549</v>
      </c>
      <c r="T257" s="46">
        <f>IF(VLOOKUP($C257,REV!$C:$AA,18,0)-'TRADE IN'!$F257=0,"",(VLOOKUP($C257,REV!$C:$AA,18,0)-'TRADE IN'!$F257))</f>
        <v>499</v>
      </c>
      <c r="U257" s="46">
        <f>IF(VLOOKUP($C257,REV!$C:$AA,19,0)-'TRADE IN'!$F257=0,"",(VLOOKUP($C257,REV!$C:$AA,19,0)-'TRADE IN'!$F257))</f>
        <v>499</v>
      </c>
      <c r="V257" s="46">
        <f>IF(VLOOKUP($C257,REV!$C:$AA,20,0)-'TRADE IN'!$F257=0,"",(VLOOKUP($C257,REV!$C:$AA,20,0)-'TRADE IN'!$F257))</f>
        <v>499</v>
      </c>
      <c r="W257" s="46">
        <f>IF(VLOOKUP($C257,REV!$C:$AA,21,0)-'TRADE IN'!$F257=0,"",(VLOOKUP($C257,REV!$C:$AA,21,0)-'TRADE IN'!$F257))</f>
        <v>499</v>
      </c>
      <c r="X257" s="46">
        <f>IF(VLOOKUP($C257,REV!$C:$AA,22,0)-'TRADE IN'!$F257=0,"",(VLOOKUP($C257,REV!$C:$AA,22,0)-'TRADE IN'!$F257))</f>
        <v>499</v>
      </c>
      <c r="Y257" s="46">
        <f>IF(VLOOKUP($C257,REV!$C:$AA,23,0)-'TRADE IN'!$F257=0,"",(VLOOKUP($C257,REV!$C:$AA,23,0)-'TRADE IN'!$F257))</f>
        <v>499</v>
      </c>
      <c r="Z257" s="46">
        <f>IF(VLOOKUP($C257,REV!$C:$AA,24,0)-'TRADE IN'!$F257=0,"",(VLOOKUP($C257,REV!$C:$AA,24,0)-'TRADE IN'!$F257))</f>
        <v>499</v>
      </c>
      <c r="AA257" s="46">
        <f>IF(VLOOKUP($C257,REV!$C:$AA,25,0)-'TRADE IN'!$F257=0,"",(VLOOKUP($C257,REV!$C:$AA,25,0)-'TRADE IN'!$F257))</f>
        <v>499</v>
      </c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7"/>
      <c r="AW257" s="48" t="str">
        <f>REV!AW257</f>
        <v>01.12.2026</v>
      </c>
      <c r="AX257" s="153" t="str">
        <f>VLOOKUP(C257,REV!C:AX,48,0)</f>
        <v>5G</v>
      </c>
    </row>
    <row r="258" spans="1:50" ht="22.5" customHeight="1">
      <c r="A258" s="57" t="s">
        <v>247</v>
      </c>
      <c r="B258" s="42" t="s">
        <v>64</v>
      </c>
      <c r="C258" s="43">
        <v>4016078</v>
      </c>
      <c r="D258" s="58" t="s">
        <v>417</v>
      </c>
      <c r="E258" s="58" t="s">
        <v>418</v>
      </c>
      <c r="F258" s="45"/>
      <c r="G258" s="45"/>
      <c r="H258" s="45"/>
      <c r="I258" s="45"/>
      <c r="J258" s="46">
        <f>IF(VLOOKUP($C258,REV!$C:$AA,8,0)-'TRADE IN'!$F258=0,"",(VLOOKUP($C258,REV!$C:$AA,8,0)-'TRADE IN'!$F258))</f>
        <v>509</v>
      </c>
      <c r="K258" s="46">
        <f>IF(VLOOKUP($C258,REV!$C:$AA,9,0)-'TRADE IN'!$F258=0,"",(VLOOKUP($C258,REV!$C:$AA,9,0)-'TRADE IN'!$F258))</f>
        <v>509</v>
      </c>
      <c r="L258" s="46">
        <f>IF(VLOOKUP($C258,REV!$C:$AA,10,0)-'TRADE IN'!$F258=0,"",(VLOOKUP($C258,REV!$C:$AA,10,0)-'TRADE IN'!$F258))</f>
        <v>509</v>
      </c>
      <c r="M258" s="46">
        <f>IF(VLOOKUP($C258,REV!$C:$AA,11,0)-'TRADE IN'!$F258=0,"",(VLOOKUP($C258,REV!$C:$AA,11,0)-'TRADE IN'!$F258))</f>
        <v>509</v>
      </c>
      <c r="N258" s="46">
        <f>IF(VLOOKUP($C258,REV!$C:$AA,12,0)-'TRADE IN'!$F258=0,"",(VLOOKUP($C258,REV!$C:$AA,12,0)-'TRADE IN'!$F258))</f>
        <v>509</v>
      </c>
      <c r="O258" s="46">
        <f>IF(VLOOKUP($C258,REV!$C:$AA,13,0)-'TRADE IN'!$F258=0,"",(VLOOKUP($C258,REV!$C:$AA,13,0)-'TRADE IN'!$F258))</f>
        <v>509</v>
      </c>
      <c r="P258" s="46">
        <f>IF(VLOOKUP($C258,REV!$C:$AA,14,0)-'TRADE IN'!$F258=0,"",(VLOOKUP($C258,REV!$C:$AA,14,0)-'TRADE IN'!$F258))</f>
        <v>509</v>
      </c>
      <c r="Q258" s="46">
        <f>IF(VLOOKUP($C258,REV!$C:$AA,15,0)-'TRADE IN'!$F258=0,"",(VLOOKUP($C258,REV!$C:$AA,15,0)-'TRADE IN'!$F258))</f>
        <v>509</v>
      </c>
      <c r="R258" s="46">
        <f>IF(VLOOKUP($C258,REV!$C:$AA,16,0)-'TRADE IN'!$F258=0,"",(VLOOKUP($C258,REV!$C:$AA,16,0)-'TRADE IN'!$F258))</f>
        <v>509</v>
      </c>
      <c r="S258" s="46">
        <f>IF(VLOOKUP($C258,REV!$C:$AA,17,0)-'TRADE IN'!$F258=0,"",(VLOOKUP($C258,REV!$C:$AA,17,0)-'TRADE IN'!$F258))</f>
        <v>509</v>
      </c>
      <c r="T258" s="46">
        <f>IF(VLOOKUP($C258,REV!$C:$AA,18,0)-'TRADE IN'!$F258=0,"",(VLOOKUP($C258,REV!$C:$AA,18,0)-'TRADE IN'!$F258))</f>
        <v>509</v>
      </c>
      <c r="U258" s="46">
        <f>IF(VLOOKUP($C258,REV!$C:$AA,19,0)-'TRADE IN'!$F258=0,"",(VLOOKUP($C258,REV!$C:$AA,19,0)-'TRADE IN'!$F258))</f>
        <v>509</v>
      </c>
      <c r="V258" s="46">
        <f>IF(VLOOKUP($C258,REV!$C:$AA,20,0)-'TRADE IN'!$F258=0,"",(VLOOKUP($C258,REV!$C:$AA,20,0)-'TRADE IN'!$F258))</f>
        <v>509</v>
      </c>
      <c r="W258" s="46">
        <f>IF(VLOOKUP($C258,REV!$C:$AA,21,0)-'TRADE IN'!$F258=0,"",(VLOOKUP($C258,REV!$C:$AA,21,0)-'TRADE IN'!$F258))</f>
        <v>509</v>
      </c>
      <c r="X258" s="46">
        <f>IF(VLOOKUP($C258,REV!$C:$AA,22,0)-'TRADE IN'!$F258=0,"",(VLOOKUP($C258,REV!$C:$AA,22,0)-'TRADE IN'!$F258))</f>
        <v>509</v>
      </c>
      <c r="Y258" s="46">
        <f>IF(VLOOKUP($C258,REV!$C:$AA,23,0)-'TRADE IN'!$F258=0,"",(VLOOKUP($C258,REV!$C:$AA,23,0)-'TRADE IN'!$F258))</f>
        <v>509</v>
      </c>
      <c r="Z258" s="46">
        <f>IF(VLOOKUP($C258,REV!$C:$AA,24,0)-'TRADE IN'!$F258=0,"",(VLOOKUP($C258,REV!$C:$AA,24,0)-'TRADE IN'!$F258))</f>
        <v>509</v>
      </c>
      <c r="AA258" s="46">
        <f>IF(VLOOKUP($C258,REV!$C:$AA,25,0)-'TRADE IN'!$F258=0,"",(VLOOKUP($C258,REV!$C:$AA,25,0)-'TRADE IN'!$F258))</f>
        <v>509</v>
      </c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7"/>
      <c r="AW258" s="48" t="str">
        <f>REV!AW258</f>
        <v>01.12.2026</v>
      </c>
      <c r="AX258" s="153" t="str">
        <f>VLOOKUP(C258,REV!C:AX,48,0)</f>
        <v>5G</v>
      </c>
    </row>
    <row r="259" spans="1:50" ht="22.5" customHeight="1">
      <c r="A259" s="57" t="s">
        <v>247</v>
      </c>
      <c r="B259" s="42" t="s">
        <v>64</v>
      </c>
      <c r="C259" s="43">
        <v>4016081</v>
      </c>
      <c r="D259" s="58" t="s">
        <v>417</v>
      </c>
      <c r="E259" s="58" t="s">
        <v>419</v>
      </c>
      <c r="F259" s="45"/>
      <c r="G259" s="45"/>
      <c r="H259" s="45"/>
      <c r="I259" s="45"/>
      <c r="J259" s="46">
        <f>IF(VLOOKUP($C259,REV!$C:$AA,8,0)-'TRADE IN'!$F259=0,"",(VLOOKUP($C259,REV!$C:$AA,8,0)-'TRADE IN'!$F259))</f>
        <v>509</v>
      </c>
      <c r="K259" s="46">
        <f>IF(VLOOKUP($C259,REV!$C:$AA,9,0)-'TRADE IN'!$F259=0,"",(VLOOKUP($C259,REV!$C:$AA,9,0)-'TRADE IN'!$F259))</f>
        <v>509</v>
      </c>
      <c r="L259" s="46">
        <f>IF(VLOOKUP($C259,REV!$C:$AA,10,0)-'TRADE IN'!$F259=0,"",(VLOOKUP($C259,REV!$C:$AA,10,0)-'TRADE IN'!$F259))</f>
        <v>509</v>
      </c>
      <c r="M259" s="46">
        <f>IF(VLOOKUP($C259,REV!$C:$AA,11,0)-'TRADE IN'!$F259=0,"",(VLOOKUP($C259,REV!$C:$AA,11,0)-'TRADE IN'!$F259))</f>
        <v>509</v>
      </c>
      <c r="N259" s="46">
        <f>IF(VLOOKUP($C259,REV!$C:$AA,12,0)-'TRADE IN'!$F259=0,"",(VLOOKUP($C259,REV!$C:$AA,12,0)-'TRADE IN'!$F259))</f>
        <v>509</v>
      </c>
      <c r="O259" s="46">
        <f>IF(VLOOKUP($C259,REV!$C:$AA,13,0)-'TRADE IN'!$F259=0,"",(VLOOKUP($C259,REV!$C:$AA,13,0)-'TRADE IN'!$F259))</f>
        <v>509</v>
      </c>
      <c r="P259" s="46">
        <f>IF(VLOOKUP($C259,REV!$C:$AA,14,0)-'TRADE IN'!$F259=0,"",(VLOOKUP($C259,REV!$C:$AA,14,0)-'TRADE IN'!$F259))</f>
        <v>509</v>
      </c>
      <c r="Q259" s="46">
        <f>IF(VLOOKUP($C259,REV!$C:$AA,15,0)-'TRADE IN'!$F259=0,"",(VLOOKUP($C259,REV!$C:$AA,15,0)-'TRADE IN'!$F259))</f>
        <v>509</v>
      </c>
      <c r="R259" s="46">
        <f>IF(VLOOKUP($C259,REV!$C:$AA,16,0)-'TRADE IN'!$F259=0,"",(VLOOKUP($C259,REV!$C:$AA,16,0)-'TRADE IN'!$F259))</f>
        <v>509</v>
      </c>
      <c r="S259" s="46">
        <f>IF(VLOOKUP($C259,REV!$C:$AA,17,0)-'TRADE IN'!$F259=0,"",(VLOOKUP($C259,REV!$C:$AA,17,0)-'TRADE IN'!$F259))</f>
        <v>509</v>
      </c>
      <c r="T259" s="46">
        <f>IF(VLOOKUP($C259,REV!$C:$AA,18,0)-'TRADE IN'!$F259=0,"",(VLOOKUP($C259,REV!$C:$AA,18,0)-'TRADE IN'!$F259))</f>
        <v>509</v>
      </c>
      <c r="U259" s="46">
        <f>IF(VLOOKUP($C259,REV!$C:$AA,19,0)-'TRADE IN'!$F259=0,"",(VLOOKUP($C259,REV!$C:$AA,19,0)-'TRADE IN'!$F259))</f>
        <v>509</v>
      </c>
      <c r="V259" s="46">
        <f>IF(VLOOKUP($C259,REV!$C:$AA,20,0)-'TRADE IN'!$F259=0,"",(VLOOKUP($C259,REV!$C:$AA,20,0)-'TRADE IN'!$F259))</f>
        <v>509</v>
      </c>
      <c r="W259" s="46">
        <f>IF(VLOOKUP($C259,REV!$C:$AA,21,0)-'TRADE IN'!$F259=0,"",(VLOOKUP($C259,REV!$C:$AA,21,0)-'TRADE IN'!$F259))</f>
        <v>509</v>
      </c>
      <c r="X259" s="46">
        <f>IF(VLOOKUP($C259,REV!$C:$AA,22,0)-'TRADE IN'!$F259=0,"",(VLOOKUP($C259,REV!$C:$AA,22,0)-'TRADE IN'!$F259))</f>
        <v>509</v>
      </c>
      <c r="Y259" s="46">
        <f>IF(VLOOKUP($C259,REV!$C:$AA,23,0)-'TRADE IN'!$F259=0,"",(VLOOKUP($C259,REV!$C:$AA,23,0)-'TRADE IN'!$F259))</f>
        <v>509</v>
      </c>
      <c r="Z259" s="46">
        <f>IF(VLOOKUP($C259,REV!$C:$AA,24,0)-'TRADE IN'!$F259=0,"",(VLOOKUP($C259,REV!$C:$AA,24,0)-'TRADE IN'!$F259))</f>
        <v>509</v>
      </c>
      <c r="AA259" s="46">
        <f>IF(VLOOKUP($C259,REV!$C:$AA,25,0)-'TRADE IN'!$F259=0,"",(VLOOKUP($C259,REV!$C:$AA,25,0)-'TRADE IN'!$F259))</f>
        <v>509</v>
      </c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7"/>
      <c r="AW259" s="48" t="str">
        <f>REV!AW259</f>
        <v>01.12.2026</v>
      </c>
      <c r="AX259" s="153" t="str">
        <f>VLOOKUP(C259,REV!C:AX,48,0)</f>
        <v>5G</v>
      </c>
    </row>
    <row r="260" spans="1:50" ht="22.5" customHeight="1">
      <c r="A260" s="57" t="s">
        <v>247</v>
      </c>
      <c r="B260" s="42" t="s">
        <v>64</v>
      </c>
      <c r="C260" s="43">
        <v>4016080</v>
      </c>
      <c r="D260" s="58" t="s">
        <v>417</v>
      </c>
      <c r="E260" s="58" t="s">
        <v>420</v>
      </c>
      <c r="F260" s="45"/>
      <c r="G260" s="45"/>
      <c r="H260" s="45"/>
      <c r="I260" s="45"/>
      <c r="J260" s="46">
        <f>IF(VLOOKUP($C260,REV!$C:$AA,8,0)-'TRADE IN'!$F260=0,"",(VLOOKUP($C260,REV!$C:$AA,8,0)-'TRADE IN'!$F260))</f>
        <v>509</v>
      </c>
      <c r="K260" s="46">
        <f>IF(VLOOKUP($C260,REV!$C:$AA,9,0)-'TRADE IN'!$F260=0,"",(VLOOKUP($C260,REV!$C:$AA,9,0)-'TRADE IN'!$F260))</f>
        <v>509</v>
      </c>
      <c r="L260" s="46">
        <f>IF(VLOOKUP($C260,REV!$C:$AA,10,0)-'TRADE IN'!$F260=0,"",(VLOOKUP($C260,REV!$C:$AA,10,0)-'TRADE IN'!$F260))</f>
        <v>509</v>
      </c>
      <c r="M260" s="46">
        <f>IF(VLOOKUP($C260,REV!$C:$AA,11,0)-'TRADE IN'!$F260=0,"",(VLOOKUP($C260,REV!$C:$AA,11,0)-'TRADE IN'!$F260))</f>
        <v>509</v>
      </c>
      <c r="N260" s="46">
        <f>IF(VLOOKUP($C260,REV!$C:$AA,12,0)-'TRADE IN'!$F260=0,"",(VLOOKUP($C260,REV!$C:$AA,12,0)-'TRADE IN'!$F260))</f>
        <v>509</v>
      </c>
      <c r="O260" s="46">
        <f>IF(VLOOKUP($C260,REV!$C:$AA,13,0)-'TRADE IN'!$F260=0,"",(VLOOKUP($C260,REV!$C:$AA,13,0)-'TRADE IN'!$F260))</f>
        <v>509</v>
      </c>
      <c r="P260" s="46">
        <f>IF(VLOOKUP($C260,REV!$C:$AA,14,0)-'TRADE IN'!$F260=0,"",(VLOOKUP($C260,REV!$C:$AA,14,0)-'TRADE IN'!$F260))</f>
        <v>509</v>
      </c>
      <c r="Q260" s="46">
        <f>IF(VLOOKUP($C260,REV!$C:$AA,15,0)-'TRADE IN'!$F260=0,"",(VLOOKUP($C260,REV!$C:$AA,15,0)-'TRADE IN'!$F260))</f>
        <v>509</v>
      </c>
      <c r="R260" s="46">
        <f>IF(VLOOKUP($C260,REV!$C:$AA,16,0)-'TRADE IN'!$F260=0,"",(VLOOKUP($C260,REV!$C:$AA,16,0)-'TRADE IN'!$F260))</f>
        <v>509</v>
      </c>
      <c r="S260" s="46">
        <f>IF(VLOOKUP($C260,REV!$C:$AA,17,0)-'TRADE IN'!$F260=0,"",(VLOOKUP($C260,REV!$C:$AA,17,0)-'TRADE IN'!$F260))</f>
        <v>509</v>
      </c>
      <c r="T260" s="46">
        <f>IF(VLOOKUP($C260,REV!$C:$AA,18,0)-'TRADE IN'!$F260=0,"",(VLOOKUP($C260,REV!$C:$AA,18,0)-'TRADE IN'!$F260))</f>
        <v>509</v>
      </c>
      <c r="U260" s="46">
        <f>IF(VLOOKUP($C260,REV!$C:$AA,19,0)-'TRADE IN'!$F260=0,"",(VLOOKUP($C260,REV!$C:$AA,19,0)-'TRADE IN'!$F260))</f>
        <v>509</v>
      </c>
      <c r="V260" s="46">
        <f>IF(VLOOKUP($C260,REV!$C:$AA,20,0)-'TRADE IN'!$F260=0,"",(VLOOKUP($C260,REV!$C:$AA,20,0)-'TRADE IN'!$F260))</f>
        <v>509</v>
      </c>
      <c r="W260" s="46">
        <f>IF(VLOOKUP($C260,REV!$C:$AA,21,0)-'TRADE IN'!$F260=0,"",(VLOOKUP($C260,REV!$C:$AA,21,0)-'TRADE IN'!$F260))</f>
        <v>509</v>
      </c>
      <c r="X260" s="46">
        <f>IF(VLOOKUP($C260,REV!$C:$AA,22,0)-'TRADE IN'!$F260=0,"",(VLOOKUP($C260,REV!$C:$AA,22,0)-'TRADE IN'!$F260))</f>
        <v>509</v>
      </c>
      <c r="Y260" s="46">
        <f>IF(VLOOKUP($C260,REV!$C:$AA,23,0)-'TRADE IN'!$F260=0,"",(VLOOKUP($C260,REV!$C:$AA,23,0)-'TRADE IN'!$F260))</f>
        <v>509</v>
      </c>
      <c r="Z260" s="46">
        <f>IF(VLOOKUP($C260,REV!$C:$AA,24,0)-'TRADE IN'!$F260=0,"",(VLOOKUP($C260,REV!$C:$AA,24,0)-'TRADE IN'!$F260))</f>
        <v>509</v>
      </c>
      <c r="AA260" s="46">
        <f>IF(VLOOKUP($C260,REV!$C:$AA,25,0)-'TRADE IN'!$F260=0,"",(VLOOKUP($C260,REV!$C:$AA,25,0)-'TRADE IN'!$F260))</f>
        <v>509</v>
      </c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7"/>
      <c r="AW260" s="48" t="str">
        <f>REV!AW260</f>
        <v>01.12.2026</v>
      </c>
      <c r="AX260" s="153" t="str">
        <f>VLOOKUP(C260,REV!C:AX,48,0)</f>
        <v>5G</v>
      </c>
    </row>
    <row r="261" spans="1:50" ht="22.5" customHeight="1">
      <c r="A261" s="57" t="s">
        <v>247</v>
      </c>
      <c r="B261" s="42" t="s">
        <v>64</v>
      </c>
      <c r="C261" s="43">
        <v>4016086</v>
      </c>
      <c r="D261" s="58" t="s">
        <v>421</v>
      </c>
      <c r="E261" s="58" t="s">
        <v>422</v>
      </c>
      <c r="F261" s="45"/>
      <c r="G261" s="45"/>
      <c r="H261" s="45"/>
      <c r="I261" s="45"/>
      <c r="J261" s="46">
        <f>IF(VLOOKUP($C261,REV!$C:$AA,8,0)-'TRADE IN'!$F261=0,"",(VLOOKUP($C261,REV!$C:$AA,8,0)-'TRADE IN'!$F261))</f>
        <v>589</v>
      </c>
      <c r="K261" s="46">
        <f>IF(VLOOKUP($C261,REV!$C:$AA,9,0)-'TRADE IN'!$F261=0,"",(VLOOKUP($C261,REV!$C:$AA,9,0)-'TRADE IN'!$F261))</f>
        <v>589</v>
      </c>
      <c r="L261" s="46">
        <f>IF(VLOOKUP($C261,REV!$C:$AA,10,0)-'TRADE IN'!$F261=0,"",(VLOOKUP($C261,REV!$C:$AA,10,0)-'TRADE IN'!$F261))</f>
        <v>589</v>
      </c>
      <c r="M261" s="46">
        <f>IF(VLOOKUP($C261,REV!$C:$AA,11,0)-'TRADE IN'!$F261=0,"",(VLOOKUP($C261,REV!$C:$AA,11,0)-'TRADE IN'!$F261))</f>
        <v>589</v>
      </c>
      <c r="N261" s="46">
        <f>IF(VLOOKUP($C261,REV!$C:$AA,12,0)-'TRADE IN'!$F261=0,"",(VLOOKUP($C261,REV!$C:$AA,12,0)-'TRADE IN'!$F261))</f>
        <v>589</v>
      </c>
      <c r="O261" s="46">
        <f>IF(VLOOKUP($C261,REV!$C:$AA,13,0)-'TRADE IN'!$F261=0,"",(VLOOKUP($C261,REV!$C:$AA,13,0)-'TRADE IN'!$F261))</f>
        <v>589</v>
      </c>
      <c r="P261" s="46">
        <f>IF(VLOOKUP($C261,REV!$C:$AA,14,0)-'TRADE IN'!$F261=0,"",(VLOOKUP($C261,REV!$C:$AA,14,0)-'TRADE IN'!$F261))</f>
        <v>589</v>
      </c>
      <c r="Q261" s="46">
        <f>IF(VLOOKUP($C261,REV!$C:$AA,15,0)-'TRADE IN'!$F261=0,"",(VLOOKUP($C261,REV!$C:$AA,15,0)-'TRADE IN'!$F261))</f>
        <v>589</v>
      </c>
      <c r="R261" s="46">
        <f>IF(VLOOKUP($C261,REV!$C:$AA,16,0)-'TRADE IN'!$F261=0,"",(VLOOKUP($C261,REV!$C:$AA,16,0)-'TRADE IN'!$F261))</f>
        <v>589</v>
      </c>
      <c r="S261" s="46">
        <f>IF(VLOOKUP($C261,REV!$C:$AA,17,0)-'TRADE IN'!$F261=0,"",(VLOOKUP($C261,REV!$C:$AA,17,0)-'TRADE IN'!$F261))</f>
        <v>589</v>
      </c>
      <c r="T261" s="46">
        <f>IF(VLOOKUP($C261,REV!$C:$AA,18,0)-'TRADE IN'!$F261=0,"",(VLOOKUP($C261,REV!$C:$AA,18,0)-'TRADE IN'!$F261))</f>
        <v>589</v>
      </c>
      <c r="U261" s="46">
        <f>IF(VLOOKUP($C261,REV!$C:$AA,19,0)-'TRADE IN'!$F261=0,"",(VLOOKUP($C261,REV!$C:$AA,19,0)-'TRADE IN'!$F261))</f>
        <v>589</v>
      </c>
      <c r="V261" s="46">
        <f>IF(VLOOKUP($C261,REV!$C:$AA,20,0)-'TRADE IN'!$F261=0,"",(VLOOKUP($C261,REV!$C:$AA,20,0)-'TRADE IN'!$F261))</f>
        <v>589</v>
      </c>
      <c r="W261" s="46">
        <f>IF(VLOOKUP($C261,REV!$C:$AA,21,0)-'TRADE IN'!$F261=0,"",(VLOOKUP($C261,REV!$C:$AA,21,0)-'TRADE IN'!$F261))</f>
        <v>589</v>
      </c>
      <c r="X261" s="46">
        <f>IF(VLOOKUP($C261,REV!$C:$AA,22,0)-'TRADE IN'!$F261=0,"",(VLOOKUP($C261,REV!$C:$AA,22,0)-'TRADE IN'!$F261))</f>
        <v>589</v>
      </c>
      <c r="Y261" s="46">
        <f>IF(VLOOKUP($C261,REV!$C:$AA,23,0)-'TRADE IN'!$F261=0,"",(VLOOKUP($C261,REV!$C:$AA,23,0)-'TRADE IN'!$F261))</f>
        <v>589</v>
      </c>
      <c r="Z261" s="46">
        <f>IF(VLOOKUP($C261,REV!$C:$AA,24,0)-'TRADE IN'!$F261=0,"",(VLOOKUP($C261,REV!$C:$AA,24,0)-'TRADE IN'!$F261))</f>
        <v>589</v>
      </c>
      <c r="AA261" s="46">
        <f>IF(VLOOKUP($C261,REV!$C:$AA,25,0)-'TRADE IN'!$F261=0,"",(VLOOKUP($C261,REV!$C:$AA,25,0)-'TRADE IN'!$F261))</f>
        <v>589</v>
      </c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7"/>
      <c r="AW261" s="48" t="str">
        <f>REV!AW261</f>
        <v>01.12.2026</v>
      </c>
      <c r="AX261" s="153" t="str">
        <f>VLOOKUP(C261,REV!C:AX,48,0)</f>
        <v>5G</v>
      </c>
    </row>
    <row r="262" spans="1:50" ht="22.5" customHeight="1">
      <c r="A262" s="57" t="s">
        <v>247</v>
      </c>
      <c r="B262" s="42" t="s">
        <v>64</v>
      </c>
      <c r="C262" s="43">
        <v>4016089</v>
      </c>
      <c r="D262" s="58" t="s">
        <v>421</v>
      </c>
      <c r="E262" s="58" t="s">
        <v>423</v>
      </c>
      <c r="F262" s="45"/>
      <c r="G262" s="45"/>
      <c r="H262" s="45"/>
      <c r="I262" s="45"/>
      <c r="J262" s="46">
        <f>IF(VLOOKUP($C262,REV!$C:$AA,8,0)-'TRADE IN'!$F262=0,"",(VLOOKUP($C262,REV!$C:$AA,8,0)-'TRADE IN'!$F262))</f>
        <v>589</v>
      </c>
      <c r="K262" s="46">
        <f>IF(VLOOKUP($C262,REV!$C:$AA,9,0)-'TRADE IN'!$F262=0,"",(VLOOKUP($C262,REV!$C:$AA,9,0)-'TRADE IN'!$F262))</f>
        <v>589</v>
      </c>
      <c r="L262" s="46">
        <f>IF(VLOOKUP($C262,REV!$C:$AA,10,0)-'TRADE IN'!$F262=0,"",(VLOOKUP($C262,REV!$C:$AA,10,0)-'TRADE IN'!$F262))</f>
        <v>589</v>
      </c>
      <c r="M262" s="46">
        <f>IF(VLOOKUP($C262,REV!$C:$AA,11,0)-'TRADE IN'!$F262=0,"",(VLOOKUP($C262,REV!$C:$AA,11,0)-'TRADE IN'!$F262))</f>
        <v>589</v>
      </c>
      <c r="N262" s="46">
        <f>IF(VLOOKUP($C262,REV!$C:$AA,12,0)-'TRADE IN'!$F262=0,"",(VLOOKUP($C262,REV!$C:$AA,12,0)-'TRADE IN'!$F262))</f>
        <v>589</v>
      </c>
      <c r="O262" s="46">
        <f>IF(VLOOKUP($C262,REV!$C:$AA,13,0)-'TRADE IN'!$F262=0,"",(VLOOKUP($C262,REV!$C:$AA,13,0)-'TRADE IN'!$F262))</f>
        <v>589</v>
      </c>
      <c r="P262" s="46">
        <f>IF(VLOOKUP($C262,REV!$C:$AA,14,0)-'TRADE IN'!$F262=0,"",(VLOOKUP($C262,REV!$C:$AA,14,0)-'TRADE IN'!$F262))</f>
        <v>589</v>
      </c>
      <c r="Q262" s="46">
        <f>IF(VLOOKUP($C262,REV!$C:$AA,15,0)-'TRADE IN'!$F262=0,"",(VLOOKUP($C262,REV!$C:$AA,15,0)-'TRADE IN'!$F262))</f>
        <v>589</v>
      </c>
      <c r="R262" s="46">
        <f>IF(VLOOKUP($C262,REV!$C:$AA,16,0)-'TRADE IN'!$F262=0,"",(VLOOKUP($C262,REV!$C:$AA,16,0)-'TRADE IN'!$F262))</f>
        <v>589</v>
      </c>
      <c r="S262" s="46">
        <f>IF(VLOOKUP($C262,REV!$C:$AA,17,0)-'TRADE IN'!$F262=0,"",(VLOOKUP($C262,REV!$C:$AA,17,0)-'TRADE IN'!$F262))</f>
        <v>589</v>
      </c>
      <c r="T262" s="46">
        <f>IF(VLOOKUP($C262,REV!$C:$AA,18,0)-'TRADE IN'!$F262=0,"",(VLOOKUP($C262,REV!$C:$AA,18,0)-'TRADE IN'!$F262))</f>
        <v>589</v>
      </c>
      <c r="U262" s="46">
        <f>IF(VLOOKUP($C262,REV!$C:$AA,19,0)-'TRADE IN'!$F262=0,"",(VLOOKUP($C262,REV!$C:$AA,19,0)-'TRADE IN'!$F262))</f>
        <v>589</v>
      </c>
      <c r="V262" s="46">
        <f>IF(VLOOKUP($C262,REV!$C:$AA,20,0)-'TRADE IN'!$F262=0,"",(VLOOKUP($C262,REV!$C:$AA,20,0)-'TRADE IN'!$F262))</f>
        <v>589</v>
      </c>
      <c r="W262" s="46">
        <f>IF(VLOOKUP($C262,REV!$C:$AA,21,0)-'TRADE IN'!$F262=0,"",(VLOOKUP($C262,REV!$C:$AA,21,0)-'TRADE IN'!$F262))</f>
        <v>589</v>
      </c>
      <c r="X262" s="46">
        <f>IF(VLOOKUP($C262,REV!$C:$AA,22,0)-'TRADE IN'!$F262=0,"",(VLOOKUP($C262,REV!$C:$AA,22,0)-'TRADE IN'!$F262))</f>
        <v>589</v>
      </c>
      <c r="Y262" s="46">
        <f>IF(VLOOKUP($C262,REV!$C:$AA,23,0)-'TRADE IN'!$F262=0,"",(VLOOKUP($C262,REV!$C:$AA,23,0)-'TRADE IN'!$F262))</f>
        <v>589</v>
      </c>
      <c r="Z262" s="46">
        <f>IF(VLOOKUP($C262,REV!$C:$AA,24,0)-'TRADE IN'!$F262=0,"",(VLOOKUP($C262,REV!$C:$AA,24,0)-'TRADE IN'!$F262))</f>
        <v>589</v>
      </c>
      <c r="AA262" s="46">
        <f>IF(VLOOKUP($C262,REV!$C:$AA,25,0)-'TRADE IN'!$F262=0,"",(VLOOKUP($C262,REV!$C:$AA,25,0)-'TRADE IN'!$F262))</f>
        <v>589</v>
      </c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7"/>
      <c r="AW262" s="48" t="str">
        <f>REV!AW262</f>
        <v>01.12.2026</v>
      </c>
      <c r="AX262" s="153" t="str">
        <f>VLOOKUP(C262,REV!C:AX,48,0)</f>
        <v>5G</v>
      </c>
    </row>
    <row r="263" spans="1:50" ht="22.5" customHeight="1">
      <c r="A263" s="57" t="s">
        <v>247</v>
      </c>
      <c r="B263" s="42" t="s">
        <v>64</v>
      </c>
      <c r="C263" s="43">
        <v>4016084</v>
      </c>
      <c r="D263" s="58" t="s">
        <v>421</v>
      </c>
      <c r="E263" s="58" t="s">
        <v>424</v>
      </c>
      <c r="F263" s="45"/>
      <c r="G263" s="45"/>
      <c r="H263" s="45"/>
      <c r="I263" s="45"/>
      <c r="J263" s="46">
        <f>IF(VLOOKUP($C263,REV!$C:$AA,8,0)-'TRADE IN'!$F263=0,"",(VLOOKUP($C263,REV!$C:$AA,8,0)-'TRADE IN'!$F263))</f>
        <v>589</v>
      </c>
      <c r="K263" s="46">
        <f>IF(VLOOKUP($C263,REV!$C:$AA,9,0)-'TRADE IN'!$F263=0,"",(VLOOKUP($C263,REV!$C:$AA,9,0)-'TRADE IN'!$F263))</f>
        <v>589</v>
      </c>
      <c r="L263" s="46">
        <f>IF(VLOOKUP($C263,REV!$C:$AA,10,0)-'TRADE IN'!$F263=0,"",(VLOOKUP($C263,REV!$C:$AA,10,0)-'TRADE IN'!$F263))</f>
        <v>589</v>
      </c>
      <c r="M263" s="46">
        <f>IF(VLOOKUP($C263,REV!$C:$AA,11,0)-'TRADE IN'!$F263=0,"",(VLOOKUP($C263,REV!$C:$AA,11,0)-'TRADE IN'!$F263))</f>
        <v>589</v>
      </c>
      <c r="N263" s="46">
        <f>IF(VLOOKUP($C263,REV!$C:$AA,12,0)-'TRADE IN'!$F263=0,"",(VLOOKUP($C263,REV!$C:$AA,12,0)-'TRADE IN'!$F263))</f>
        <v>589</v>
      </c>
      <c r="O263" s="46">
        <f>IF(VLOOKUP($C263,REV!$C:$AA,13,0)-'TRADE IN'!$F263=0,"",(VLOOKUP($C263,REV!$C:$AA,13,0)-'TRADE IN'!$F263))</f>
        <v>589</v>
      </c>
      <c r="P263" s="46">
        <f>IF(VLOOKUP($C263,REV!$C:$AA,14,0)-'TRADE IN'!$F263=0,"",(VLOOKUP($C263,REV!$C:$AA,14,0)-'TRADE IN'!$F263))</f>
        <v>589</v>
      </c>
      <c r="Q263" s="46">
        <f>IF(VLOOKUP($C263,REV!$C:$AA,15,0)-'TRADE IN'!$F263=0,"",(VLOOKUP($C263,REV!$C:$AA,15,0)-'TRADE IN'!$F263))</f>
        <v>589</v>
      </c>
      <c r="R263" s="46">
        <f>IF(VLOOKUP($C263,REV!$C:$AA,16,0)-'TRADE IN'!$F263=0,"",(VLOOKUP($C263,REV!$C:$AA,16,0)-'TRADE IN'!$F263))</f>
        <v>589</v>
      </c>
      <c r="S263" s="46">
        <f>IF(VLOOKUP($C263,REV!$C:$AA,17,0)-'TRADE IN'!$F263=0,"",(VLOOKUP($C263,REV!$C:$AA,17,0)-'TRADE IN'!$F263))</f>
        <v>589</v>
      </c>
      <c r="T263" s="46">
        <f>IF(VLOOKUP($C263,REV!$C:$AA,18,0)-'TRADE IN'!$F263=0,"",(VLOOKUP($C263,REV!$C:$AA,18,0)-'TRADE IN'!$F263))</f>
        <v>589</v>
      </c>
      <c r="U263" s="46">
        <f>IF(VLOOKUP($C263,REV!$C:$AA,19,0)-'TRADE IN'!$F263=0,"",(VLOOKUP($C263,REV!$C:$AA,19,0)-'TRADE IN'!$F263))</f>
        <v>589</v>
      </c>
      <c r="V263" s="46">
        <f>IF(VLOOKUP($C263,REV!$C:$AA,20,0)-'TRADE IN'!$F263=0,"",(VLOOKUP($C263,REV!$C:$AA,20,0)-'TRADE IN'!$F263))</f>
        <v>589</v>
      </c>
      <c r="W263" s="46">
        <f>IF(VLOOKUP($C263,REV!$C:$AA,21,0)-'TRADE IN'!$F263=0,"",(VLOOKUP($C263,REV!$C:$AA,21,0)-'TRADE IN'!$F263))</f>
        <v>589</v>
      </c>
      <c r="X263" s="46">
        <f>IF(VLOOKUP($C263,REV!$C:$AA,22,0)-'TRADE IN'!$F263=0,"",(VLOOKUP($C263,REV!$C:$AA,22,0)-'TRADE IN'!$F263))</f>
        <v>589</v>
      </c>
      <c r="Y263" s="46">
        <f>IF(VLOOKUP($C263,REV!$C:$AA,23,0)-'TRADE IN'!$F263=0,"",(VLOOKUP($C263,REV!$C:$AA,23,0)-'TRADE IN'!$F263))</f>
        <v>589</v>
      </c>
      <c r="Z263" s="46">
        <f>IF(VLOOKUP($C263,REV!$C:$AA,24,0)-'TRADE IN'!$F263=0,"",(VLOOKUP($C263,REV!$C:$AA,24,0)-'TRADE IN'!$F263))</f>
        <v>589</v>
      </c>
      <c r="AA263" s="46">
        <f>IF(VLOOKUP($C263,REV!$C:$AA,25,0)-'TRADE IN'!$F263=0,"",(VLOOKUP($C263,REV!$C:$AA,25,0)-'TRADE IN'!$F263))</f>
        <v>589</v>
      </c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7"/>
      <c r="AW263" s="48" t="str">
        <f>REV!AW263</f>
        <v>01.12.2026</v>
      </c>
      <c r="AX263" s="153" t="str">
        <f>VLOOKUP(C263,REV!C:AX,48,0)</f>
        <v>5G</v>
      </c>
    </row>
    <row r="264" spans="1:50" ht="22.5" customHeight="1">
      <c r="A264" s="57" t="s">
        <v>247</v>
      </c>
      <c r="B264" s="42" t="s">
        <v>64</v>
      </c>
      <c r="C264" s="43">
        <v>4016087</v>
      </c>
      <c r="D264" s="58" t="s">
        <v>421</v>
      </c>
      <c r="E264" s="58" t="s">
        <v>425</v>
      </c>
      <c r="F264" s="45"/>
      <c r="G264" s="45"/>
      <c r="H264" s="45"/>
      <c r="I264" s="45"/>
      <c r="J264" s="46">
        <f>IF(VLOOKUP($C264,REV!$C:$AA,8,0)-'TRADE IN'!$F264=0,"",(VLOOKUP($C264,REV!$C:$AA,8,0)-'TRADE IN'!$F264))</f>
        <v>589</v>
      </c>
      <c r="K264" s="46">
        <f>IF(VLOOKUP($C264,REV!$C:$AA,9,0)-'TRADE IN'!$F264=0,"",(VLOOKUP($C264,REV!$C:$AA,9,0)-'TRADE IN'!$F264))</f>
        <v>589</v>
      </c>
      <c r="L264" s="46">
        <f>IF(VLOOKUP($C264,REV!$C:$AA,10,0)-'TRADE IN'!$F264=0,"",(VLOOKUP($C264,REV!$C:$AA,10,0)-'TRADE IN'!$F264))</f>
        <v>589</v>
      </c>
      <c r="M264" s="46">
        <f>IF(VLOOKUP($C264,REV!$C:$AA,11,0)-'TRADE IN'!$F264=0,"",(VLOOKUP($C264,REV!$C:$AA,11,0)-'TRADE IN'!$F264))</f>
        <v>589</v>
      </c>
      <c r="N264" s="46">
        <f>IF(VLOOKUP($C264,REV!$C:$AA,12,0)-'TRADE IN'!$F264=0,"",(VLOOKUP($C264,REV!$C:$AA,12,0)-'TRADE IN'!$F264))</f>
        <v>589</v>
      </c>
      <c r="O264" s="46">
        <f>IF(VLOOKUP($C264,REV!$C:$AA,13,0)-'TRADE IN'!$F264=0,"",(VLOOKUP($C264,REV!$C:$AA,13,0)-'TRADE IN'!$F264))</f>
        <v>589</v>
      </c>
      <c r="P264" s="46">
        <f>IF(VLOOKUP($C264,REV!$C:$AA,14,0)-'TRADE IN'!$F264=0,"",(VLOOKUP($C264,REV!$C:$AA,14,0)-'TRADE IN'!$F264))</f>
        <v>589</v>
      </c>
      <c r="Q264" s="46">
        <f>IF(VLOOKUP($C264,REV!$C:$AA,15,0)-'TRADE IN'!$F264=0,"",(VLOOKUP($C264,REV!$C:$AA,15,0)-'TRADE IN'!$F264))</f>
        <v>589</v>
      </c>
      <c r="R264" s="46">
        <f>IF(VLOOKUP($C264,REV!$C:$AA,16,0)-'TRADE IN'!$F264=0,"",(VLOOKUP($C264,REV!$C:$AA,16,0)-'TRADE IN'!$F264))</f>
        <v>589</v>
      </c>
      <c r="S264" s="46">
        <f>IF(VLOOKUP($C264,REV!$C:$AA,17,0)-'TRADE IN'!$F264=0,"",(VLOOKUP($C264,REV!$C:$AA,17,0)-'TRADE IN'!$F264))</f>
        <v>589</v>
      </c>
      <c r="T264" s="46">
        <f>IF(VLOOKUP($C264,REV!$C:$AA,18,0)-'TRADE IN'!$F264=0,"",(VLOOKUP($C264,REV!$C:$AA,18,0)-'TRADE IN'!$F264))</f>
        <v>589</v>
      </c>
      <c r="U264" s="46">
        <f>IF(VLOOKUP($C264,REV!$C:$AA,19,0)-'TRADE IN'!$F264=0,"",(VLOOKUP($C264,REV!$C:$AA,19,0)-'TRADE IN'!$F264))</f>
        <v>589</v>
      </c>
      <c r="V264" s="46">
        <f>IF(VLOOKUP($C264,REV!$C:$AA,20,0)-'TRADE IN'!$F264=0,"",(VLOOKUP($C264,REV!$C:$AA,20,0)-'TRADE IN'!$F264))</f>
        <v>589</v>
      </c>
      <c r="W264" s="46">
        <f>IF(VLOOKUP($C264,REV!$C:$AA,21,0)-'TRADE IN'!$F264=0,"",(VLOOKUP($C264,REV!$C:$AA,21,0)-'TRADE IN'!$F264))</f>
        <v>589</v>
      </c>
      <c r="X264" s="46">
        <f>IF(VLOOKUP($C264,REV!$C:$AA,22,0)-'TRADE IN'!$F264=0,"",(VLOOKUP($C264,REV!$C:$AA,22,0)-'TRADE IN'!$F264))</f>
        <v>589</v>
      </c>
      <c r="Y264" s="46">
        <f>IF(VLOOKUP($C264,REV!$C:$AA,23,0)-'TRADE IN'!$F264=0,"",(VLOOKUP($C264,REV!$C:$AA,23,0)-'TRADE IN'!$F264))</f>
        <v>589</v>
      </c>
      <c r="Z264" s="46">
        <f>IF(VLOOKUP($C264,REV!$C:$AA,24,0)-'TRADE IN'!$F264=0,"",(VLOOKUP($C264,REV!$C:$AA,24,0)-'TRADE IN'!$F264))</f>
        <v>589</v>
      </c>
      <c r="AA264" s="46">
        <f>IF(VLOOKUP($C264,REV!$C:$AA,25,0)-'TRADE IN'!$F264=0,"",(VLOOKUP($C264,REV!$C:$AA,25,0)-'TRADE IN'!$F264))</f>
        <v>589</v>
      </c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7"/>
      <c r="AW264" s="48" t="str">
        <f>REV!AW264</f>
        <v>01.12.2026</v>
      </c>
      <c r="AX264" s="153" t="str">
        <f>VLOOKUP(C264,REV!C:AX,48,0)</f>
        <v>5G</v>
      </c>
    </row>
    <row r="265" spans="1:50" ht="22.5" customHeight="1">
      <c r="A265" s="57" t="s">
        <v>247</v>
      </c>
      <c r="B265" s="42" t="s">
        <v>64</v>
      </c>
      <c r="C265" s="43">
        <v>4016668</v>
      </c>
      <c r="D265" s="58" t="s">
        <v>426</v>
      </c>
      <c r="E265" s="58" t="s">
        <v>427</v>
      </c>
      <c r="F265" s="45"/>
      <c r="G265" s="45"/>
      <c r="H265" s="45"/>
      <c r="I265" s="45"/>
      <c r="J265" s="46">
        <f>IF(VLOOKUP($C265,REV!$C:$AA,8,0)-'TRADE IN'!$F265=0,"",(VLOOKUP($C265,REV!$C:$AA,8,0)-'TRADE IN'!$F265))</f>
        <v>899</v>
      </c>
      <c r="K265" s="46">
        <f>IF(VLOOKUP($C265,REV!$C:$AA,9,0)-'TRADE IN'!$F265=0,"",(VLOOKUP($C265,REV!$C:$AA,9,0)-'TRADE IN'!$F265))</f>
        <v>799</v>
      </c>
      <c r="L265" s="46">
        <f>IF(VLOOKUP($C265,REV!$C:$AA,10,0)-'TRADE IN'!$F265=0,"",(VLOOKUP($C265,REV!$C:$AA,10,0)-'TRADE IN'!$F265))</f>
        <v>799</v>
      </c>
      <c r="M265" s="46">
        <f>IF(VLOOKUP($C265,REV!$C:$AA,11,0)-'TRADE IN'!$F265=0,"",(VLOOKUP($C265,REV!$C:$AA,11,0)-'TRADE IN'!$F265))</f>
        <v>899</v>
      </c>
      <c r="N265" s="46">
        <f>IF(VLOOKUP($C265,REV!$C:$AA,12,0)-'TRADE IN'!$F265=0,"",(VLOOKUP($C265,REV!$C:$AA,12,0)-'TRADE IN'!$F265))</f>
        <v>799</v>
      </c>
      <c r="O265" s="46">
        <f>IF(VLOOKUP($C265,REV!$C:$AA,13,0)-'TRADE IN'!$F265=0,"",(VLOOKUP($C265,REV!$C:$AA,13,0)-'TRADE IN'!$F265))</f>
        <v>749</v>
      </c>
      <c r="P265" s="46">
        <f>IF(VLOOKUP($C265,REV!$C:$AA,14,0)-'TRADE IN'!$F265=0,"",(VLOOKUP($C265,REV!$C:$AA,14,0)-'TRADE IN'!$F265))</f>
        <v>749</v>
      </c>
      <c r="Q265" s="46">
        <f>IF(VLOOKUP($C265,REV!$C:$AA,15,0)-'TRADE IN'!$F265=0,"",(VLOOKUP($C265,REV!$C:$AA,15,0)-'TRADE IN'!$F265))</f>
        <v>699</v>
      </c>
      <c r="R265" s="46">
        <f>IF(VLOOKUP($C265,REV!$C:$AA,16,0)-'TRADE IN'!$F265=0,"",(VLOOKUP($C265,REV!$C:$AA,16,0)-'TRADE IN'!$F265))</f>
        <v>749</v>
      </c>
      <c r="S265" s="46">
        <f>IF(VLOOKUP($C265,REV!$C:$AA,17,0)-'TRADE IN'!$F265=0,"",(VLOOKUP($C265,REV!$C:$AA,17,0)-'TRADE IN'!$F265))</f>
        <v>749</v>
      </c>
      <c r="T265" s="46">
        <f>IF(VLOOKUP($C265,REV!$C:$AA,18,0)-'TRADE IN'!$F265=0,"",(VLOOKUP($C265,REV!$C:$AA,18,0)-'TRADE IN'!$F265))</f>
        <v>699</v>
      </c>
      <c r="U265" s="46">
        <f>IF(VLOOKUP($C265,REV!$C:$AA,19,0)-'TRADE IN'!$F265=0,"",(VLOOKUP($C265,REV!$C:$AA,19,0)-'TRADE IN'!$F265))</f>
        <v>699</v>
      </c>
      <c r="V265" s="46">
        <f>IF(VLOOKUP($C265,REV!$C:$AA,20,0)-'TRADE IN'!$F265=0,"",(VLOOKUP($C265,REV!$C:$AA,20,0)-'TRADE IN'!$F265))</f>
        <v>699</v>
      </c>
      <c r="W265" s="46">
        <f>IF(VLOOKUP($C265,REV!$C:$AA,21,0)-'TRADE IN'!$F265=0,"",(VLOOKUP($C265,REV!$C:$AA,21,0)-'TRADE IN'!$F265))</f>
        <v>699</v>
      </c>
      <c r="X265" s="46">
        <f>IF(VLOOKUP($C265,REV!$C:$AA,22,0)-'TRADE IN'!$F265=0,"",(VLOOKUP($C265,REV!$C:$AA,22,0)-'TRADE IN'!$F265))</f>
        <v>699</v>
      </c>
      <c r="Y265" s="46">
        <f>IF(VLOOKUP($C265,REV!$C:$AA,23,0)-'TRADE IN'!$F265=0,"",(VLOOKUP($C265,REV!$C:$AA,23,0)-'TRADE IN'!$F265))</f>
        <v>699</v>
      </c>
      <c r="Z265" s="46">
        <f>IF(VLOOKUP($C265,REV!$C:$AA,24,0)-'TRADE IN'!$F265=0,"",(VLOOKUP($C265,REV!$C:$AA,24,0)-'TRADE IN'!$F265))</f>
        <v>699</v>
      </c>
      <c r="AA265" s="46">
        <f>IF(VLOOKUP($C265,REV!$C:$AA,25,0)-'TRADE IN'!$F265=0,"",(VLOOKUP($C265,REV!$C:$AA,25,0)-'TRADE IN'!$F265))</f>
        <v>699</v>
      </c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7"/>
      <c r="AW265" s="48" t="str">
        <f>REV!AW265</f>
        <v>01.12.2026</v>
      </c>
      <c r="AX265" s="153" t="str">
        <f>VLOOKUP(C265,REV!C:AX,48,0)</f>
        <v>5G</v>
      </c>
    </row>
    <row r="266" spans="1:50" ht="22.5" customHeight="1">
      <c r="A266" s="57" t="s">
        <v>247</v>
      </c>
      <c r="B266" s="42" t="s">
        <v>64</v>
      </c>
      <c r="C266" s="43">
        <v>4016714</v>
      </c>
      <c r="D266" s="58" t="s">
        <v>426</v>
      </c>
      <c r="E266" s="58" t="s">
        <v>428</v>
      </c>
      <c r="F266" s="45"/>
      <c r="G266" s="45"/>
      <c r="H266" s="45"/>
      <c r="I266" s="45"/>
      <c r="J266" s="46">
        <f>IF(VLOOKUP($C266,REV!$C:$AA,8,0)-'TRADE IN'!$F266=0,"",(VLOOKUP($C266,REV!$C:$AA,8,0)-'TRADE IN'!$F266))</f>
        <v>899</v>
      </c>
      <c r="K266" s="46">
        <f>IF(VLOOKUP($C266,REV!$C:$AA,9,0)-'TRADE IN'!$F266=0,"",(VLOOKUP($C266,REV!$C:$AA,9,0)-'TRADE IN'!$F266))</f>
        <v>799</v>
      </c>
      <c r="L266" s="46">
        <f>IF(VLOOKUP($C266,REV!$C:$AA,10,0)-'TRADE IN'!$F266=0,"",(VLOOKUP($C266,REV!$C:$AA,10,0)-'TRADE IN'!$F266))</f>
        <v>799</v>
      </c>
      <c r="M266" s="46">
        <f>IF(VLOOKUP($C266,REV!$C:$AA,11,0)-'TRADE IN'!$F266=0,"",(VLOOKUP($C266,REV!$C:$AA,11,0)-'TRADE IN'!$F266))</f>
        <v>899</v>
      </c>
      <c r="N266" s="46">
        <f>IF(VLOOKUP($C266,REV!$C:$AA,12,0)-'TRADE IN'!$F266=0,"",(VLOOKUP($C266,REV!$C:$AA,12,0)-'TRADE IN'!$F266))</f>
        <v>799</v>
      </c>
      <c r="O266" s="46">
        <f>IF(VLOOKUP($C266,REV!$C:$AA,13,0)-'TRADE IN'!$F266=0,"",(VLOOKUP($C266,REV!$C:$AA,13,0)-'TRADE IN'!$F266))</f>
        <v>749</v>
      </c>
      <c r="P266" s="46">
        <f>IF(VLOOKUP($C266,REV!$C:$AA,14,0)-'TRADE IN'!$F266=0,"",(VLOOKUP($C266,REV!$C:$AA,14,0)-'TRADE IN'!$F266))</f>
        <v>749</v>
      </c>
      <c r="Q266" s="46">
        <f>IF(VLOOKUP($C266,REV!$C:$AA,15,0)-'TRADE IN'!$F266=0,"",(VLOOKUP($C266,REV!$C:$AA,15,0)-'TRADE IN'!$F266))</f>
        <v>699</v>
      </c>
      <c r="R266" s="46">
        <f>IF(VLOOKUP($C266,REV!$C:$AA,16,0)-'TRADE IN'!$F266=0,"",(VLOOKUP($C266,REV!$C:$AA,16,0)-'TRADE IN'!$F266))</f>
        <v>749</v>
      </c>
      <c r="S266" s="46">
        <f>IF(VLOOKUP($C266,REV!$C:$AA,17,0)-'TRADE IN'!$F266=0,"",(VLOOKUP($C266,REV!$C:$AA,17,0)-'TRADE IN'!$F266))</f>
        <v>749</v>
      </c>
      <c r="T266" s="46">
        <f>IF(VLOOKUP($C266,REV!$C:$AA,18,0)-'TRADE IN'!$F266=0,"",(VLOOKUP($C266,REV!$C:$AA,18,0)-'TRADE IN'!$F266))</f>
        <v>699</v>
      </c>
      <c r="U266" s="46">
        <f>IF(VLOOKUP($C266,REV!$C:$AA,19,0)-'TRADE IN'!$F266=0,"",(VLOOKUP($C266,REV!$C:$AA,19,0)-'TRADE IN'!$F266))</f>
        <v>699</v>
      </c>
      <c r="V266" s="46">
        <f>IF(VLOOKUP($C266,REV!$C:$AA,20,0)-'TRADE IN'!$F266=0,"",(VLOOKUP($C266,REV!$C:$AA,20,0)-'TRADE IN'!$F266))</f>
        <v>699</v>
      </c>
      <c r="W266" s="46">
        <f>IF(VLOOKUP($C266,REV!$C:$AA,21,0)-'TRADE IN'!$F266=0,"",(VLOOKUP($C266,REV!$C:$AA,21,0)-'TRADE IN'!$F266))</f>
        <v>699</v>
      </c>
      <c r="X266" s="46">
        <f>IF(VLOOKUP($C266,REV!$C:$AA,22,0)-'TRADE IN'!$F266=0,"",(VLOOKUP($C266,REV!$C:$AA,22,0)-'TRADE IN'!$F266))</f>
        <v>699</v>
      </c>
      <c r="Y266" s="46">
        <f>IF(VLOOKUP($C266,REV!$C:$AA,23,0)-'TRADE IN'!$F266=0,"",(VLOOKUP($C266,REV!$C:$AA,23,0)-'TRADE IN'!$F266))</f>
        <v>699</v>
      </c>
      <c r="Z266" s="46">
        <f>IF(VLOOKUP($C266,REV!$C:$AA,24,0)-'TRADE IN'!$F266=0,"",(VLOOKUP($C266,REV!$C:$AA,24,0)-'TRADE IN'!$F266))</f>
        <v>699</v>
      </c>
      <c r="AA266" s="46">
        <f>IF(VLOOKUP($C266,REV!$C:$AA,25,0)-'TRADE IN'!$F266=0,"",(VLOOKUP($C266,REV!$C:$AA,25,0)-'TRADE IN'!$F266))</f>
        <v>699</v>
      </c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7"/>
      <c r="AW266" s="48" t="str">
        <f>REV!AW266</f>
        <v>01.12.2026</v>
      </c>
      <c r="AX266" s="153" t="str">
        <f>VLOOKUP(C266,REV!C:AX,48,0)</f>
        <v>5G</v>
      </c>
    </row>
    <row r="267" spans="1:50" ht="22.5" customHeight="1">
      <c r="A267" s="57" t="s">
        <v>247</v>
      </c>
      <c r="B267" s="42" t="s">
        <v>64</v>
      </c>
      <c r="C267" s="43">
        <v>4016710</v>
      </c>
      <c r="D267" s="58" t="s">
        <v>426</v>
      </c>
      <c r="E267" s="58" t="s">
        <v>429</v>
      </c>
      <c r="F267" s="45"/>
      <c r="G267" s="45"/>
      <c r="H267" s="45"/>
      <c r="I267" s="45"/>
      <c r="J267" s="46">
        <f>IF(VLOOKUP($C267,REV!$C:$AA,8,0)-'TRADE IN'!$F267=0,"",(VLOOKUP($C267,REV!$C:$AA,8,0)-'TRADE IN'!$F267))</f>
        <v>899</v>
      </c>
      <c r="K267" s="46">
        <f>IF(VLOOKUP($C267,REV!$C:$AA,9,0)-'TRADE IN'!$F267=0,"",(VLOOKUP($C267,REV!$C:$AA,9,0)-'TRADE IN'!$F267))</f>
        <v>799</v>
      </c>
      <c r="L267" s="46">
        <f>IF(VLOOKUP($C267,REV!$C:$AA,10,0)-'TRADE IN'!$F267=0,"",(VLOOKUP($C267,REV!$C:$AA,10,0)-'TRADE IN'!$F267))</f>
        <v>799</v>
      </c>
      <c r="M267" s="46">
        <f>IF(VLOOKUP($C267,REV!$C:$AA,11,0)-'TRADE IN'!$F267=0,"",(VLOOKUP($C267,REV!$C:$AA,11,0)-'TRADE IN'!$F267))</f>
        <v>899</v>
      </c>
      <c r="N267" s="46">
        <f>IF(VLOOKUP($C267,REV!$C:$AA,12,0)-'TRADE IN'!$F267=0,"",(VLOOKUP($C267,REV!$C:$AA,12,0)-'TRADE IN'!$F267))</f>
        <v>799</v>
      </c>
      <c r="O267" s="46">
        <f>IF(VLOOKUP($C267,REV!$C:$AA,13,0)-'TRADE IN'!$F267=0,"",(VLOOKUP($C267,REV!$C:$AA,13,0)-'TRADE IN'!$F267))</f>
        <v>749</v>
      </c>
      <c r="P267" s="46">
        <f>IF(VLOOKUP($C267,REV!$C:$AA,14,0)-'TRADE IN'!$F267=0,"",(VLOOKUP($C267,REV!$C:$AA,14,0)-'TRADE IN'!$F267))</f>
        <v>749</v>
      </c>
      <c r="Q267" s="46">
        <f>IF(VLOOKUP($C267,REV!$C:$AA,15,0)-'TRADE IN'!$F267=0,"",(VLOOKUP($C267,REV!$C:$AA,15,0)-'TRADE IN'!$F267))</f>
        <v>699</v>
      </c>
      <c r="R267" s="46">
        <f>IF(VLOOKUP($C267,REV!$C:$AA,16,0)-'TRADE IN'!$F267=0,"",(VLOOKUP($C267,REV!$C:$AA,16,0)-'TRADE IN'!$F267))</f>
        <v>749</v>
      </c>
      <c r="S267" s="46">
        <f>IF(VLOOKUP($C267,REV!$C:$AA,17,0)-'TRADE IN'!$F267=0,"",(VLOOKUP($C267,REV!$C:$AA,17,0)-'TRADE IN'!$F267))</f>
        <v>749</v>
      </c>
      <c r="T267" s="46">
        <f>IF(VLOOKUP($C267,REV!$C:$AA,18,0)-'TRADE IN'!$F267=0,"",(VLOOKUP($C267,REV!$C:$AA,18,0)-'TRADE IN'!$F267))</f>
        <v>699</v>
      </c>
      <c r="U267" s="46">
        <f>IF(VLOOKUP($C267,REV!$C:$AA,19,0)-'TRADE IN'!$F267=0,"",(VLOOKUP($C267,REV!$C:$AA,19,0)-'TRADE IN'!$F267))</f>
        <v>699</v>
      </c>
      <c r="V267" s="46">
        <f>IF(VLOOKUP($C267,REV!$C:$AA,20,0)-'TRADE IN'!$F267=0,"",(VLOOKUP($C267,REV!$C:$AA,20,0)-'TRADE IN'!$F267))</f>
        <v>699</v>
      </c>
      <c r="W267" s="46">
        <f>IF(VLOOKUP($C267,REV!$C:$AA,21,0)-'TRADE IN'!$F267=0,"",(VLOOKUP($C267,REV!$C:$AA,21,0)-'TRADE IN'!$F267))</f>
        <v>699</v>
      </c>
      <c r="X267" s="46">
        <f>IF(VLOOKUP($C267,REV!$C:$AA,22,0)-'TRADE IN'!$F267=0,"",(VLOOKUP($C267,REV!$C:$AA,22,0)-'TRADE IN'!$F267))</f>
        <v>699</v>
      </c>
      <c r="Y267" s="46">
        <f>IF(VLOOKUP($C267,REV!$C:$AA,23,0)-'TRADE IN'!$F267=0,"",(VLOOKUP($C267,REV!$C:$AA,23,0)-'TRADE IN'!$F267))</f>
        <v>699</v>
      </c>
      <c r="Z267" s="46">
        <f>IF(VLOOKUP($C267,REV!$C:$AA,24,0)-'TRADE IN'!$F267=0,"",(VLOOKUP($C267,REV!$C:$AA,24,0)-'TRADE IN'!$F267))</f>
        <v>699</v>
      </c>
      <c r="AA267" s="46">
        <f>IF(VLOOKUP($C267,REV!$C:$AA,25,0)-'TRADE IN'!$F267=0,"",(VLOOKUP($C267,REV!$C:$AA,25,0)-'TRADE IN'!$F267))</f>
        <v>699</v>
      </c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7"/>
      <c r="AW267" s="48" t="str">
        <f>REV!AW267</f>
        <v>01.12.2026</v>
      </c>
      <c r="AX267" s="153" t="str">
        <f>VLOOKUP(C267,REV!C:AX,48,0)</f>
        <v>5G</v>
      </c>
    </row>
    <row r="268" spans="1:50" ht="22.5" customHeight="1">
      <c r="A268" s="57" t="s">
        <v>247</v>
      </c>
      <c r="B268" s="42" t="s">
        <v>64</v>
      </c>
      <c r="C268" s="43">
        <v>4016716</v>
      </c>
      <c r="D268" s="58" t="s">
        <v>426</v>
      </c>
      <c r="E268" s="58" t="s">
        <v>430</v>
      </c>
      <c r="F268" s="45"/>
      <c r="G268" s="45"/>
      <c r="H268" s="45"/>
      <c r="I268" s="45"/>
      <c r="J268" s="46">
        <f>IF(VLOOKUP($C268,REV!$C:$AA,8,0)-'TRADE IN'!$F268=0,"",(VLOOKUP($C268,REV!$C:$AA,8,0)-'TRADE IN'!$F268))</f>
        <v>899</v>
      </c>
      <c r="K268" s="46">
        <f>IF(VLOOKUP($C268,REV!$C:$AA,9,0)-'TRADE IN'!$F268=0,"",(VLOOKUP($C268,REV!$C:$AA,9,0)-'TRADE IN'!$F268))</f>
        <v>799</v>
      </c>
      <c r="L268" s="46">
        <f>IF(VLOOKUP($C268,REV!$C:$AA,10,0)-'TRADE IN'!$F268=0,"",(VLOOKUP($C268,REV!$C:$AA,10,0)-'TRADE IN'!$F268))</f>
        <v>799</v>
      </c>
      <c r="M268" s="46">
        <f>IF(VLOOKUP($C268,REV!$C:$AA,11,0)-'TRADE IN'!$F268=0,"",(VLOOKUP($C268,REV!$C:$AA,11,0)-'TRADE IN'!$F268))</f>
        <v>899</v>
      </c>
      <c r="N268" s="46">
        <f>IF(VLOOKUP($C268,REV!$C:$AA,12,0)-'TRADE IN'!$F268=0,"",(VLOOKUP($C268,REV!$C:$AA,12,0)-'TRADE IN'!$F268))</f>
        <v>799</v>
      </c>
      <c r="O268" s="46">
        <f>IF(VLOOKUP($C268,REV!$C:$AA,13,0)-'TRADE IN'!$F268=0,"",(VLOOKUP($C268,REV!$C:$AA,13,0)-'TRADE IN'!$F268))</f>
        <v>749</v>
      </c>
      <c r="P268" s="46">
        <f>IF(VLOOKUP($C268,REV!$C:$AA,14,0)-'TRADE IN'!$F268=0,"",(VLOOKUP($C268,REV!$C:$AA,14,0)-'TRADE IN'!$F268))</f>
        <v>749</v>
      </c>
      <c r="Q268" s="46">
        <f>IF(VLOOKUP($C268,REV!$C:$AA,15,0)-'TRADE IN'!$F268=0,"",(VLOOKUP($C268,REV!$C:$AA,15,0)-'TRADE IN'!$F268))</f>
        <v>699</v>
      </c>
      <c r="R268" s="46">
        <f>IF(VLOOKUP($C268,REV!$C:$AA,16,0)-'TRADE IN'!$F268=0,"",(VLOOKUP($C268,REV!$C:$AA,16,0)-'TRADE IN'!$F268))</f>
        <v>749</v>
      </c>
      <c r="S268" s="46">
        <f>IF(VLOOKUP($C268,REV!$C:$AA,17,0)-'TRADE IN'!$F268=0,"",(VLOOKUP($C268,REV!$C:$AA,17,0)-'TRADE IN'!$F268))</f>
        <v>749</v>
      </c>
      <c r="T268" s="46">
        <f>IF(VLOOKUP($C268,REV!$C:$AA,18,0)-'TRADE IN'!$F268=0,"",(VLOOKUP($C268,REV!$C:$AA,18,0)-'TRADE IN'!$F268))</f>
        <v>699</v>
      </c>
      <c r="U268" s="46">
        <f>IF(VLOOKUP($C268,REV!$C:$AA,19,0)-'TRADE IN'!$F268=0,"",(VLOOKUP($C268,REV!$C:$AA,19,0)-'TRADE IN'!$F268))</f>
        <v>699</v>
      </c>
      <c r="V268" s="46">
        <f>IF(VLOOKUP($C268,REV!$C:$AA,20,0)-'TRADE IN'!$F268=0,"",(VLOOKUP($C268,REV!$C:$AA,20,0)-'TRADE IN'!$F268))</f>
        <v>699</v>
      </c>
      <c r="W268" s="46">
        <f>IF(VLOOKUP($C268,REV!$C:$AA,21,0)-'TRADE IN'!$F268=0,"",(VLOOKUP($C268,REV!$C:$AA,21,0)-'TRADE IN'!$F268))</f>
        <v>699</v>
      </c>
      <c r="X268" s="46">
        <f>IF(VLOOKUP($C268,REV!$C:$AA,22,0)-'TRADE IN'!$F268=0,"",(VLOOKUP($C268,REV!$C:$AA,22,0)-'TRADE IN'!$F268))</f>
        <v>699</v>
      </c>
      <c r="Y268" s="46">
        <f>IF(VLOOKUP($C268,REV!$C:$AA,23,0)-'TRADE IN'!$F268=0,"",(VLOOKUP($C268,REV!$C:$AA,23,0)-'TRADE IN'!$F268))</f>
        <v>699</v>
      </c>
      <c r="Z268" s="46">
        <f>IF(VLOOKUP($C268,REV!$C:$AA,24,0)-'TRADE IN'!$F268=0,"",(VLOOKUP($C268,REV!$C:$AA,24,0)-'TRADE IN'!$F268))</f>
        <v>699</v>
      </c>
      <c r="AA268" s="46">
        <f>IF(VLOOKUP($C268,REV!$C:$AA,25,0)-'TRADE IN'!$F268=0,"",(VLOOKUP($C268,REV!$C:$AA,25,0)-'TRADE IN'!$F268))</f>
        <v>699</v>
      </c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7"/>
      <c r="AW268" s="48" t="str">
        <f>REV!AW268</f>
        <v>01.12.2026</v>
      </c>
      <c r="AX268" s="153" t="str">
        <f>VLOOKUP(C268,REV!C:AX,48,0)</f>
        <v>5G</v>
      </c>
    </row>
    <row r="269" spans="1:50" ht="22.5" customHeight="1">
      <c r="A269" s="57" t="s">
        <v>247</v>
      </c>
      <c r="B269" s="42" t="s">
        <v>64</v>
      </c>
      <c r="C269" s="43">
        <v>4016753</v>
      </c>
      <c r="D269" s="58" t="s">
        <v>426</v>
      </c>
      <c r="E269" s="58" t="s">
        <v>431</v>
      </c>
      <c r="F269" s="45"/>
      <c r="G269" s="45"/>
      <c r="H269" s="45"/>
      <c r="I269" s="45"/>
      <c r="J269" s="46">
        <f>IF(VLOOKUP($C269,REV!$C:$AA,8,0)-'TRADE IN'!$F269=0,"",(VLOOKUP($C269,REV!$C:$AA,8,0)-'TRADE IN'!$F269))</f>
        <v>899</v>
      </c>
      <c r="K269" s="46">
        <f>IF(VLOOKUP($C269,REV!$C:$AA,9,0)-'TRADE IN'!$F269=0,"",(VLOOKUP($C269,REV!$C:$AA,9,0)-'TRADE IN'!$F269))</f>
        <v>799</v>
      </c>
      <c r="L269" s="46">
        <f>IF(VLOOKUP($C269,REV!$C:$AA,10,0)-'TRADE IN'!$F269=0,"",(VLOOKUP($C269,REV!$C:$AA,10,0)-'TRADE IN'!$F269))</f>
        <v>799</v>
      </c>
      <c r="M269" s="46">
        <f>IF(VLOOKUP($C269,REV!$C:$AA,11,0)-'TRADE IN'!$F269=0,"",(VLOOKUP($C269,REV!$C:$AA,11,0)-'TRADE IN'!$F269))</f>
        <v>899</v>
      </c>
      <c r="N269" s="46">
        <f>IF(VLOOKUP($C269,REV!$C:$AA,12,0)-'TRADE IN'!$F269=0,"",(VLOOKUP($C269,REV!$C:$AA,12,0)-'TRADE IN'!$F269))</f>
        <v>799</v>
      </c>
      <c r="O269" s="46">
        <f>IF(VLOOKUP($C269,REV!$C:$AA,13,0)-'TRADE IN'!$F269=0,"",(VLOOKUP($C269,REV!$C:$AA,13,0)-'TRADE IN'!$F269))</f>
        <v>749</v>
      </c>
      <c r="P269" s="46">
        <f>IF(VLOOKUP($C269,REV!$C:$AA,14,0)-'TRADE IN'!$F269=0,"",(VLOOKUP($C269,REV!$C:$AA,14,0)-'TRADE IN'!$F269))</f>
        <v>749</v>
      </c>
      <c r="Q269" s="46">
        <f>IF(VLOOKUP($C269,REV!$C:$AA,15,0)-'TRADE IN'!$F269=0,"",(VLOOKUP($C269,REV!$C:$AA,15,0)-'TRADE IN'!$F269))</f>
        <v>699</v>
      </c>
      <c r="R269" s="46">
        <f>IF(VLOOKUP($C269,REV!$C:$AA,16,0)-'TRADE IN'!$F269=0,"",(VLOOKUP($C269,REV!$C:$AA,16,0)-'TRADE IN'!$F269))</f>
        <v>749</v>
      </c>
      <c r="S269" s="46">
        <f>IF(VLOOKUP($C269,REV!$C:$AA,17,0)-'TRADE IN'!$F269=0,"",(VLOOKUP($C269,REV!$C:$AA,17,0)-'TRADE IN'!$F269))</f>
        <v>749</v>
      </c>
      <c r="T269" s="46">
        <f>IF(VLOOKUP($C269,REV!$C:$AA,18,0)-'TRADE IN'!$F269=0,"",(VLOOKUP($C269,REV!$C:$AA,18,0)-'TRADE IN'!$F269))</f>
        <v>699</v>
      </c>
      <c r="U269" s="46">
        <f>IF(VLOOKUP($C269,REV!$C:$AA,19,0)-'TRADE IN'!$F269=0,"",(VLOOKUP($C269,REV!$C:$AA,19,0)-'TRADE IN'!$F269))</f>
        <v>699</v>
      </c>
      <c r="V269" s="46">
        <f>IF(VLOOKUP($C269,REV!$C:$AA,20,0)-'TRADE IN'!$F269=0,"",(VLOOKUP($C269,REV!$C:$AA,20,0)-'TRADE IN'!$F269))</f>
        <v>699</v>
      </c>
      <c r="W269" s="46">
        <f>IF(VLOOKUP($C269,REV!$C:$AA,21,0)-'TRADE IN'!$F269=0,"",(VLOOKUP($C269,REV!$C:$AA,21,0)-'TRADE IN'!$F269))</f>
        <v>699</v>
      </c>
      <c r="X269" s="46">
        <f>IF(VLOOKUP($C269,REV!$C:$AA,22,0)-'TRADE IN'!$F269=0,"",(VLOOKUP($C269,REV!$C:$AA,22,0)-'TRADE IN'!$F269))</f>
        <v>699</v>
      </c>
      <c r="Y269" s="46">
        <f>IF(VLOOKUP($C269,REV!$C:$AA,23,0)-'TRADE IN'!$F269=0,"",(VLOOKUP($C269,REV!$C:$AA,23,0)-'TRADE IN'!$F269))</f>
        <v>699</v>
      </c>
      <c r="Z269" s="46">
        <f>IF(VLOOKUP($C269,REV!$C:$AA,24,0)-'TRADE IN'!$F269=0,"",(VLOOKUP($C269,REV!$C:$AA,24,0)-'TRADE IN'!$F269))</f>
        <v>699</v>
      </c>
      <c r="AA269" s="46">
        <f>IF(VLOOKUP($C269,REV!$C:$AA,25,0)-'TRADE IN'!$F269=0,"",(VLOOKUP($C269,REV!$C:$AA,25,0)-'TRADE IN'!$F269))</f>
        <v>699</v>
      </c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7"/>
      <c r="AW269" s="48" t="str">
        <f>REV!AW269</f>
        <v>01.12.2026</v>
      </c>
      <c r="AX269" s="153" t="str">
        <f>VLOOKUP(C269,REV!C:AX,48,0)</f>
        <v>5G</v>
      </c>
    </row>
    <row r="270" spans="1:50" ht="22.5" customHeight="1">
      <c r="A270" s="57" t="s">
        <v>247</v>
      </c>
      <c r="B270" s="42" t="s">
        <v>64</v>
      </c>
      <c r="C270" s="43">
        <v>4016762</v>
      </c>
      <c r="D270" s="58" t="s">
        <v>426</v>
      </c>
      <c r="E270" s="58" t="s">
        <v>432</v>
      </c>
      <c r="F270" s="45"/>
      <c r="G270" s="45"/>
      <c r="H270" s="45"/>
      <c r="I270" s="45"/>
      <c r="J270" s="46">
        <f>IF(VLOOKUP($C270,REV!$C:$AA,8,0)-'TRADE IN'!$F270=0,"",(VLOOKUP($C270,REV!$C:$AA,8,0)-'TRADE IN'!$F270))</f>
        <v>899</v>
      </c>
      <c r="K270" s="46">
        <f>IF(VLOOKUP($C270,REV!$C:$AA,9,0)-'TRADE IN'!$F270=0,"",(VLOOKUP($C270,REV!$C:$AA,9,0)-'TRADE IN'!$F270))</f>
        <v>799</v>
      </c>
      <c r="L270" s="46">
        <f>IF(VLOOKUP($C270,REV!$C:$AA,10,0)-'TRADE IN'!$F270=0,"",(VLOOKUP($C270,REV!$C:$AA,10,0)-'TRADE IN'!$F270))</f>
        <v>799</v>
      </c>
      <c r="M270" s="46">
        <f>IF(VLOOKUP($C270,REV!$C:$AA,11,0)-'TRADE IN'!$F270=0,"",(VLOOKUP($C270,REV!$C:$AA,11,0)-'TRADE IN'!$F270))</f>
        <v>899</v>
      </c>
      <c r="N270" s="46">
        <f>IF(VLOOKUP($C270,REV!$C:$AA,12,0)-'TRADE IN'!$F270=0,"",(VLOOKUP($C270,REV!$C:$AA,12,0)-'TRADE IN'!$F270))</f>
        <v>799</v>
      </c>
      <c r="O270" s="46">
        <f>IF(VLOOKUP($C270,REV!$C:$AA,13,0)-'TRADE IN'!$F270=0,"",(VLOOKUP($C270,REV!$C:$AA,13,0)-'TRADE IN'!$F270))</f>
        <v>749</v>
      </c>
      <c r="P270" s="46">
        <f>IF(VLOOKUP($C270,REV!$C:$AA,14,0)-'TRADE IN'!$F270=0,"",(VLOOKUP($C270,REV!$C:$AA,14,0)-'TRADE IN'!$F270))</f>
        <v>749</v>
      </c>
      <c r="Q270" s="46">
        <f>IF(VLOOKUP($C270,REV!$C:$AA,15,0)-'TRADE IN'!$F270=0,"",(VLOOKUP($C270,REV!$C:$AA,15,0)-'TRADE IN'!$F270))</f>
        <v>699</v>
      </c>
      <c r="R270" s="46">
        <f>IF(VLOOKUP($C270,REV!$C:$AA,16,0)-'TRADE IN'!$F270=0,"",(VLOOKUP($C270,REV!$C:$AA,16,0)-'TRADE IN'!$F270))</f>
        <v>749</v>
      </c>
      <c r="S270" s="46">
        <f>IF(VLOOKUP($C270,REV!$C:$AA,17,0)-'TRADE IN'!$F270=0,"",(VLOOKUP($C270,REV!$C:$AA,17,0)-'TRADE IN'!$F270))</f>
        <v>749</v>
      </c>
      <c r="T270" s="46">
        <f>IF(VLOOKUP($C270,REV!$C:$AA,18,0)-'TRADE IN'!$F270=0,"",(VLOOKUP($C270,REV!$C:$AA,18,0)-'TRADE IN'!$F270))</f>
        <v>699</v>
      </c>
      <c r="U270" s="46">
        <f>IF(VLOOKUP($C270,REV!$C:$AA,19,0)-'TRADE IN'!$F270=0,"",(VLOOKUP($C270,REV!$C:$AA,19,0)-'TRADE IN'!$F270))</f>
        <v>699</v>
      </c>
      <c r="V270" s="46">
        <f>IF(VLOOKUP($C270,REV!$C:$AA,20,0)-'TRADE IN'!$F270=0,"",(VLOOKUP($C270,REV!$C:$AA,20,0)-'TRADE IN'!$F270))</f>
        <v>699</v>
      </c>
      <c r="W270" s="46">
        <f>IF(VLOOKUP($C270,REV!$C:$AA,21,0)-'TRADE IN'!$F270=0,"",(VLOOKUP($C270,REV!$C:$AA,21,0)-'TRADE IN'!$F270))</f>
        <v>699</v>
      </c>
      <c r="X270" s="46">
        <f>IF(VLOOKUP($C270,REV!$C:$AA,22,0)-'TRADE IN'!$F270=0,"",(VLOOKUP($C270,REV!$C:$AA,22,0)-'TRADE IN'!$F270))</f>
        <v>699</v>
      </c>
      <c r="Y270" s="46">
        <f>IF(VLOOKUP($C270,REV!$C:$AA,23,0)-'TRADE IN'!$F270=0,"",(VLOOKUP($C270,REV!$C:$AA,23,0)-'TRADE IN'!$F270))</f>
        <v>699</v>
      </c>
      <c r="Z270" s="46">
        <f>IF(VLOOKUP($C270,REV!$C:$AA,24,0)-'TRADE IN'!$F270=0,"",(VLOOKUP($C270,REV!$C:$AA,24,0)-'TRADE IN'!$F270))</f>
        <v>699</v>
      </c>
      <c r="AA270" s="46">
        <f>IF(VLOOKUP($C270,REV!$C:$AA,25,0)-'TRADE IN'!$F270=0,"",(VLOOKUP($C270,REV!$C:$AA,25,0)-'TRADE IN'!$F270))</f>
        <v>699</v>
      </c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7"/>
      <c r="AW270" s="48" t="str">
        <f>REV!AW270</f>
        <v>01.12.2026</v>
      </c>
      <c r="AX270" s="153" t="str">
        <f>VLOOKUP(C270,REV!C:AX,48,0)</f>
        <v>5G</v>
      </c>
    </row>
    <row r="271" spans="1:50" ht="22.5" customHeight="1">
      <c r="A271" s="57" t="s">
        <v>247</v>
      </c>
      <c r="B271" s="42" t="s">
        <v>64</v>
      </c>
      <c r="C271" s="43">
        <v>4016667</v>
      </c>
      <c r="D271" s="58" t="s">
        <v>433</v>
      </c>
      <c r="E271" s="58" t="s">
        <v>434</v>
      </c>
      <c r="F271" s="45"/>
      <c r="G271" s="45"/>
      <c r="H271" s="45"/>
      <c r="I271" s="45"/>
      <c r="J271" s="46">
        <f>IF(VLOOKUP($C271,REV!$C:$AA,8,0)-'TRADE IN'!$F271=0,"",(VLOOKUP($C271,REV!$C:$AA,8,0)-'TRADE IN'!$F271))</f>
        <v>1099</v>
      </c>
      <c r="K271" s="46">
        <f>IF(VLOOKUP($C271,REV!$C:$AA,9,0)-'TRADE IN'!$F271=0,"",(VLOOKUP($C271,REV!$C:$AA,9,0)-'TRADE IN'!$F271))</f>
        <v>1099</v>
      </c>
      <c r="L271" s="46">
        <f>IF(VLOOKUP($C271,REV!$C:$AA,10,0)-'TRADE IN'!$F271=0,"",(VLOOKUP($C271,REV!$C:$AA,10,0)-'TRADE IN'!$F271))</f>
        <v>1099</v>
      </c>
      <c r="M271" s="46">
        <f>IF(VLOOKUP($C271,REV!$C:$AA,11,0)-'TRADE IN'!$F271=0,"",(VLOOKUP($C271,REV!$C:$AA,11,0)-'TRADE IN'!$F271))</f>
        <v>1099</v>
      </c>
      <c r="N271" s="46">
        <f>IF(VLOOKUP($C271,REV!$C:$AA,12,0)-'TRADE IN'!$F271=0,"",(VLOOKUP($C271,REV!$C:$AA,12,0)-'TRADE IN'!$F271))</f>
        <v>1099</v>
      </c>
      <c r="O271" s="46">
        <f>IF(VLOOKUP($C271,REV!$C:$AA,13,0)-'TRADE IN'!$F271=0,"",(VLOOKUP($C271,REV!$C:$AA,13,0)-'TRADE IN'!$F271))</f>
        <v>999</v>
      </c>
      <c r="P271" s="46">
        <f>IF(VLOOKUP($C271,REV!$C:$AA,14,0)-'TRADE IN'!$F271=0,"",(VLOOKUP($C271,REV!$C:$AA,14,0)-'TRADE IN'!$F271))</f>
        <v>999</v>
      </c>
      <c r="Q271" s="46">
        <f>IF(VLOOKUP($C271,REV!$C:$AA,15,0)-'TRADE IN'!$F271=0,"",(VLOOKUP($C271,REV!$C:$AA,15,0)-'TRADE IN'!$F271))</f>
        <v>999</v>
      </c>
      <c r="R271" s="46">
        <f>IF(VLOOKUP($C271,REV!$C:$AA,16,0)-'TRADE IN'!$F271=0,"",(VLOOKUP($C271,REV!$C:$AA,16,0)-'TRADE IN'!$F271))</f>
        <v>999</v>
      </c>
      <c r="S271" s="46">
        <f>IF(VLOOKUP($C271,REV!$C:$AA,17,0)-'TRADE IN'!$F271=0,"",(VLOOKUP($C271,REV!$C:$AA,17,0)-'TRADE IN'!$F271))</f>
        <v>999</v>
      </c>
      <c r="T271" s="46">
        <f>IF(VLOOKUP($C271,REV!$C:$AA,18,0)-'TRADE IN'!$F271=0,"",(VLOOKUP($C271,REV!$C:$AA,18,0)-'TRADE IN'!$F271))</f>
        <v>999</v>
      </c>
      <c r="U271" s="46">
        <f>IF(VLOOKUP($C271,REV!$C:$AA,19,0)-'TRADE IN'!$F271=0,"",(VLOOKUP($C271,REV!$C:$AA,19,0)-'TRADE IN'!$F271))</f>
        <v>999</v>
      </c>
      <c r="V271" s="46">
        <f>IF(VLOOKUP($C271,REV!$C:$AA,20,0)-'TRADE IN'!$F271=0,"",(VLOOKUP($C271,REV!$C:$AA,20,0)-'TRADE IN'!$F271))</f>
        <v>999</v>
      </c>
      <c r="W271" s="46">
        <f>IF(VLOOKUP($C271,REV!$C:$AA,21,0)-'TRADE IN'!$F271=0,"",(VLOOKUP($C271,REV!$C:$AA,21,0)-'TRADE IN'!$F271))</f>
        <v>999</v>
      </c>
      <c r="X271" s="46">
        <f>IF(VLOOKUP($C271,REV!$C:$AA,22,0)-'TRADE IN'!$F271=0,"",(VLOOKUP($C271,REV!$C:$AA,22,0)-'TRADE IN'!$F271))</f>
        <v>999</v>
      </c>
      <c r="Y271" s="46">
        <f>IF(VLOOKUP($C271,REV!$C:$AA,23,0)-'TRADE IN'!$F271=0,"",(VLOOKUP($C271,REV!$C:$AA,23,0)-'TRADE IN'!$F271))</f>
        <v>999</v>
      </c>
      <c r="Z271" s="46">
        <f>IF(VLOOKUP($C271,REV!$C:$AA,24,0)-'TRADE IN'!$F271=0,"",(VLOOKUP($C271,REV!$C:$AA,24,0)-'TRADE IN'!$F271))</f>
        <v>999</v>
      </c>
      <c r="AA271" s="46">
        <f>IF(VLOOKUP($C271,REV!$C:$AA,25,0)-'TRADE IN'!$F271=0,"",(VLOOKUP($C271,REV!$C:$AA,25,0)-'TRADE IN'!$F271))</f>
        <v>999</v>
      </c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7"/>
      <c r="AW271" s="48" t="str">
        <f>REV!AW271</f>
        <v>01.12.2026</v>
      </c>
      <c r="AX271" s="153" t="str">
        <f>VLOOKUP(C271,REV!C:AX,48,0)</f>
        <v>5G</v>
      </c>
    </row>
    <row r="272" spans="1:50" ht="22.5" customHeight="1">
      <c r="A272" s="57" t="s">
        <v>247</v>
      </c>
      <c r="B272" s="42" t="s">
        <v>64</v>
      </c>
      <c r="C272" s="43">
        <v>4016713</v>
      </c>
      <c r="D272" s="58" t="s">
        <v>433</v>
      </c>
      <c r="E272" s="58" t="s">
        <v>435</v>
      </c>
      <c r="F272" s="45"/>
      <c r="G272" s="45"/>
      <c r="H272" s="45"/>
      <c r="I272" s="45"/>
      <c r="J272" s="46">
        <f>IF(VLOOKUP($C272,REV!$C:$AA,8,0)-'TRADE IN'!$F272=0,"",(VLOOKUP($C272,REV!$C:$AA,8,0)-'TRADE IN'!$F272))</f>
        <v>1099</v>
      </c>
      <c r="K272" s="46">
        <f>IF(VLOOKUP($C272,REV!$C:$AA,9,0)-'TRADE IN'!$F272=0,"",(VLOOKUP($C272,REV!$C:$AA,9,0)-'TRADE IN'!$F272))</f>
        <v>1099</v>
      </c>
      <c r="L272" s="46">
        <f>IF(VLOOKUP($C272,REV!$C:$AA,10,0)-'TRADE IN'!$F272=0,"",(VLOOKUP($C272,REV!$C:$AA,10,0)-'TRADE IN'!$F272))</f>
        <v>1099</v>
      </c>
      <c r="M272" s="46">
        <f>IF(VLOOKUP($C272,REV!$C:$AA,11,0)-'TRADE IN'!$F272=0,"",(VLOOKUP($C272,REV!$C:$AA,11,0)-'TRADE IN'!$F272))</f>
        <v>1099</v>
      </c>
      <c r="N272" s="46">
        <f>IF(VLOOKUP($C272,REV!$C:$AA,12,0)-'TRADE IN'!$F272=0,"",(VLOOKUP($C272,REV!$C:$AA,12,0)-'TRADE IN'!$F272))</f>
        <v>1099</v>
      </c>
      <c r="O272" s="46">
        <f>IF(VLOOKUP($C272,REV!$C:$AA,13,0)-'TRADE IN'!$F272=0,"",(VLOOKUP($C272,REV!$C:$AA,13,0)-'TRADE IN'!$F272))</f>
        <v>999</v>
      </c>
      <c r="P272" s="46">
        <f>IF(VLOOKUP($C272,REV!$C:$AA,14,0)-'TRADE IN'!$F272=0,"",(VLOOKUP($C272,REV!$C:$AA,14,0)-'TRADE IN'!$F272))</f>
        <v>999</v>
      </c>
      <c r="Q272" s="46">
        <f>IF(VLOOKUP($C272,REV!$C:$AA,15,0)-'TRADE IN'!$F272=0,"",(VLOOKUP($C272,REV!$C:$AA,15,0)-'TRADE IN'!$F272))</f>
        <v>999</v>
      </c>
      <c r="R272" s="46">
        <f>IF(VLOOKUP($C272,REV!$C:$AA,16,0)-'TRADE IN'!$F272=0,"",(VLOOKUP($C272,REV!$C:$AA,16,0)-'TRADE IN'!$F272))</f>
        <v>999</v>
      </c>
      <c r="S272" s="46">
        <f>IF(VLOOKUP($C272,REV!$C:$AA,17,0)-'TRADE IN'!$F272=0,"",(VLOOKUP($C272,REV!$C:$AA,17,0)-'TRADE IN'!$F272))</f>
        <v>999</v>
      </c>
      <c r="T272" s="46">
        <f>IF(VLOOKUP($C272,REV!$C:$AA,18,0)-'TRADE IN'!$F272=0,"",(VLOOKUP($C272,REV!$C:$AA,18,0)-'TRADE IN'!$F272))</f>
        <v>999</v>
      </c>
      <c r="U272" s="46">
        <f>IF(VLOOKUP($C272,REV!$C:$AA,19,0)-'TRADE IN'!$F272=0,"",(VLOOKUP($C272,REV!$C:$AA,19,0)-'TRADE IN'!$F272))</f>
        <v>999</v>
      </c>
      <c r="V272" s="46">
        <f>IF(VLOOKUP($C272,REV!$C:$AA,20,0)-'TRADE IN'!$F272=0,"",(VLOOKUP($C272,REV!$C:$AA,20,0)-'TRADE IN'!$F272))</f>
        <v>999</v>
      </c>
      <c r="W272" s="46">
        <f>IF(VLOOKUP($C272,REV!$C:$AA,21,0)-'TRADE IN'!$F272=0,"",(VLOOKUP($C272,REV!$C:$AA,21,0)-'TRADE IN'!$F272))</f>
        <v>999</v>
      </c>
      <c r="X272" s="46">
        <f>IF(VLOOKUP($C272,REV!$C:$AA,22,0)-'TRADE IN'!$F272=0,"",(VLOOKUP($C272,REV!$C:$AA,22,0)-'TRADE IN'!$F272))</f>
        <v>999</v>
      </c>
      <c r="Y272" s="46">
        <f>IF(VLOOKUP($C272,REV!$C:$AA,23,0)-'TRADE IN'!$F272=0,"",(VLOOKUP($C272,REV!$C:$AA,23,0)-'TRADE IN'!$F272))</f>
        <v>999</v>
      </c>
      <c r="Z272" s="46">
        <f>IF(VLOOKUP($C272,REV!$C:$AA,24,0)-'TRADE IN'!$F272=0,"",(VLOOKUP($C272,REV!$C:$AA,24,0)-'TRADE IN'!$F272))</f>
        <v>999</v>
      </c>
      <c r="AA272" s="46">
        <f>IF(VLOOKUP($C272,REV!$C:$AA,25,0)-'TRADE IN'!$F272=0,"",(VLOOKUP($C272,REV!$C:$AA,25,0)-'TRADE IN'!$F272))</f>
        <v>999</v>
      </c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7"/>
      <c r="AW272" s="48" t="str">
        <f>REV!AW272</f>
        <v>01.12.2026</v>
      </c>
      <c r="AX272" s="153" t="str">
        <f>VLOOKUP(C272,REV!C:AX,48,0)</f>
        <v>5G</v>
      </c>
    </row>
    <row r="273" spans="1:50" ht="22.5" customHeight="1">
      <c r="A273" s="57" t="s">
        <v>247</v>
      </c>
      <c r="B273" s="42" t="s">
        <v>64</v>
      </c>
      <c r="C273" s="43">
        <v>4016669</v>
      </c>
      <c r="D273" s="58" t="s">
        <v>433</v>
      </c>
      <c r="E273" s="58" t="s">
        <v>436</v>
      </c>
      <c r="F273" s="45"/>
      <c r="G273" s="45"/>
      <c r="H273" s="45"/>
      <c r="I273" s="45"/>
      <c r="J273" s="46">
        <f>IF(VLOOKUP($C273,REV!$C:$AA,8,0)-'TRADE IN'!$F273=0,"",(VLOOKUP($C273,REV!$C:$AA,8,0)-'TRADE IN'!$F273))</f>
        <v>1099</v>
      </c>
      <c r="K273" s="46">
        <f>IF(VLOOKUP($C273,REV!$C:$AA,9,0)-'TRADE IN'!$F273=0,"",(VLOOKUP($C273,REV!$C:$AA,9,0)-'TRADE IN'!$F273))</f>
        <v>1099</v>
      </c>
      <c r="L273" s="46">
        <f>IF(VLOOKUP($C273,REV!$C:$AA,10,0)-'TRADE IN'!$F273=0,"",(VLOOKUP($C273,REV!$C:$AA,10,0)-'TRADE IN'!$F273))</f>
        <v>1099</v>
      </c>
      <c r="M273" s="46">
        <f>IF(VLOOKUP($C273,REV!$C:$AA,11,0)-'TRADE IN'!$F273=0,"",(VLOOKUP($C273,REV!$C:$AA,11,0)-'TRADE IN'!$F273))</f>
        <v>1099</v>
      </c>
      <c r="N273" s="46">
        <f>IF(VLOOKUP($C273,REV!$C:$AA,12,0)-'TRADE IN'!$F273=0,"",(VLOOKUP($C273,REV!$C:$AA,12,0)-'TRADE IN'!$F273))</f>
        <v>1099</v>
      </c>
      <c r="O273" s="46">
        <f>IF(VLOOKUP($C273,REV!$C:$AA,13,0)-'TRADE IN'!$F273=0,"",(VLOOKUP($C273,REV!$C:$AA,13,0)-'TRADE IN'!$F273))</f>
        <v>999</v>
      </c>
      <c r="P273" s="46">
        <f>IF(VLOOKUP($C273,REV!$C:$AA,14,0)-'TRADE IN'!$F273=0,"",(VLOOKUP($C273,REV!$C:$AA,14,0)-'TRADE IN'!$F273))</f>
        <v>999</v>
      </c>
      <c r="Q273" s="46">
        <f>IF(VLOOKUP($C273,REV!$C:$AA,15,0)-'TRADE IN'!$F273=0,"",(VLOOKUP($C273,REV!$C:$AA,15,0)-'TRADE IN'!$F273))</f>
        <v>999</v>
      </c>
      <c r="R273" s="46">
        <f>IF(VLOOKUP($C273,REV!$C:$AA,16,0)-'TRADE IN'!$F273=0,"",(VLOOKUP($C273,REV!$C:$AA,16,0)-'TRADE IN'!$F273))</f>
        <v>999</v>
      </c>
      <c r="S273" s="46">
        <f>IF(VLOOKUP($C273,REV!$C:$AA,17,0)-'TRADE IN'!$F273=0,"",(VLOOKUP($C273,REV!$C:$AA,17,0)-'TRADE IN'!$F273))</f>
        <v>999</v>
      </c>
      <c r="T273" s="46">
        <f>IF(VLOOKUP($C273,REV!$C:$AA,18,0)-'TRADE IN'!$F273=0,"",(VLOOKUP($C273,REV!$C:$AA,18,0)-'TRADE IN'!$F273))</f>
        <v>999</v>
      </c>
      <c r="U273" s="46">
        <f>IF(VLOOKUP($C273,REV!$C:$AA,19,0)-'TRADE IN'!$F273=0,"",(VLOOKUP($C273,REV!$C:$AA,19,0)-'TRADE IN'!$F273))</f>
        <v>999</v>
      </c>
      <c r="V273" s="46">
        <f>IF(VLOOKUP($C273,REV!$C:$AA,20,0)-'TRADE IN'!$F273=0,"",(VLOOKUP($C273,REV!$C:$AA,20,0)-'TRADE IN'!$F273))</f>
        <v>999</v>
      </c>
      <c r="W273" s="46">
        <f>IF(VLOOKUP($C273,REV!$C:$AA,21,0)-'TRADE IN'!$F273=0,"",(VLOOKUP($C273,REV!$C:$AA,21,0)-'TRADE IN'!$F273))</f>
        <v>999</v>
      </c>
      <c r="X273" s="46">
        <f>IF(VLOOKUP($C273,REV!$C:$AA,22,0)-'TRADE IN'!$F273=0,"",(VLOOKUP($C273,REV!$C:$AA,22,0)-'TRADE IN'!$F273))</f>
        <v>999</v>
      </c>
      <c r="Y273" s="46">
        <f>IF(VLOOKUP($C273,REV!$C:$AA,23,0)-'TRADE IN'!$F273=0,"",(VLOOKUP($C273,REV!$C:$AA,23,0)-'TRADE IN'!$F273))</f>
        <v>999</v>
      </c>
      <c r="Z273" s="46">
        <f>IF(VLOOKUP($C273,REV!$C:$AA,24,0)-'TRADE IN'!$F273=0,"",(VLOOKUP($C273,REV!$C:$AA,24,0)-'TRADE IN'!$F273))</f>
        <v>999</v>
      </c>
      <c r="AA273" s="46">
        <f>IF(VLOOKUP($C273,REV!$C:$AA,25,0)-'TRADE IN'!$F273=0,"",(VLOOKUP($C273,REV!$C:$AA,25,0)-'TRADE IN'!$F273))</f>
        <v>999</v>
      </c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7"/>
      <c r="AW273" s="48" t="str">
        <f>REV!AW273</f>
        <v>01.12.2026</v>
      </c>
      <c r="AX273" s="153" t="str">
        <f>VLOOKUP(C273,REV!C:AX,48,0)</f>
        <v>5G</v>
      </c>
    </row>
    <row r="274" spans="1:50" ht="22.5" customHeight="1">
      <c r="A274" s="57" t="s">
        <v>247</v>
      </c>
      <c r="B274" s="42" t="s">
        <v>64</v>
      </c>
      <c r="C274" s="43">
        <v>4016715</v>
      </c>
      <c r="D274" s="58" t="s">
        <v>433</v>
      </c>
      <c r="E274" s="58" t="s">
        <v>437</v>
      </c>
      <c r="F274" s="45"/>
      <c r="G274" s="45"/>
      <c r="H274" s="45"/>
      <c r="I274" s="45"/>
      <c r="J274" s="46">
        <f>IF(VLOOKUP($C274,REV!$C:$AA,8,0)-'TRADE IN'!$F274=0,"",(VLOOKUP($C274,REV!$C:$AA,8,0)-'TRADE IN'!$F274))</f>
        <v>1099</v>
      </c>
      <c r="K274" s="46">
        <f>IF(VLOOKUP($C274,REV!$C:$AA,9,0)-'TRADE IN'!$F274=0,"",(VLOOKUP($C274,REV!$C:$AA,9,0)-'TRADE IN'!$F274))</f>
        <v>1099</v>
      </c>
      <c r="L274" s="46">
        <f>IF(VLOOKUP($C274,REV!$C:$AA,10,0)-'TRADE IN'!$F274=0,"",(VLOOKUP($C274,REV!$C:$AA,10,0)-'TRADE IN'!$F274))</f>
        <v>1099</v>
      </c>
      <c r="M274" s="46">
        <f>IF(VLOOKUP($C274,REV!$C:$AA,11,0)-'TRADE IN'!$F274=0,"",(VLOOKUP($C274,REV!$C:$AA,11,0)-'TRADE IN'!$F274))</f>
        <v>1099</v>
      </c>
      <c r="N274" s="46">
        <f>IF(VLOOKUP($C274,REV!$C:$AA,12,0)-'TRADE IN'!$F274=0,"",(VLOOKUP($C274,REV!$C:$AA,12,0)-'TRADE IN'!$F274))</f>
        <v>1099</v>
      </c>
      <c r="O274" s="46">
        <f>IF(VLOOKUP($C274,REV!$C:$AA,13,0)-'TRADE IN'!$F274=0,"",(VLOOKUP($C274,REV!$C:$AA,13,0)-'TRADE IN'!$F274))</f>
        <v>999</v>
      </c>
      <c r="P274" s="46">
        <f>IF(VLOOKUP($C274,REV!$C:$AA,14,0)-'TRADE IN'!$F274=0,"",(VLOOKUP($C274,REV!$C:$AA,14,0)-'TRADE IN'!$F274))</f>
        <v>999</v>
      </c>
      <c r="Q274" s="46">
        <f>IF(VLOOKUP($C274,REV!$C:$AA,15,0)-'TRADE IN'!$F274=0,"",(VLOOKUP($C274,REV!$C:$AA,15,0)-'TRADE IN'!$F274))</f>
        <v>999</v>
      </c>
      <c r="R274" s="46">
        <f>IF(VLOOKUP($C274,REV!$C:$AA,16,0)-'TRADE IN'!$F274=0,"",(VLOOKUP($C274,REV!$C:$AA,16,0)-'TRADE IN'!$F274))</f>
        <v>999</v>
      </c>
      <c r="S274" s="46">
        <f>IF(VLOOKUP($C274,REV!$C:$AA,17,0)-'TRADE IN'!$F274=0,"",(VLOOKUP($C274,REV!$C:$AA,17,0)-'TRADE IN'!$F274))</f>
        <v>999</v>
      </c>
      <c r="T274" s="46">
        <f>IF(VLOOKUP($C274,REV!$C:$AA,18,0)-'TRADE IN'!$F274=0,"",(VLOOKUP($C274,REV!$C:$AA,18,0)-'TRADE IN'!$F274))</f>
        <v>999</v>
      </c>
      <c r="U274" s="46">
        <f>IF(VLOOKUP($C274,REV!$C:$AA,19,0)-'TRADE IN'!$F274=0,"",(VLOOKUP($C274,REV!$C:$AA,19,0)-'TRADE IN'!$F274))</f>
        <v>999</v>
      </c>
      <c r="V274" s="46">
        <f>IF(VLOOKUP($C274,REV!$C:$AA,20,0)-'TRADE IN'!$F274=0,"",(VLOOKUP($C274,REV!$C:$AA,20,0)-'TRADE IN'!$F274))</f>
        <v>999</v>
      </c>
      <c r="W274" s="46">
        <f>IF(VLOOKUP($C274,REV!$C:$AA,21,0)-'TRADE IN'!$F274=0,"",(VLOOKUP($C274,REV!$C:$AA,21,0)-'TRADE IN'!$F274))</f>
        <v>999</v>
      </c>
      <c r="X274" s="46">
        <f>IF(VLOOKUP($C274,REV!$C:$AA,22,0)-'TRADE IN'!$F274=0,"",(VLOOKUP($C274,REV!$C:$AA,22,0)-'TRADE IN'!$F274))</f>
        <v>999</v>
      </c>
      <c r="Y274" s="46">
        <f>IF(VLOOKUP($C274,REV!$C:$AA,23,0)-'TRADE IN'!$F274=0,"",(VLOOKUP($C274,REV!$C:$AA,23,0)-'TRADE IN'!$F274))</f>
        <v>999</v>
      </c>
      <c r="Z274" s="46">
        <f>IF(VLOOKUP($C274,REV!$C:$AA,24,0)-'TRADE IN'!$F274=0,"",(VLOOKUP($C274,REV!$C:$AA,24,0)-'TRADE IN'!$F274))</f>
        <v>999</v>
      </c>
      <c r="AA274" s="46">
        <f>IF(VLOOKUP($C274,REV!$C:$AA,25,0)-'TRADE IN'!$F274=0,"",(VLOOKUP($C274,REV!$C:$AA,25,0)-'TRADE IN'!$F274))</f>
        <v>999</v>
      </c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7"/>
      <c r="AW274" s="48" t="str">
        <f>REV!AW274</f>
        <v>01.12.2026</v>
      </c>
      <c r="AX274" s="153" t="str">
        <f>VLOOKUP(C274,REV!C:AX,48,0)</f>
        <v>5G</v>
      </c>
    </row>
    <row r="275" spans="1:50" ht="22.5" customHeight="1">
      <c r="A275" s="57" t="s">
        <v>247</v>
      </c>
      <c r="B275" s="42" t="s">
        <v>64</v>
      </c>
      <c r="C275" s="43">
        <v>4017357</v>
      </c>
      <c r="D275" s="58" t="s">
        <v>438</v>
      </c>
      <c r="E275" s="58" t="s">
        <v>439</v>
      </c>
      <c r="F275" s="45"/>
      <c r="G275" s="45"/>
      <c r="H275" s="45"/>
      <c r="I275" s="45"/>
      <c r="J275" s="46">
        <f>IF(VLOOKUP($C275,REV!$C:$AA,8,0)-'TRADE IN'!$F275=0,"",(VLOOKUP($C275,REV!$C:$AA,8,0)-'TRADE IN'!$F275))</f>
        <v>1199</v>
      </c>
      <c r="K275" s="46">
        <f>IF(VLOOKUP($C275,REV!$C:$AA,9,0)-'TRADE IN'!$F275=0,"",(VLOOKUP($C275,REV!$C:$AA,9,0)-'TRADE IN'!$F275))</f>
        <v>1099</v>
      </c>
      <c r="L275" s="46">
        <f>IF(VLOOKUP($C275,REV!$C:$AA,10,0)-'TRADE IN'!$F275=0,"",(VLOOKUP($C275,REV!$C:$AA,10,0)-'TRADE IN'!$F275))</f>
        <v>1099</v>
      </c>
      <c r="M275" s="46">
        <f>IF(VLOOKUP($C275,REV!$C:$AA,11,0)-'TRADE IN'!$F275=0,"",(VLOOKUP($C275,REV!$C:$AA,11,0)-'TRADE IN'!$F275))</f>
        <v>1199</v>
      </c>
      <c r="N275" s="46">
        <f>IF(VLOOKUP($C275,REV!$C:$AA,12,0)-'TRADE IN'!$F275=0,"",(VLOOKUP($C275,REV!$C:$AA,12,0)-'TRADE IN'!$F275))</f>
        <v>1099</v>
      </c>
      <c r="O275" s="46">
        <f>IF(VLOOKUP($C275,REV!$C:$AA,13,0)-'TRADE IN'!$F275=0,"",(VLOOKUP($C275,REV!$C:$AA,13,0)-'TRADE IN'!$F275))</f>
        <v>1049</v>
      </c>
      <c r="P275" s="46">
        <f>IF(VLOOKUP($C275,REV!$C:$AA,14,0)-'TRADE IN'!$F275=0,"",(VLOOKUP($C275,REV!$C:$AA,14,0)-'TRADE IN'!$F275))</f>
        <v>999</v>
      </c>
      <c r="Q275" s="46">
        <f>IF(VLOOKUP($C275,REV!$C:$AA,15,0)-'TRADE IN'!$F275=0,"",(VLOOKUP($C275,REV!$C:$AA,15,0)-'TRADE IN'!$F275))</f>
        <v>999</v>
      </c>
      <c r="R275" s="46">
        <f>IF(VLOOKUP($C275,REV!$C:$AA,16,0)-'TRADE IN'!$F275=0,"",(VLOOKUP($C275,REV!$C:$AA,16,0)-'TRADE IN'!$F275))</f>
        <v>999</v>
      </c>
      <c r="S275" s="46">
        <f>IF(VLOOKUP($C275,REV!$C:$AA,17,0)-'TRADE IN'!$F275=0,"",(VLOOKUP($C275,REV!$C:$AA,17,0)-'TRADE IN'!$F275))</f>
        <v>999</v>
      </c>
      <c r="T275" s="46">
        <f>IF(VLOOKUP($C275,REV!$C:$AA,18,0)-'TRADE IN'!$F275=0,"",(VLOOKUP($C275,REV!$C:$AA,18,0)-'TRADE IN'!$F275))</f>
        <v>999</v>
      </c>
      <c r="U275" s="46">
        <f>IF(VLOOKUP($C275,REV!$C:$AA,19,0)-'TRADE IN'!$F275=0,"",(VLOOKUP($C275,REV!$C:$AA,19,0)-'TRADE IN'!$F275))</f>
        <v>999</v>
      </c>
      <c r="V275" s="46">
        <f>IF(VLOOKUP($C275,REV!$C:$AA,20,0)-'TRADE IN'!$F275=0,"",(VLOOKUP($C275,REV!$C:$AA,20,0)-'TRADE IN'!$F275))</f>
        <v>999</v>
      </c>
      <c r="W275" s="46">
        <f>IF(VLOOKUP($C275,REV!$C:$AA,21,0)-'TRADE IN'!$F275=0,"",(VLOOKUP($C275,REV!$C:$AA,21,0)-'TRADE IN'!$F275))</f>
        <v>999</v>
      </c>
      <c r="X275" s="46">
        <f>IF(VLOOKUP($C275,REV!$C:$AA,22,0)-'TRADE IN'!$F275=0,"",(VLOOKUP($C275,REV!$C:$AA,22,0)-'TRADE IN'!$F275))</f>
        <v>999</v>
      </c>
      <c r="Y275" s="46">
        <f>IF(VLOOKUP($C275,REV!$C:$AA,23,0)-'TRADE IN'!$F275=0,"",(VLOOKUP($C275,REV!$C:$AA,23,0)-'TRADE IN'!$F275))</f>
        <v>899</v>
      </c>
      <c r="Z275" s="46">
        <f>IF(VLOOKUP($C275,REV!$C:$AA,24,0)-'TRADE IN'!$F275=0,"",(VLOOKUP($C275,REV!$C:$AA,24,0)-'TRADE IN'!$F275))</f>
        <v>899</v>
      </c>
      <c r="AA275" s="46">
        <f>IF(VLOOKUP($C275,REV!$C:$AA,25,0)-'TRADE IN'!$F275=0,"",(VLOOKUP($C275,REV!$C:$AA,25,0)-'TRADE IN'!$F275))</f>
        <v>899</v>
      </c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7"/>
      <c r="AW275" s="48" t="str">
        <f>REV!AW275</f>
        <v>01.12.2026</v>
      </c>
      <c r="AX275" s="153" t="str">
        <f>VLOOKUP(C275,REV!C:AX,48,0)</f>
        <v>4G</v>
      </c>
    </row>
    <row r="276" spans="1:50" ht="22.5" customHeight="1">
      <c r="A276" s="57" t="s">
        <v>247</v>
      </c>
      <c r="B276" s="42" t="s">
        <v>64</v>
      </c>
      <c r="C276" s="43">
        <v>4017377</v>
      </c>
      <c r="D276" s="58" t="s">
        <v>438</v>
      </c>
      <c r="E276" s="58" t="s">
        <v>440</v>
      </c>
      <c r="F276" s="45"/>
      <c r="G276" s="45"/>
      <c r="H276" s="45"/>
      <c r="I276" s="45"/>
      <c r="J276" s="46">
        <f>IF(VLOOKUP($C276,REV!$C:$AA,8,0)-'TRADE IN'!$F276=0,"",(VLOOKUP($C276,REV!$C:$AA,8,0)-'TRADE IN'!$F276))</f>
        <v>1199</v>
      </c>
      <c r="K276" s="46">
        <f>IF(VLOOKUP($C276,REV!$C:$AA,9,0)-'TRADE IN'!$F276=0,"",(VLOOKUP($C276,REV!$C:$AA,9,0)-'TRADE IN'!$F276))</f>
        <v>1099</v>
      </c>
      <c r="L276" s="46">
        <f>IF(VLOOKUP($C276,REV!$C:$AA,10,0)-'TRADE IN'!$F276=0,"",(VLOOKUP($C276,REV!$C:$AA,10,0)-'TRADE IN'!$F276))</f>
        <v>1099</v>
      </c>
      <c r="M276" s="46">
        <f>IF(VLOOKUP($C276,REV!$C:$AA,11,0)-'TRADE IN'!$F276=0,"",(VLOOKUP($C276,REV!$C:$AA,11,0)-'TRADE IN'!$F276))</f>
        <v>1199</v>
      </c>
      <c r="N276" s="46">
        <f>IF(VLOOKUP($C276,REV!$C:$AA,12,0)-'TRADE IN'!$F276=0,"",(VLOOKUP($C276,REV!$C:$AA,12,0)-'TRADE IN'!$F276))</f>
        <v>1099</v>
      </c>
      <c r="O276" s="46">
        <f>IF(VLOOKUP($C276,REV!$C:$AA,13,0)-'TRADE IN'!$F276=0,"",(VLOOKUP($C276,REV!$C:$AA,13,0)-'TRADE IN'!$F276))</f>
        <v>1049</v>
      </c>
      <c r="P276" s="46">
        <f>IF(VLOOKUP($C276,REV!$C:$AA,14,0)-'TRADE IN'!$F276=0,"",(VLOOKUP($C276,REV!$C:$AA,14,0)-'TRADE IN'!$F276))</f>
        <v>999</v>
      </c>
      <c r="Q276" s="46">
        <f>IF(VLOOKUP($C276,REV!$C:$AA,15,0)-'TRADE IN'!$F276=0,"",(VLOOKUP($C276,REV!$C:$AA,15,0)-'TRADE IN'!$F276))</f>
        <v>999</v>
      </c>
      <c r="R276" s="46">
        <f>IF(VLOOKUP($C276,REV!$C:$AA,16,0)-'TRADE IN'!$F276=0,"",(VLOOKUP($C276,REV!$C:$AA,16,0)-'TRADE IN'!$F276))</f>
        <v>999</v>
      </c>
      <c r="S276" s="46">
        <f>IF(VLOOKUP($C276,REV!$C:$AA,17,0)-'TRADE IN'!$F276=0,"",(VLOOKUP($C276,REV!$C:$AA,17,0)-'TRADE IN'!$F276))</f>
        <v>999</v>
      </c>
      <c r="T276" s="46">
        <f>IF(VLOOKUP($C276,REV!$C:$AA,18,0)-'TRADE IN'!$F276=0,"",(VLOOKUP($C276,REV!$C:$AA,18,0)-'TRADE IN'!$F276))</f>
        <v>999</v>
      </c>
      <c r="U276" s="46">
        <f>IF(VLOOKUP($C276,REV!$C:$AA,19,0)-'TRADE IN'!$F276=0,"",(VLOOKUP($C276,REV!$C:$AA,19,0)-'TRADE IN'!$F276))</f>
        <v>999</v>
      </c>
      <c r="V276" s="46">
        <f>IF(VLOOKUP($C276,REV!$C:$AA,20,0)-'TRADE IN'!$F276=0,"",(VLOOKUP($C276,REV!$C:$AA,20,0)-'TRADE IN'!$F276))</f>
        <v>999</v>
      </c>
      <c r="W276" s="46">
        <f>IF(VLOOKUP($C276,REV!$C:$AA,21,0)-'TRADE IN'!$F276=0,"",(VLOOKUP($C276,REV!$C:$AA,21,0)-'TRADE IN'!$F276))</f>
        <v>999</v>
      </c>
      <c r="X276" s="46">
        <f>IF(VLOOKUP($C276,REV!$C:$AA,22,0)-'TRADE IN'!$F276=0,"",(VLOOKUP($C276,REV!$C:$AA,22,0)-'TRADE IN'!$F276))</f>
        <v>999</v>
      </c>
      <c r="Y276" s="46">
        <f>IF(VLOOKUP($C276,REV!$C:$AA,23,0)-'TRADE IN'!$F276=0,"",(VLOOKUP($C276,REV!$C:$AA,23,0)-'TRADE IN'!$F276))</f>
        <v>899</v>
      </c>
      <c r="Z276" s="46">
        <f>IF(VLOOKUP($C276,REV!$C:$AA,24,0)-'TRADE IN'!$F276=0,"",(VLOOKUP($C276,REV!$C:$AA,24,0)-'TRADE IN'!$F276))</f>
        <v>899</v>
      </c>
      <c r="AA276" s="46">
        <f>IF(VLOOKUP($C276,REV!$C:$AA,25,0)-'TRADE IN'!$F276=0,"",(VLOOKUP($C276,REV!$C:$AA,25,0)-'TRADE IN'!$F276))</f>
        <v>899</v>
      </c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7"/>
      <c r="AW276" s="48" t="str">
        <f>REV!AW276</f>
        <v>01.12.2026</v>
      </c>
      <c r="AX276" s="153" t="str">
        <f>VLOOKUP(C276,REV!C:AX,48,0)</f>
        <v>4G</v>
      </c>
    </row>
    <row r="277" spans="1:50" ht="22.5" customHeight="1">
      <c r="A277" s="57" t="s">
        <v>247</v>
      </c>
      <c r="B277" s="42" t="s">
        <v>64</v>
      </c>
      <c r="C277" s="43">
        <v>4017363</v>
      </c>
      <c r="D277" s="58" t="s">
        <v>438</v>
      </c>
      <c r="E277" s="58" t="s">
        <v>441</v>
      </c>
      <c r="F277" s="45"/>
      <c r="G277" s="45"/>
      <c r="H277" s="45"/>
      <c r="I277" s="45"/>
      <c r="J277" s="46">
        <f>IF(VLOOKUP($C277,REV!$C:$AA,8,0)-'TRADE IN'!$F277=0,"",(VLOOKUP($C277,REV!$C:$AA,8,0)-'TRADE IN'!$F277))</f>
        <v>1199</v>
      </c>
      <c r="K277" s="46">
        <f>IF(VLOOKUP($C277,REV!$C:$AA,9,0)-'TRADE IN'!$F277=0,"",(VLOOKUP($C277,REV!$C:$AA,9,0)-'TRADE IN'!$F277))</f>
        <v>1099</v>
      </c>
      <c r="L277" s="46">
        <f>IF(VLOOKUP($C277,REV!$C:$AA,10,0)-'TRADE IN'!$F277=0,"",(VLOOKUP($C277,REV!$C:$AA,10,0)-'TRADE IN'!$F277))</f>
        <v>1099</v>
      </c>
      <c r="M277" s="46">
        <f>IF(VLOOKUP($C277,REV!$C:$AA,11,0)-'TRADE IN'!$F277=0,"",(VLOOKUP($C277,REV!$C:$AA,11,0)-'TRADE IN'!$F277))</f>
        <v>1199</v>
      </c>
      <c r="N277" s="46">
        <f>IF(VLOOKUP($C277,REV!$C:$AA,12,0)-'TRADE IN'!$F277=0,"",(VLOOKUP($C277,REV!$C:$AA,12,0)-'TRADE IN'!$F277))</f>
        <v>1099</v>
      </c>
      <c r="O277" s="46">
        <f>IF(VLOOKUP($C277,REV!$C:$AA,13,0)-'TRADE IN'!$F277=0,"",(VLOOKUP($C277,REV!$C:$AA,13,0)-'TRADE IN'!$F277))</f>
        <v>1049</v>
      </c>
      <c r="P277" s="46">
        <f>IF(VLOOKUP($C277,REV!$C:$AA,14,0)-'TRADE IN'!$F277=0,"",(VLOOKUP($C277,REV!$C:$AA,14,0)-'TRADE IN'!$F277))</f>
        <v>999</v>
      </c>
      <c r="Q277" s="46">
        <f>IF(VLOOKUP($C277,REV!$C:$AA,15,0)-'TRADE IN'!$F277=0,"",(VLOOKUP($C277,REV!$C:$AA,15,0)-'TRADE IN'!$F277))</f>
        <v>999</v>
      </c>
      <c r="R277" s="46">
        <f>IF(VLOOKUP($C277,REV!$C:$AA,16,0)-'TRADE IN'!$F277=0,"",(VLOOKUP($C277,REV!$C:$AA,16,0)-'TRADE IN'!$F277))</f>
        <v>999</v>
      </c>
      <c r="S277" s="46">
        <f>IF(VLOOKUP($C277,REV!$C:$AA,17,0)-'TRADE IN'!$F277=0,"",(VLOOKUP($C277,REV!$C:$AA,17,0)-'TRADE IN'!$F277))</f>
        <v>999</v>
      </c>
      <c r="T277" s="46">
        <f>IF(VLOOKUP($C277,REV!$C:$AA,18,0)-'TRADE IN'!$F277=0,"",(VLOOKUP($C277,REV!$C:$AA,18,0)-'TRADE IN'!$F277))</f>
        <v>999</v>
      </c>
      <c r="U277" s="46">
        <f>IF(VLOOKUP($C277,REV!$C:$AA,19,0)-'TRADE IN'!$F277=0,"",(VLOOKUP($C277,REV!$C:$AA,19,0)-'TRADE IN'!$F277))</f>
        <v>999</v>
      </c>
      <c r="V277" s="46">
        <f>IF(VLOOKUP($C277,REV!$C:$AA,20,0)-'TRADE IN'!$F277=0,"",(VLOOKUP($C277,REV!$C:$AA,20,0)-'TRADE IN'!$F277))</f>
        <v>999</v>
      </c>
      <c r="W277" s="46">
        <f>IF(VLOOKUP($C277,REV!$C:$AA,21,0)-'TRADE IN'!$F277=0,"",(VLOOKUP($C277,REV!$C:$AA,21,0)-'TRADE IN'!$F277))</f>
        <v>999</v>
      </c>
      <c r="X277" s="46">
        <f>IF(VLOOKUP($C277,REV!$C:$AA,22,0)-'TRADE IN'!$F277=0,"",(VLOOKUP($C277,REV!$C:$AA,22,0)-'TRADE IN'!$F277))</f>
        <v>999</v>
      </c>
      <c r="Y277" s="46">
        <f>IF(VLOOKUP($C277,REV!$C:$AA,23,0)-'TRADE IN'!$F277=0,"",(VLOOKUP($C277,REV!$C:$AA,23,0)-'TRADE IN'!$F277))</f>
        <v>899</v>
      </c>
      <c r="Z277" s="46">
        <f>IF(VLOOKUP($C277,REV!$C:$AA,24,0)-'TRADE IN'!$F277=0,"",(VLOOKUP($C277,REV!$C:$AA,24,0)-'TRADE IN'!$F277))</f>
        <v>899</v>
      </c>
      <c r="AA277" s="46">
        <f>IF(VLOOKUP($C277,REV!$C:$AA,25,0)-'TRADE IN'!$F277=0,"",(VLOOKUP($C277,REV!$C:$AA,25,0)-'TRADE IN'!$F277))</f>
        <v>899</v>
      </c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7"/>
      <c r="AW277" s="48" t="str">
        <f>REV!AW277</f>
        <v>01.12.2026</v>
      </c>
      <c r="AX277" s="153" t="str">
        <f>VLOOKUP(C277,REV!C:AX,48,0)</f>
        <v>4G</v>
      </c>
    </row>
    <row r="278" spans="1:50" ht="22.5" customHeight="1">
      <c r="A278" s="57" t="s">
        <v>247</v>
      </c>
      <c r="B278" s="42" t="s">
        <v>64</v>
      </c>
      <c r="C278" s="43">
        <v>4017383</v>
      </c>
      <c r="D278" s="58" t="s">
        <v>438</v>
      </c>
      <c r="E278" s="58" t="s">
        <v>442</v>
      </c>
      <c r="F278" s="45"/>
      <c r="G278" s="45"/>
      <c r="H278" s="45"/>
      <c r="I278" s="45"/>
      <c r="J278" s="46">
        <f>IF(VLOOKUP($C278,REV!$C:$AA,8,0)-'TRADE IN'!$F278=0,"",(VLOOKUP($C278,REV!$C:$AA,8,0)-'TRADE IN'!$F278))</f>
        <v>1199</v>
      </c>
      <c r="K278" s="46">
        <f>IF(VLOOKUP($C278,REV!$C:$AA,9,0)-'TRADE IN'!$F278=0,"",(VLOOKUP($C278,REV!$C:$AA,9,0)-'TRADE IN'!$F278))</f>
        <v>1099</v>
      </c>
      <c r="L278" s="46">
        <f>IF(VLOOKUP($C278,REV!$C:$AA,10,0)-'TRADE IN'!$F278=0,"",(VLOOKUP($C278,REV!$C:$AA,10,0)-'TRADE IN'!$F278))</f>
        <v>1099</v>
      </c>
      <c r="M278" s="46">
        <f>IF(VLOOKUP($C278,REV!$C:$AA,11,0)-'TRADE IN'!$F278=0,"",(VLOOKUP($C278,REV!$C:$AA,11,0)-'TRADE IN'!$F278))</f>
        <v>1199</v>
      </c>
      <c r="N278" s="46">
        <f>IF(VLOOKUP($C278,REV!$C:$AA,12,0)-'TRADE IN'!$F278=0,"",(VLOOKUP($C278,REV!$C:$AA,12,0)-'TRADE IN'!$F278))</f>
        <v>1099</v>
      </c>
      <c r="O278" s="46">
        <f>IF(VLOOKUP($C278,REV!$C:$AA,13,0)-'TRADE IN'!$F278=0,"",(VLOOKUP($C278,REV!$C:$AA,13,0)-'TRADE IN'!$F278))</f>
        <v>1049</v>
      </c>
      <c r="P278" s="46">
        <f>IF(VLOOKUP($C278,REV!$C:$AA,14,0)-'TRADE IN'!$F278=0,"",(VLOOKUP($C278,REV!$C:$AA,14,0)-'TRADE IN'!$F278))</f>
        <v>999</v>
      </c>
      <c r="Q278" s="46">
        <f>IF(VLOOKUP($C278,REV!$C:$AA,15,0)-'TRADE IN'!$F278=0,"",(VLOOKUP($C278,REV!$C:$AA,15,0)-'TRADE IN'!$F278))</f>
        <v>999</v>
      </c>
      <c r="R278" s="46">
        <f>IF(VLOOKUP($C278,REV!$C:$AA,16,0)-'TRADE IN'!$F278=0,"",(VLOOKUP($C278,REV!$C:$AA,16,0)-'TRADE IN'!$F278))</f>
        <v>999</v>
      </c>
      <c r="S278" s="46">
        <f>IF(VLOOKUP($C278,REV!$C:$AA,17,0)-'TRADE IN'!$F278=0,"",(VLOOKUP($C278,REV!$C:$AA,17,0)-'TRADE IN'!$F278))</f>
        <v>999</v>
      </c>
      <c r="T278" s="46">
        <f>IF(VLOOKUP($C278,REV!$C:$AA,18,0)-'TRADE IN'!$F278=0,"",(VLOOKUP($C278,REV!$C:$AA,18,0)-'TRADE IN'!$F278))</f>
        <v>999</v>
      </c>
      <c r="U278" s="46">
        <f>IF(VLOOKUP($C278,REV!$C:$AA,19,0)-'TRADE IN'!$F278=0,"",(VLOOKUP($C278,REV!$C:$AA,19,0)-'TRADE IN'!$F278))</f>
        <v>999</v>
      </c>
      <c r="V278" s="46">
        <f>IF(VLOOKUP($C278,REV!$C:$AA,20,0)-'TRADE IN'!$F278=0,"",(VLOOKUP($C278,REV!$C:$AA,20,0)-'TRADE IN'!$F278))</f>
        <v>999</v>
      </c>
      <c r="W278" s="46">
        <f>IF(VLOOKUP($C278,REV!$C:$AA,21,0)-'TRADE IN'!$F278=0,"",(VLOOKUP($C278,REV!$C:$AA,21,0)-'TRADE IN'!$F278))</f>
        <v>999</v>
      </c>
      <c r="X278" s="46">
        <f>IF(VLOOKUP($C278,REV!$C:$AA,22,0)-'TRADE IN'!$F278=0,"",(VLOOKUP($C278,REV!$C:$AA,22,0)-'TRADE IN'!$F278))</f>
        <v>999</v>
      </c>
      <c r="Y278" s="46">
        <f>IF(VLOOKUP($C278,REV!$C:$AA,23,0)-'TRADE IN'!$F278=0,"",(VLOOKUP($C278,REV!$C:$AA,23,0)-'TRADE IN'!$F278))</f>
        <v>899</v>
      </c>
      <c r="Z278" s="46">
        <f>IF(VLOOKUP($C278,REV!$C:$AA,24,0)-'TRADE IN'!$F278=0,"",(VLOOKUP($C278,REV!$C:$AA,24,0)-'TRADE IN'!$F278))</f>
        <v>899</v>
      </c>
      <c r="AA278" s="46">
        <f>IF(VLOOKUP($C278,REV!$C:$AA,25,0)-'TRADE IN'!$F278=0,"",(VLOOKUP($C278,REV!$C:$AA,25,0)-'TRADE IN'!$F278))</f>
        <v>899</v>
      </c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7"/>
      <c r="AW278" s="48" t="str">
        <f>REV!AW278</f>
        <v>01.12.2026</v>
      </c>
      <c r="AX278" s="153" t="str">
        <f>VLOOKUP(C278,REV!C:AX,48,0)</f>
        <v>4G</v>
      </c>
    </row>
    <row r="279" spans="1:50" ht="22.5" customHeight="1">
      <c r="A279" s="57" t="s">
        <v>247</v>
      </c>
      <c r="B279" s="42" t="s">
        <v>64</v>
      </c>
      <c r="C279" s="43">
        <v>4017358</v>
      </c>
      <c r="D279" s="58" t="s">
        <v>443</v>
      </c>
      <c r="E279" s="58" t="s">
        <v>444</v>
      </c>
      <c r="F279" s="45"/>
      <c r="G279" s="45"/>
      <c r="H279" s="45"/>
      <c r="I279" s="45"/>
      <c r="J279" s="46">
        <f>IF(VLOOKUP($C279,REV!$C:$AA,8,0)-'TRADE IN'!$F279=0,"",(VLOOKUP($C279,REV!$C:$AA,8,0)-'TRADE IN'!$F279))</f>
        <v>1199</v>
      </c>
      <c r="K279" s="46">
        <f>IF(VLOOKUP($C279,REV!$C:$AA,9,0)-'TRADE IN'!$F279=0,"",(VLOOKUP($C279,REV!$C:$AA,9,0)-'TRADE IN'!$F279))</f>
        <v>1149</v>
      </c>
      <c r="L279" s="46">
        <f>IF(VLOOKUP($C279,REV!$C:$AA,10,0)-'TRADE IN'!$F279=0,"",(VLOOKUP($C279,REV!$C:$AA,10,0)-'TRADE IN'!$F279))</f>
        <v>1149</v>
      </c>
      <c r="M279" s="46">
        <f>IF(VLOOKUP($C279,REV!$C:$AA,11,0)-'TRADE IN'!$F279=0,"",(VLOOKUP($C279,REV!$C:$AA,11,0)-'TRADE IN'!$F279))</f>
        <v>1199</v>
      </c>
      <c r="N279" s="46">
        <f>IF(VLOOKUP($C279,REV!$C:$AA,12,0)-'TRADE IN'!$F279=0,"",(VLOOKUP($C279,REV!$C:$AA,12,0)-'TRADE IN'!$F279))</f>
        <v>1149</v>
      </c>
      <c r="O279" s="46">
        <f>IF(VLOOKUP($C279,REV!$C:$AA,13,0)-'TRADE IN'!$F279=0,"",(VLOOKUP($C279,REV!$C:$AA,13,0)-'TRADE IN'!$F279))</f>
        <v>1049</v>
      </c>
      <c r="P279" s="46">
        <f>IF(VLOOKUP($C279,REV!$C:$AA,14,0)-'TRADE IN'!$F279=0,"",(VLOOKUP($C279,REV!$C:$AA,14,0)-'TRADE IN'!$F279))</f>
        <v>1049</v>
      </c>
      <c r="Q279" s="46">
        <f>IF(VLOOKUP($C279,REV!$C:$AA,15,0)-'TRADE IN'!$F279=0,"",(VLOOKUP($C279,REV!$C:$AA,15,0)-'TRADE IN'!$F279))</f>
        <v>999</v>
      </c>
      <c r="R279" s="46">
        <f>IF(VLOOKUP($C279,REV!$C:$AA,16,0)-'TRADE IN'!$F279=0,"",(VLOOKUP($C279,REV!$C:$AA,16,0)-'TRADE IN'!$F279))</f>
        <v>1049</v>
      </c>
      <c r="S279" s="46">
        <f>IF(VLOOKUP($C279,REV!$C:$AA,17,0)-'TRADE IN'!$F279=0,"",(VLOOKUP($C279,REV!$C:$AA,17,0)-'TRADE IN'!$F279))</f>
        <v>1049</v>
      </c>
      <c r="T279" s="46">
        <f>IF(VLOOKUP($C279,REV!$C:$AA,18,0)-'TRADE IN'!$F279=0,"",(VLOOKUP($C279,REV!$C:$AA,18,0)-'TRADE IN'!$F279))</f>
        <v>999</v>
      </c>
      <c r="U279" s="46">
        <f>IF(VLOOKUP($C279,REV!$C:$AA,19,0)-'TRADE IN'!$F279=0,"",(VLOOKUP($C279,REV!$C:$AA,19,0)-'TRADE IN'!$F279))</f>
        <v>999</v>
      </c>
      <c r="V279" s="46">
        <f>IF(VLOOKUP($C279,REV!$C:$AA,20,0)-'TRADE IN'!$F279=0,"",(VLOOKUP($C279,REV!$C:$AA,20,0)-'TRADE IN'!$F279))</f>
        <v>999</v>
      </c>
      <c r="W279" s="46">
        <f>IF(VLOOKUP($C279,REV!$C:$AA,21,0)-'TRADE IN'!$F279=0,"",(VLOOKUP($C279,REV!$C:$AA,21,0)-'TRADE IN'!$F279))</f>
        <v>999</v>
      </c>
      <c r="X279" s="46">
        <f>IF(VLOOKUP($C279,REV!$C:$AA,22,0)-'TRADE IN'!$F279=0,"",(VLOOKUP($C279,REV!$C:$AA,22,0)-'TRADE IN'!$F279))</f>
        <v>999</v>
      </c>
      <c r="Y279" s="46">
        <f>IF(VLOOKUP($C279,REV!$C:$AA,23,0)-'TRADE IN'!$F279=0,"",(VLOOKUP($C279,REV!$C:$AA,23,0)-'TRADE IN'!$F279))</f>
        <v>899</v>
      </c>
      <c r="Z279" s="46">
        <f>IF(VLOOKUP($C279,REV!$C:$AA,24,0)-'TRADE IN'!$F279=0,"",(VLOOKUP($C279,REV!$C:$AA,24,0)-'TRADE IN'!$F279))</f>
        <v>899</v>
      </c>
      <c r="AA279" s="46">
        <f>IF(VLOOKUP($C279,REV!$C:$AA,25,0)-'TRADE IN'!$F279=0,"",(VLOOKUP($C279,REV!$C:$AA,25,0)-'TRADE IN'!$F279))</f>
        <v>899</v>
      </c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7"/>
      <c r="AW279" s="48" t="str">
        <f>REV!AW279</f>
        <v>01.12.2026</v>
      </c>
      <c r="AX279" s="153" t="str">
        <f>VLOOKUP(C279,REV!C:AX,48,0)</f>
        <v>5G</v>
      </c>
    </row>
    <row r="280" spans="1:50" ht="22.5" customHeight="1">
      <c r="A280" s="57" t="s">
        <v>247</v>
      </c>
      <c r="B280" s="42" t="s">
        <v>64</v>
      </c>
      <c r="C280" s="43">
        <v>4017365</v>
      </c>
      <c r="D280" s="58" t="s">
        <v>443</v>
      </c>
      <c r="E280" s="58" t="s">
        <v>445</v>
      </c>
      <c r="F280" s="45"/>
      <c r="G280" s="45"/>
      <c r="H280" s="45"/>
      <c r="I280" s="45"/>
      <c r="J280" s="46">
        <f>IF(VLOOKUP($C280,REV!$C:$AA,8,0)-'TRADE IN'!$F280=0,"",(VLOOKUP($C280,REV!$C:$AA,8,0)-'TRADE IN'!$F280))</f>
        <v>1199</v>
      </c>
      <c r="K280" s="46">
        <f>IF(VLOOKUP($C280,REV!$C:$AA,9,0)-'TRADE IN'!$F280=0,"",(VLOOKUP($C280,REV!$C:$AA,9,0)-'TRADE IN'!$F280))</f>
        <v>1149</v>
      </c>
      <c r="L280" s="46">
        <f>IF(VLOOKUP($C280,REV!$C:$AA,10,0)-'TRADE IN'!$F280=0,"",(VLOOKUP($C280,REV!$C:$AA,10,0)-'TRADE IN'!$F280))</f>
        <v>1149</v>
      </c>
      <c r="M280" s="46">
        <f>IF(VLOOKUP($C280,REV!$C:$AA,11,0)-'TRADE IN'!$F280=0,"",(VLOOKUP($C280,REV!$C:$AA,11,0)-'TRADE IN'!$F280))</f>
        <v>1199</v>
      </c>
      <c r="N280" s="46">
        <f>IF(VLOOKUP($C280,REV!$C:$AA,12,0)-'TRADE IN'!$F280=0,"",(VLOOKUP($C280,REV!$C:$AA,12,0)-'TRADE IN'!$F280))</f>
        <v>1149</v>
      </c>
      <c r="O280" s="46">
        <f>IF(VLOOKUP($C280,REV!$C:$AA,13,0)-'TRADE IN'!$F280=0,"",(VLOOKUP($C280,REV!$C:$AA,13,0)-'TRADE IN'!$F280))</f>
        <v>1049</v>
      </c>
      <c r="P280" s="46">
        <f>IF(VLOOKUP($C280,REV!$C:$AA,14,0)-'TRADE IN'!$F280=0,"",(VLOOKUP($C280,REV!$C:$AA,14,0)-'TRADE IN'!$F280))</f>
        <v>1049</v>
      </c>
      <c r="Q280" s="46">
        <f>IF(VLOOKUP($C280,REV!$C:$AA,15,0)-'TRADE IN'!$F280=0,"",(VLOOKUP($C280,REV!$C:$AA,15,0)-'TRADE IN'!$F280))</f>
        <v>999</v>
      </c>
      <c r="R280" s="46">
        <f>IF(VLOOKUP($C280,REV!$C:$AA,16,0)-'TRADE IN'!$F280=0,"",(VLOOKUP($C280,REV!$C:$AA,16,0)-'TRADE IN'!$F280))</f>
        <v>1049</v>
      </c>
      <c r="S280" s="46">
        <f>IF(VLOOKUP($C280,REV!$C:$AA,17,0)-'TRADE IN'!$F280=0,"",(VLOOKUP($C280,REV!$C:$AA,17,0)-'TRADE IN'!$F280))</f>
        <v>1049</v>
      </c>
      <c r="T280" s="46">
        <f>IF(VLOOKUP($C280,REV!$C:$AA,18,0)-'TRADE IN'!$F280=0,"",(VLOOKUP($C280,REV!$C:$AA,18,0)-'TRADE IN'!$F280))</f>
        <v>999</v>
      </c>
      <c r="U280" s="46">
        <f>IF(VLOOKUP($C280,REV!$C:$AA,19,0)-'TRADE IN'!$F280=0,"",(VLOOKUP($C280,REV!$C:$AA,19,0)-'TRADE IN'!$F280))</f>
        <v>999</v>
      </c>
      <c r="V280" s="46">
        <f>IF(VLOOKUP($C280,REV!$C:$AA,20,0)-'TRADE IN'!$F280=0,"",(VLOOKUP($C280,REV!$C:$AA,20,0)-'TRADE IN'!$F280))</f>
        <v>999</v>
      </c>
      <c r="W280" s="46">
        <f>IF(VLOOKUP($C280,REV!$C:$AA,21,0)-'TRADE IN'!$F280=0,"",(VLOOKUP($C280,REV!$C:$AA,21,0)-'TRADE IN'!$F280))</f>
        <v>999</v>
      </c>
      <c r="X280" s="46">
        <f>IF(VLOOKUP($C280,REV!$C:$AA,22,0)-'TRADE IN'!$F280=0,"",(VLOOKUP($C280,REV!$C:$AA,22,0)-'TRADE IN'!$F280))</f>
        <v>999</v>
      </c>
      <c r="Y280" s="46">
        <f>IF(VLOOKUP($C280,REV!$C:$AA,23,0)-'TRADE IN'!$F280=0,"",(VLOOKUP($C280,REV!$C:$AA,23,0)-'TRADE IN'!$F280))</f>
        <v>899</v>
      </c>
      <c r="Z280" s="46">
        <f>IF(VLOOKUP($C280,REV!$C:$AA,24,0)-'TRADE IN'!$F280=0,"",(VLOOKUP($C280,REV!$C:$AA,24,0)-'TRADE IN'!$F280))</f>
        <v>899</v>
      </c>
      <c r="AA280" s="46">
        <f>IF(VLOOKUP($C280,REV!$C:$AA,25,0)-'TRADE IN'!$F280=0,"",(VLOOKUP($C280,REV!$C:$AA,25,0)-'TRADE IN'!$F280))</f>
        <v>899</v>
      </c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7"/>
      <c r="AW280" s="48" t="str">
        <f>REV!AW280</f>
        <v>01.12.2026</v>
      </c>
      <c r="AX280" s="153" t="str">
        <f>VLOOKUP(C280,REV!C:AX,48,0)</f>
        <v>5G</v>
      </c>
    </row>
    <row r="281" spans="1:50" ht="22.5" customHeight="1">
      <c r="A281" s="57" t="s">
        <v>247</v>
      </c>
      <c r="B281" s="42" t="s">
        <v>64</v>
      </c>
      <c r="C281" s="43">
        <v>4017378</v>
      </c>
      <c r="D281" s="58" t="s">
        <v>443</v>
      </c>
      <c r="E281" s="58" t="s">
        <v>446</v>
      </c>
      <c r="F281" s="45"/>
      <c r="G281" s="45"/>
      <c r="H281" s="45"/>
      <c r="I281" s="45"/>
      <c r="J281" s="46">
        <f>IF(VLOOKUP($C281,REV!$C:$AA,8,0)-'TRADE IN'!$F281=0,"",(VLOOKUP($C281,REV!$C:$AA,8,0)-'TRADE IN'!$F281))</f>
        <v>1199</v>
      </c>
      <c r="K281" s="46">
        <f>IF(VLOOKUP($C281,REV!$C:$AA,9,0)-'TRADE IN'!$F281=0,"",(VLOOKUP($C281,REV!$C:$AA,9,0)-'TRADE IN'!$F281))</f>
        <v>1149</v>
      </c>
      <c r="L281" s="46">
        <f>IF(VLOOKUP($C281,REV!$C:$AA,10,0)-'TRADE IN'!$F281=0,"",(VLOOKUP($C281,REV!$C:$AA,10,0)-'TRADE IN'!$F281))</f>
        <v>1149</v>
      </c>
      <c r="M281" s="46">
        <f>IF(VLOOKUP($C281,REV!$C:$AA,11,0)-'TRADE IN'!$F281=0,"",(VLOOKUP($C281,REV!$C:$AA,11,0)-'TRADE IN'!$F281))</f>
        <v>1199</v>
      </c>
      <c r="N281" s="46">
        <f>IF(VLOOKUP($C281,REV!$C:$AA,12,0)-'TRADE IN'!$F281=0,"",(VLOOKUP($C281,REV!$C:$AA,12,0)-'TRADE IN'!$F281))</f>
        <v>1149</v>
      </c>
      <c r="O281" s="46">
        <f>IF(VLOOKUP($C281,REV!$C:$AA,13,0)-'TRADE IN'!$F281=0,"",(VLOOKUP($C281,REV!$C:$AA,13,0)-'TRADE IN'!$F281))</f>
        <v>1049</v>
      </c>
      <c r="P281" s="46">
        <f>IF(VLOOKUP($C281,REV!$C:$AA,14,0)-'TRADE IN'!$F281=0,"",(VLOOKUP($C281,REV!$C:$AA,14,0)-'TRADE IN'!$F281))</f>
        <v>1049</v>
      </c>
      <c r="Q281" s="46">
        <f>IF(VLOOKUP($C281,REV!$C:$AA,15,0)-'TRADE IN'!$F281=0,"",(VLOOKUP($C281,REV!$C:$AA,15,0)-'TRADE IN'!$F281))</f>
        <v>999</v>
      </c>
      <c r="R281" s="46">
        <f>IF(VLOOKUP($C281,REV!$C:$AA,16,0)-'TRADE IN'!$F281=0,"",(VLOOKUP($C281,REV!$C:$AA,16,0)-'TRADE IN'!$F281))</f>
        <v>1049</v>
      </c>
      <c r="S281" s="46">
        <f>IF(VLOOKUP($C281,REV!$C:$AA,17,0)-'TRADE IN'!$F281=0,"",(VLOOKUP($C281,REV!$C:$AA,17,0)-'TRADE IN'!$F281))</f>
        <v>1049</v>
      </c>
      <c r="T281" s="46">
        <f>IF(VLOOKUP($C281,REV!$C:$AA,18,0)-'TRADE IN'!$F281=0,"",(VLOOKUP($C281,REV!$C:$AA,18,0)-'TRADE IN'!$F281))</f>
        <v>999</v>
      </c>
      <c r="U281" s="46">
        <f>IF(VLOOKUP($C281,REV!$C:$AA,19,0)-'TRADE IN'!$F281=0,"",(VLOOKUP($C281,REV!$C:$AA,19,0)-'TRADE IN'!$F281))</f>
        <v>999</v>
      </c>
      <c r="V281" s="46">
        <f>IF(VLOOKUP($C281,REV!$C:$AA,20,0)-'TRADE IN'!$F281=0,"",(VLOOKUP($C281,REV!$C:$AA,20,0)-'TRADE IN'!$F281))</f>
        <v>999</v>
      </c>
      <c r="W281" s="46">
        <f>IF(VLOOKUP($C281,REV!$C:$AA,21,0)-'TRADE IN'!$F281=0,"",(VLOOKUP($C281,REV!$C:$AA,21,0)-'TRADE IN'!$F281))</f>
        <v>999</v>
      </c>
      <c r="X281" s="46">
        <f>IF(VLOOKUP($C281,REV!$C:$AA,22,0)-'TRADE IN'!$F281=0,"",(VLOOKUP($C281,REV!$C:$AA,22,0)-'TRADE IN'!$F281))</f>
        <v>999</v>
      </c>
      <c r="Y281" s="46">
        <f>IF(VLOOKUP($C281,REV!$C:$AA,23,0)-'TRADE IN'!$F281=0,"",(VLOOKUP($C281,REV!$C:$AA,23,0)-'TRADE IN'!$F281))</f>
        <v>899</v>
      </c>
      <c r="Z281" s="46">
        <f>IF(VLOOKUP($C281,REV!$C:$AA,24,0)-'TRADE IN'!$F281=0,"",(VLOOKUP($C281,REV!$C:$AA,24,0)-'TRADE IN'!$F281))</f>
        <v>899</v>
      </c>
      <c r="AA281" s="46">
        <f>IF(VLOOKUP($C281,REV!$C:$AA,25,0)-'TRADE IN'!$F281=0,"",(VLOOKUP($C281,REV!$C:$AA,25,0)-'TRADE IN'!$F281))</f>
        <v>899</v>
      </c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7"/>
      <c r="AW281" s="48" t="str">
        <f>REV!AW281</f>
        <v>01.12.2026</v>
      </c>
      <c r="AX281" s="153" t="str">
        <f>VLOOKUP(C281,REV!C:AX,48,0)</f>
        <v>5G</v>
      </c>
    </row>
    <row r="282" spans="1:50" ht="22.5" customHeight="1">
      <c r="A282" s="57" t="s">
        <v>247</v>
      </c>
      <c r="B282" s="42" t="s">
        <v>64</v>
      </c>
      <c r="C282" s="43">
        <v>4017384</v>
      </c>
      <c r="D282" s="58" t="s">
        <v>443</v>
      </c>
      <c r="E282" s="58" t="s">
        <v>447</v>
      </c>
      <c r="F282" s="45"/>
      <c r="G282" s="45"/>
      <c r="H282" s="45"/>
      <c r="I282" s="45"/>
      <c r="J282" s="46">
        <f>IF(VLOOKUP($C282,REV!$C:$AA,8,0)-'TRADE IN'!$F282=0,"",(VLOOKUP($C282,REV!$C:$AA,8,0)-'TRADE IN'!$F282))</f>
        <v>1199</v>
      </c>
      <c r="K282" s="46">
        <f>IF(VLOOKUP($C282,REV!$C:$AA,9,0)-'TRADE IN'!$F282=0,"",(VLOOKUP($C282,REV!$C:$AA,9,0)-'TRADE IN'!$F282))</f>
        <v>1149</v>
      </c>
      <c r="L282" s="46">
        <f>IF(VLOOKUP($C282,REV!$C:$AA,10,0)-'TRADE IN'!$F282=0,"",(VLOOKUP($C282,REV!$C:$AA,10,0)-'TRADE IN'!$F282))</f>
        <v>1149</v>
      </c>
      <c r="M282" s="46">
        <f>IF(VLOOKUP($C282,REV!$C:$AA,11,0)-'TRADE IN'!$F282=0,"",(VLOOKUP($C282,REV!$C:$AA,11,0)-'TRADE IN'!$F282))</f>
        <v>1199</v>
      </c>
      <c r="N282" s="46">
        <f>IF(VLOOKUP($C282,REV!$C:$AA,12,0)-'TRADE IN'!$F282=0,"",(VLOOKUP($C282,REV!$C:$AA,12,0)-'TRADE IN'!$F282))</f>
        <v>1149</v>
      </c>
      <c r="O282" s="46">
        <f>IF(VLOOKUP($C282,REV!$C:$AA,13,0)-'TRADE IN'!$F282=0,"",(VLOOKUP($C282,REV!$C:$AA,13,0)-'TRADE IN'!$F282))</f>
        <v>1049</v>
      </c>
      <c r="P282" s="46">
        <f>IF(VLOOKUP($C282,REV!$C:$AA,14,0)-'TRADE IN'!$F282=0,"",(VLOOKUP($C282,REV!$C:$AA,14,0)-'TRADE IN'!$F282))</f>
        <v>1049</v>
      </c>
      <c r="Q282" s="46">
        <f>IF(VLOOKUP($C282,REV!$C:$AA,15,0)-'TRADE IN'!$F282=0,"",(VLOOKUP($C282,REV!$C:$AA,15,0)-'TRADE IN'!$F282))</f>
        <v>999</v>
      </c>
      <c r="R282" s="46">
        <f>IF(VLOOKUP($C282,REV!$C:$AA,16,0)-'TRADE IN'!$F282=0,"",(VLOOKUP($C282,REV!$C:$AA,16,0)-'TRADE IN'!$F282))</f>
        <v>1049</v>
      </c>
      <c r="S282" s="46">
        <f>IF(VLOOKUP($C282,REV!$C:$AA,17,0)-'TRADE IN'!$F282=0,"",(VLOOKUP($C282,REV!$C:$AA,17,0)-'TRADE IN'!$F282))</f>
        <v>1049</v>
      </c>
      <c r="T282" s="46">
        <f>IF(VLOOKUP($C282,REV!$C:$AA,18,0)-'TRADE IN'!$F282=0,"",(VLOOKUP($C282,REV!$C:$AA,18,0)-'TRADE IN'!$F282))</f>
        <v>999</v>
      </c>
      <c r="U282" s="46">
        <f>IF(VLOOKUP($C282,REV!$C:$AA,19,0)-'TRADE IN'!$F282=0,"",(VLOOKUP($C282,REV!$C:$AA,19,0)-'TRADE IN'!$F282))</f>
        <v>999</v>
      </c>
      <c r="V282" s="46">
        <f>IF(VLOOKUP($C282,REV!$C:$AA,20,0)-'TRADE IN'!$F282=0,"",(VLOOKUP($C282,REV!$C:$AA,20,0)-'TRADE IN'!$F282))</f>
        <v>999</v>
      </c>
      <c r="W282" s="46">
        <f>IF(VLOOKUP($C282,REV!$C:$AA,21,0)-'TRADE IN'!$F282=0,"",(VLOOKUP($C282,REV!$C:$AA,21,0)-'TRADE IN'!$F282))</f>
        <v>999</v>
      </c>
      <c r="X282" s="46">
        <f>IF(VLOOKUP($C282,REV!$C:$AA,22,0)-'TRADE IN'!$F282=0,"",(VLOOKUP($C282,REV!$C:$AA,22,0)-'TRADE IN'!$F282))</f>
        <v>999</v>
      </c>
      <c r="Y282" s="46">
        <f>IF(VLOOKUP($C282,REV!$C:$AA,23,0)-'TRADE IN'!$F282=0,"",(VLOOKUP($C282,REV!$C:$AA,23,0)-'TRADE IN'!$F282))</f>
        <v>899</v>
      </c>
      <c r="Z282" s="46">
        <f>IF(VLOOKUP($C282,REV!$C:$AA,24,0)-'TRADE IN'!$F282=0,"",(VLOOKUP($C282,REV!$C:$AA,24,0)-'TRADE IN'!$F282))</f>
        <v>899</v>
      </c>
      <c r="AA282" s="46">
        <f>IF(VLOOKUP($C282,REV!$C:$AA,25,0)-'TRADE IN'!$F282=0,"",(VLOOKUP($C282,REV!$C:$AA,25,0)-'TRADE IN'!$F282))</f>
        <v>899</v>
      </c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7"/>
      <c r="AW282" s="48" t="str">
        <f>REV!AW282</f>
        <v>01.12.2026</v>
      </c>
      <c r="AX282" s="153" t="str">
        <f>VLOOKUP(C282,REV!C:AX,48,0)</f>
        <v>5G</v>
      </c>
    </row>
    <row r="283" spans="1:50" ht="22.5" customHeight="1">
      <c r="A283" s="57" t="s">
        <v>247</v>
      </c>
      <c r="B283" s="42" t="s">
        <v>64</v>
      </c>
      <c r="C283" s="43">
        <v>4017371</v>
      </c>
      <c r="D283" s="58" t="s">
        <v>443</v>
      </c>
      <c r="E283" s="58" t="s">
        <v>448</v>
      </c>
      <c r="F283" s="45"/>
      <c r="G283" s="45"/>
      <c r="H283" s="45"/>
      <c r="I283" s="45"/>
      <c r="J283" s="46">
        <f>IF(VLOOKUP($C283,REV!$C:$AA,8,0)-'TRADE IN'!$F283=0,"",(VLOOKUP($C283,REV!$C:$AA,8,0)-'TRADE IN'!$F283))</f>
        <v>1199</v>
      </c>
      <c r="K283" s="46">
        <f>IF(VLOOKUP($C283,REV!$C:$AA,9,0)-'TRADE IN'!$F283=0,"",(VLOOKUP($C283,REV!$C:$AA,9,0)-'TRADE IN'!$F283))</f>
        <v>1149</v>
      </c>
      <c r="L283" s="46">
        <f>IF(VLOOKUP($C283,REV!$C:$AA,10,0)-'TRADE IN'!$F283=0,"",(VLOOKUP($C283,REV!$C:$AA,10,0)-'TRADE IN'!$F283))</f>
        <v>1149</v>
      </c>
      <c r="M283" s="46">
        <f>IF(VLOOKUP($C283,REV!$C:$AA,11,0)-'TRADE IN'!$F283=0,"",(VLOOKUP($C283,REV!$C:$AA,11,0)-'TRADE IN'!$F283))</f>
        <v>1199</v>
      </c>
      <c r="N283" s="46">
        <f>IF(VLOOKUP($C283,REV!$C:$AA,12,0)-'TRADE IN'!$F283=0,"",(VLOOKUP($C283,REV!$C:$AA,12,0)-'TRADE IN'!$F283))</f>
        <v>1149</v>
      </c>
      <c r="O283" s="46">
        <f>IF(VLOOKUP($C283,REV!$C:$AA,13,0)-'TRADE IN'!$F283=0,"",(VLOOKUP($C283,REV!$C:$AA,13,0)-'TRADE IN'!$F283))</f>
        <v>1049</v>
      </c>
      <c r="P283" s="46">
        <f>IF(VLOOKUP($C283,REV!$C:$AA,14,0)-'TRADE IN'!$F283=0,"",(VLOOKUP($C283,REV!$C:$AA,14,0)-'TRADE IN'!$F283))</f>
        <v>1049</v>
      </c>
      <c r="Q283" s="46">
        <f>IF(VLOOKUP($C283,REV!$C:$AA,15,0)-'TRADE IN'!$F283=0,"",(VLOOKUP($C283,REV!$C:$AA,15,0)-'TRADE IN'!$F283))</f>
        <v>999</v>
      </c>
      <c r="R283" s="46">
        <f>IF(VLOOKUP($C283,REV!$C:$AA,16,0)-'TRADE IN'!$F283=0,"",(VLOOKUP($C283,REV!$C:$AA,16,0)-'TRADE IN'!$F283))</f>
        <v>1049</v>
      </c>
      <c r="S283" s="46">
        <f>IF(VLOOKUP($C283,REV!$C:$AA,17,0)-'TRADE IN'!$F283=0,"",(VLOOKUP($C283,REV!$C:$AA,17,0)-'TRADE IN'!$F283))</f>
        <v>1049</v>
      </c>
      <c r="T283" s="46">
        <f>IF(VLOOKUP($C283,REV!$C:$AA,18,0)-'TRADE IN'!$F283=0,"",(VLOOKUP($C283,REV!$C:$AA,18,0)-'TRADE IN'!$F283))</f>
        <v>999</v>
      </c>
      <c r="U283" s="46">
        <f>IF(VLOOKUP($C283,REV!$C:$AA,19,0)-'TRADE IN'!$F283=0,"",(VLOOKUP($C283,REV!$C:$AA,19,0)-'TRADE IN'!$F283))</f>
        <v>999</v>
      </c>
      <c r="V283" s="46">
        <f>IF(VLOOKUP($C283,REV!$C:$AA,20,0)-'TRADE IN'!$F283=0,"",(VLOOKUP($C283,REV!$C:$AA,20,0)-'TRADE IN'!$F283))</f>
        <v>999</v>
      </c>
      <c r="W283" s="46">
        <f>IF(VLOOKUP($C283,REV!$C:$AA,21,0)-'TRADE IN'!$F283=0,"",(VLOOKUP($C283,REV!$C:$AA,21,0)-'TRADE IN'!$F283))</f>
        <v>999</v>
      </c>
      <c r="X283" s="46">
        <f>IF(VLOOKUP($C283,REV!$C:$AA,22,0)-'TRADE IN'!$F283=0,"",(VLOOKUP($C283,REV!$C:$AA,22,0)-'TRADE IN'!$F283))</f>
        <v>999</v>
      </c>
      <c r="Y283" s="46">
        <f>IF(VLOOKUP($C283,REV!$C:$AA,23,0)-'TRADE IN'!$F283=0,"",(VLOOKUP($C283,REV!$C:$AA,23,0)-'TRADE IN'!$F283))</f>
        <v>899</v>
      </c>
      <c r="Z283" s="46">
        <f>IF(VLOOKUP($C283,REV!$C:$AA,24,0)-'TRADE IN'!$F283=0,"",(VLOOKUP($C283,REV!$C:$AA,24,0)-'TRADE IN'!$F283))</f>
        <v>899</v>
      </c>
      <c r="AA283" s="46">
        <f>IF(VLOOKUP($C283,REV!$C:$AA,25,0)-'TRADE IN'!$F283=0,"",(VLOOKUP($C283,REV!$C:$AA,25,0)-'TRADE IN'!$F283))</f>
        <v>899</v>
      </c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7"/>
      <c r="AW283" s="48" t="str">
        <f>REV!AW283</f>
        <v>01.12.2026</v>
      </c>
      <c r="AX283" s="153" t="str">
        <f>VLOOKUP(C283,REV!C:AX,48,0)</f>
        <v>5G</v>
      </c>
    </row>
    <row r="284" spans="1:50" ht="22.5" customHeight="1">
      <c r="A284" s="57" t="s">
        <v>247</v>
      </c>
      <c r="B284" s="42" t="s">
        <v>64</v>
      </c>
      <c r="C284" s="43">
        <v>4017350</v>
      </c>
      <c r="D284" s="58" t="s">
        <v>443</v>
      </c>
      <c r="E284" s="58" t="s">
        <v>449</v>
      </c>
      <c r="F284" s="45"/>
      <c r="G284" s="45"/>
      <c r="H284" s="45"/>
      <c r="I284" s="45"/>
      <c r="J284" s="46">
        <f>IF(VLOOKUP($C284,REV!$C:$AA,8,0)-'TRADE IN'!$F284=0,"",(VLOOKUP($C284,REV!$C:$AA,8,0)-'TRADE IN'!$F284))</f>
        <v>1199</v>
      </c>
      <c r="K284" s="46">
        <f>IF(VLOOKUP($C284,REV!$C:$AA,9,0)-'TRADE IN'!$F284=0,"",(VLOOKUP($C284,REV!$C:$AA,9,0)-'TRADE IN'!$F284))</f>
        <v>1149</v>
      </c>
      <c r="L284" s="46">
        <f>IF(VLOOKUP($C284,REV!$C:$AA,10,0)-'TRADE IN'!$F284=0,"",(VLOOKUP($C284,REV!$C:$AA,10,0)-'TRADE IN'!$F284))</f>
        <v>1149</v>
      </c>
      <c r="M284" s="46">
        <f>IF(VLOOKUP($C284,REV!$C:$AA,11,0)-'TRADE IN'!$F284=0,"",(VLOOKUP($C284,REV!$C:$AA,11,0)-'TRADE IN'!$F284))</f>
        <v>1199</v>
      </c>
      <c r="N284" s="46">
        <f>IF(VLOOKUP($C284,REV!$C:$AA,12,0)-'TRADE IN'!$F284=0,"",(VLOOKUP($C284,REV!$C:$AA,12,0)-'TRADE IN'!$F284))</f>
        <v>1149</v>
      </c>
      <c r="O284" s="46">
        <f>IF(VLOOKUP($C284,REV!$C:$AA,13,0)-'TRADE IN'!$F284=0,"",(VLOOKUP($C284,REV!$C:$AA,13,0)-'TRADE IN'!$F284))</f>
        <v>1049</v>
      </c>
      <c r="P284" s="46">
        <f>IF(VLOOKUP($C284,REV!$C:$AA,14,0)-'TRADE IN'!$F284=0,"",(VLOOKUP($C284,REV!$C:$AA,14,0)-'TRADE IN'!$F284))</f>
        <v>1049</v>
      </c>
      <c r="Q284" s="46">
        <f>IF(VLOOKUP($C284,REV!$C:$AA,15,0)-'TRADE IN'!$F284=0,"",(VLOOKUP($C284,REV!$C:$AA,15,0)-'TRADE IN'!$F284))</f>
        <v>999</v>
      </c>
      <c r="R284" s="46">
        <f>IF(VLOOKUP($C284,REV!$C:$AA,16,0)-'TRADE IN'!$F284=0,"",(VLOOKUP($C284,REV!$C:$AA,16,0)-'TRADE IN'!$F284))</f>
        <v>1049</v>
      </c>
      <c r="S284" s="46">
        <f>IF(VLOOKUP($C284,REV!$C:$AA,17,0)-'TRADE IN'!$F284=0,"",(VLOOKUP($C284,REV!$C:$AA,17,0)-'TRADE IN'!$F284))</f>
        <v>1049</v>
      </c>
      <c r="T284" s="46">
        <f>IF(VLOOKUP($C284,REV!$C:$AA,18,0)-'TRADE IN'!$F284=0,"",(VLOOKUP($C284,REV!$C:$AA,18,0)-'TRADE IN'!$F284))</f>
        <v>999</v>
      </c>
      <c r="U284" s="46">
        <f>IF(VLOOKUP($C284,REV!$C:$AA,19,0)-'TRADE IN'!$F284=0,"",(VLOOKUP($C284,REV!$C:$AA,19,0)-'TRADE IN'!$F284))</f>
        <v>999</v>
      </c>
      <c r="V284" s="46">
        <f>IF(VLOOKUP($C284,REV!$C:$AA,20,0)-'TRADE IN'!$F284=0,"",(VLOOKUP($C284,REV!$C:$AA,20,0)-'TRADE IN'!$F284))</f>
        <v>999</v>
      </c>
      <c r="W284" s="46">
        <f>IF(VLOOKUP($C284,REV!$C:$AA,21,0)-'TRADE IN'!$F284=0,"",(VLOOKUP($C284,REV!$C:$AA,21,0)-'TRADE IN'!$F284))</f>
        <v>999</v>
      </c>
      <c r="X284" s="46">
        <f>IF(VLOOKUP($C284,REV!$C:$AA,22,0)-'TRADE IN'!$F284=0,"",(VLOOKUP($C284,REV!$C:$AA,22,0)-'TRADE IN'!$F284))</f>
        <v>999</v>
      </c>
      <c r="Y284" s="46">
        <f>IF(VLOOKUP($C284,REV!$C:$AA,23,0)-'TRADE IN'!$F284=0,"",(VLOOKUP($C284,REV!$C:$AA,23,0)-'TRADE IN'!$F284))</f>
        <v>899</v>
      </c>
      <c r="Z284" s="46">
        <f>IF(VLOOKUP($C284,REV!$C:$AA,24,0)-'TRADE IN'!$F284=0,"",(VLOOKUP($C284,REV!$C:$AA,24,0)-'TRADE IN'!$F284))</f>
        <v>899</v>
      </c>
      <c r="AA284" s="46">
        <f>IF(VLOOKUP($C284,REV!$C:$AA,25,0)-'TRADE IN'!$F284=0,"",(VLOOKUP($C284,REV!$C:$AA,25,0)-'TRADE IN'!$F284))</f>
        <v>899</v>
      </c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7"/>
      <c r="AW284" s="48" t="str">
        <f>REV!AW284</f>
        <v>01.12.2026</v>
      </c>
      <c r="AX284" s="153" t="str">
        <f>VLOOKUP(C284,REV!C:AX,48,0)</f>
        <v>5G</v>
      </c>
    </row>
    <row r="285" spans="1:50" ht="22.5" customHeight="1">
      <c r="A285" s="57" t="s">
        <v>247</v>
      </c>
      <c r="B285" s="42" t="s">
        <v>64</v>
      </c>
      <c r="C285" s="43">
        <v>4017360</v>
      </c>
      <c r="D285" s="58" t="s">
        <v>443</v>
      </c>
      <c r="E285" s="58" t="s">
        <v>450</v>
      </c>
      <c r="F285" s="45"/>
      <c r="G285" s="45"/>
      <c r="H285" s="45"/>
      <c r="I285" s="45"/>
      <c r="J285" s="46">
        <f>IF(VLOOKUP($C285,REV!$C:$AA,8,0)-'TRADE IN'!$F285=0,"",(VLOOKUP($C285,REV!$C:$AA,8,0)-'TRADE IN'!$F285))</f>
        <v>1199</v>
      </c>
      <c r="K285" s="46">
        <f>IF(VLOOKUP($C285,REV!$C:$AA,9,0)-'TRADE IN'!$F285=0,"",(VLOOKUP($C285,REV!$C:$AA,9,0)-'TRADE IN'!$F285))</f>
        <v>1149</v>
      </c>
      <c r="L285" s="46">
        <f>IF(VLOOKUP($C285,REV!$C:$AA,10,0)-'TRADE IN'!$F285=0,"",(VLOOKUP($C285,REV!$C:$AA,10,0)-'TRADE IN'!$F285))</f>
        <v>1149</v>
      </c>
      <c r="M285" s="46">
        <f>IF(VLOOKUP($C285,REV!$C:$AA,11,0)-'TRADE IN'!$F285=0,"",(VLOOKUP($C285,REV!$C:$AA,11,0)-'TRADE IN'!$F285))</f>
        <v>1199</v>
      </c>
      <c r="N285" s="46">
        <f>IF(VLOOKUP($C285,REV!$C:$AA,12,0)-'TRADE IN'!$F285=0,"",(VLOOKUP($C285,REV!$C:$AA,12,0)-'TRADE IN'!$F285))</f>
        <v>1149</v>
      </c>
      <c r="O285" s="46">
        <f>IF(VLOOKUP($C285,REV!$C:$AA,13,0)-'TRADE IN'!$F285=0,"",(VLOOKUP($C285,REV!$C:$AA,13,0)-'TRADE IN'!$F285))</f>
        <v>1049</v>
      </c>
      <c r="P285" s="46">
        <f>IF(VLOOKUP($C285,REV!$C:$AA,14,0)-'TRADE IN'!$F285=0,"",(VLOOKUP($C285,REV!$C:$AA,14,0)-'TRADE IN'!$F285))</f>
        <v>1049</v>
      </c>
      <c r="Q285" s="46">
        <f>IF(VLOOKUP($C285,REV!$C:$AA,15,0)-'TRADE IN'!$F285=0,"",(VLOOKUP($C285,REV!$C:$AA,15,0)-'TRADE IN'!$F285))</f>
        <v>999</v>
      </c>
      <c r="R285" s="46">
        <f>IF(VLOOKUP($C285,REV!$C:$AA,16,0)-'TRADE IN'!$F285=0,"",(VLOOKUP($C285,REV!$C:$AA,16,0)-'TRADE IN'!$F285))</f>
        <v>1049</v>
      </c>
      <c r="S285" s="46">
        <f>IF(VLOOKUP($C285,REV!$C:$AA,17,0)-'TRADE IN'!$F285=0,"",(VLOOKUP($C285,REV!$C:$AA,17,0)-'TRADE IN'!$F285))</f>
        <v>1049</v>
      </c>
      <c r="T285" s="46">
        <f>IF(VLOOKUP($C285,REV!$C:$AA,18,0)-'TRADE IN'!$F285=0,"",(VLOOKUP($C285,REV!$C:$AA,18,0)-'TRADE IN'!$F285))</f>
        <v>999</v>
      </c>
      <c r="U285" s="46">
        <f>IF(VLOOKUP($C285,REV!$C:$AA,19,0)-'TRADE IN'!$F285=0,"",(VLOOKUP($C285,REV!$C:$AA,19,0)-'TRADE IN'!$F285))</f>
        <v>999</v>
      </c>
      <c r="V285" s="46">
        <f>IF(VLOOKUP($C285,REV!$C:$AA,20,0)-'TRADE IN'!$F285=0,"",(VLOOKUP($C285,REV!$C:$AA,20,0)-'TRADE IN'!$F285))</f>
        <v>999</v>
      </c>
      <c r="W285" s="46">
        <f>IF(VLOOKUP($C285,REV!$C:$AA,21,0)-'TRADE IN'!$F285=0,"",(VLOOKUP($C285,REV!$C:$AA,21,0)-'TRADE IN'!$F285))</f>
        <v>999</v>
      </c>
      <c r="X285" s="46">
        <f>IF(VLOOKUP($C285,REV!$C:$AA,22,0)-'TRADE IN'!$F285=0,"",(VLOOKUP($C285,REV!$C:$AA,22,0)-'TRADE IN'!$F285))</f>
        <v>999</v>
      </c>
      <c r="Y285" s="46">
        <f>IF(VLOOKUP($C285,REV!$C:$AA,23,0)-'TRADE IN'!$F285=0,"",(VLOOKUP($C285,REV!$C:$AA,23,0)-'TRADE IN'!$F285))</f>
        <v>899</v>
      </c>
      <c r="Z285" s="46">
        <f>IF(VLOOKUP($C285,REV!$C:$AA,24,0)-'TRADE IN'!$F285=0,"",(VLOOKUP($C285,REV!$C:$AA,24,0)-'TRADE IN'!$F285))</f>
        <v>899</v>
      </c>
      <c r="AA285" s="46">
        <f>IF(VLOOKUP($C285,REV!$C:$AA,25,0)-'TRADE IN'!$F285=0,"",(VLOOKUP($C285,REV!$C:$AA,25,0)-'TRADE IN'!$F285))</f>
        <v>899</v>
      </c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7"/>
      <c r="AW285" s="48" t="str">
        <f>REV!AW285</f>
        <v>01.12.2026</v>
      </c>
      <c r="AX285" s="153" t="str">
        <f>VLOOKUP(C285,REV!C:AX,48,0)</f>
        <v>5G</v>
      </c>
    </row>
    <row r="286" spans="1:50" ht="22.5" customHeight="1">
      <c r="A286" s="57" t="s">
        <v>247</v>
      </c>
      <c r="B286" s="42" t="s">
        <v>64</v>
      </c>
      <c r="C286" s="43">
        <v>4017352</v>
      </c>
      <c r="D286" s="58" t="s">
        <v>443</v>
      </c>
      <c r="E286" s="58" t="s">
        <v>451</v>
      </c>
      <c r="F286" s="45"/>
      <c r="G286" s="45"/>
      <c r="H286" s="45"/>
      <c r="I286" s="45"/>
      <c r="J286" s="46">
        <f>IF(VLOOKUP($C286,REV!$C:$AA,8,0)-'TRADE IN'!$F286=0,"",(VLOOKUP($C286,REV!$C:$AA,8,0)-'TRADE IN'!$F286))</f>
        <v>1199</v>
      </c>
      <c r="K286" s="46">
        <f>IF(VLOOKUP($C286,REV!$C:$AA,9,0)-'TRADE IN'!$F286=0,"",(VLOOKUP($C286,REV!$C:$AA,9,0)-'TRADE IN'!$F286))</f>
        <v>1149</v>
      </c>
      <c r="L286" s="46">
        <f>IF(VLOOKUP($C286,REV!$C:$AA,10,0)-'TRADE IN'!$F286=0,"",(VLOOKUP($C286,REV!$C:$AA,10,0)-'TRADE IN'!$F286))</f>
        <v>1149</v>
      </c>
      <c r="M286" s="46">
        <f>IF(VLOOKUP($C286,REV!$C:$AA,11,0)-'TRADE IN'!$F286=0,"",(VLOOKUP($C286,REV!$C:$AA,11,0)-'TRADE IN'!$F286))</f>
        <v>1199</v>
      </c>
      <c r="N286" s="46">
        <f>IF(VLOOKUP($C286,REV!$C:$AA,12,0)-'TRADE IN'!$F286=0,"",(VLOOKUP($C286,REV!$C:$AA,12,0)-'TRADE IN'!$F286))</f>
        <v>1149</v>
      </c>
      <c r="O286" s="46">
        <f>IF(VLOOKUP($C286,REV!$C:$AA,13,0)-'TRADE IN'!$F286=0,"",(VLOOKUP($C286,REV!$C:$AA,13,0)-'TRADE IN'!$F286))</f>
        <v>1049</v>
      </c>
      <c r="P286" s="46">
        <f>IF(VLOOKUP($C286,REV!$C:$AA,14,0)-'TRADE IN'!$F286=0,"",(VLOOKUP($C286,REV!$C:$AA,14,0)-'TRADE IN'!$F286))</f>
        <v>1049</v>
      </c>
      <c r="Q286" s="46">
        <f>IF(VLOOKUP($C286,REV!$C:$AA,15,0)-'TRADE IN'!$F286=0,"",(VLOOKUP($C286,REV!$C:$AA,15,0)-'TRADE IN'!$F286))</f>
        <v>999</v>
      </c>
      <c r="R286" s="46">
        <f>IF(VLOOKUP($C286,REV!$C:$AA,16,0)-'TRADE IN'!$F286=0,"",(VLOOKUP($C286,REV!$C:$AA,16,0)-'TRADE IN'!$F286))</f>
        <v>1049</v>
      </c>
      <c r="S286" s="46">
        <f>IF(VLOOKUP($C286,REV!$C:$AA,17,0)-'TRADE IN'!$F286=0,"",(VLOOKUP($C286,REV!$C:$AA,17,0)-'TRADE IN'!$F286))</f>
        <v>1049</v>
      </c>
      <c r="T286" s="46">
        <f>IF(VLOOKUP($C286,REV!$C:$AA,18,0)-'TRADE IN'!$F286=0,"",(VLOOKUP($C286,REV!$C:$AA,18,0)-'TRADE IN'!$F286))</f>
        <v>999</v>
      </c>
      <c r="U286" s="46">
        <f>IF(VLOOKUP($C286,REV!$C:$AA,19,0)-'TRADE IN'!$F286=0,"",(VLOOKUP($C286,REV!$C:$AA,19,0)-'TRADE IN'!$F286))</f>
        <v>999</v>
      </c>
      <c r="V286" s="46">
        <f>IF(VLOOKUP($C286,REV!$C:$AA,20,0)-'TRADE IN'!$F286=0,"",(VLOOKUP($C286,REV!$C:$AA,20,0)-'TRADE IN'!$F286))</f>
        <v>999</v>
      </c>
      <c r="W286" s="46">
        <f>IF(VLOOKUP($C286,REV!$C:$AA,21,0)-'TRADE IN'!$F286=0,"",(VLOOKUP($C286,REV!$C:$AA,21,0)-'TRADE IN'!$F286))</f>
        <v>999</v>
      </c>
      <c r="X286" s="46">
        <f>IF(VLOOKUP($C286,REV!$C:$AA,22,0)-'TRADE IN'!$F286=0,"",(VLOOKUP($C286,REV!$C:$AA,22,0)-'TRADE IN'!$F286))</f>
        <v>999</v>
      </c>
      <c r="Y286" s="46">
        <f>IF(VLOOKUP($C286,REV!$C:$AA,23,0)-'TRADE IN'!$F286=0,"",(VLOOKUP($C286,REV!$C:$AA,23,0)-'TRADE IN'!$F286))</f>
        <v>899</v>
      </c>
      <c r="Z286" s="46">
        <f>IF(VLOOKUP($C286,REV!$C:$AA,24,0)-'TRADE IN'!$F286=0,"",(VLOOKUP($C286,REV!$C:$AA,24,0)-'TRADE IN'!$F286))</f>
        <v>899</v>
      </c>
      <c r="AA286" s="46">
        <f>IF(VLOOKUP($C286,REV!$C:$AA,25,0)-'TRADE IN'!$F286=0,"",(VLOOKUP($C286,REV!$C:$AA,25,0)-'TRADE IN'!$F286))</f>
        <v>899</v>
      </c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7"/>
      <c r="AW286" s="48" t="str">
        <f>REV!AW286</f>
        <v>01.12.2026</v>
      </c>
      <c r="AX286" s="153" t="str">
        <f>VLOOKUP(C286,REV!C:AX,48,0)</f>
        <v>5G</v>
      </c>
    </row>
    <row r="287" spans="1:50" ht="22.5" customHeight="1">
      <c r="A287" s="57" t="s">
        <v>247</v>
      </c>
      <c r="B287" s="42" t="s">
        <v>64</v>
      </c>
      <c r="C287" s="43">
        <v>4017359</v>
      </c>
      <c r="D287" s="58" t="s">
        <v>452</v>
      </c>
      <c r="E287" s="58" t="s">
        <v>453</v>
      </c>
      <c r="F287" s="45"/>
      <c r="G287" s="45"/>
      <c r="H287" s="45"/>
      <c r="I287" s="45"/>
      <c r="J287" s="46">
        <f>IF(VLOOKUP($C287,REV!$C:$AA,8,0)-'TRADE IN'!$F287=0,"",(VLOOKUP($C287,REV!$C:$AA,8,0)-'TRADE IN'!$F287))</f>
        <v>1499</v>
      </c>
      <c r="K287" s="46">
        <f>IF(VLOOKUP($C287,REV!$C:$AA,9,0)-'TRADE IN'!$F287=0,"",(VLOOKUP($C287,REV!$C:$AA,9,0)-'TRADE IN'!$F287))</f>
        <v>1499</v>
      </c>
      <c r="L287" s="46">
        <f>IF(VLOOKUP($C287,REV!$C:$AA,10,0)-'TRADE IN'!$F287=0,"",(VLOOKUP($C287,REV!$C:$AA,10,0)-'TRADE IN'!$F287))</f>
        <v>1499</v>
      </c>
      <c r="M287" s="46">
        <f>IF(VLOOKUP($C287,REV!$C:$AA,11,0)-'TRADE IN'!$F287=0,"",(VLOOKUP($C287,REV!$C:$AA,11,0)-'TRADE IN'!$F287))</f>
        <v>1499</v>
      </c>
      <c r="N287" s="46">
        <f>IF(VLOOKUP($C287,REV!$C:$AA,12,0)-'TRADE IN'!$F287=0,"",(VLOOKUP($C287,REV!$C:$AA,12,0)-'TRADE IN'!$F287))</f>
        <v>1499</v>
      </c>
      <c r="O287" s="46">
        <f>IF(VLOOKUP($C287,REV!$C:$AA,13,0)-'TRADE IN'!$F287=0,"",(VLOOKUP($C287,REV!$C:$AA,13,0)-'TRADE IN'!$F287))</f>
        <v>1399</v>
      </c>
      <c r="P287" s="46">
        <f>IF(VLOOKUP($C287,REV!$C:$AA,14,0)-'TRADE IN'!$F287=0,"",(VLOOKUP($C287,REV!$C:$AA,14,0)-'TRADE IN'!$F287))</f>
        <v>1349</v>
      </c>
      <c r="Q287" s="46">
        <f>IF(VLOOKUP($C287,REV!$C:$AA,15,0)-'TRADE IN'!$F287=0,"",(VLOOKUP($C287,REV!$C:$AA,15,0)-'TRADE IN'!$F287))</f>
        <v>1299</v>
      </c>
      <c r="R287" s="46">
        <f>IF(VLOOKUP($C287,REV!$C:$AA,16,0)-'TRADE IN'!$F287=0,"",(VLOOKUP($C287,REV!$C:$AA,16,0)-'TRADE IN'!$F287))</f>
        <v>1399</v>
      </c>
      <c r="S287" s="46">
        <f>IF(VLOOKUP($C287,REV!$C:$AA,17,0)-'TRADE IN'!$F287=0,"",(VLOOKUP($C287,REV!$C:$AA,17,0)-'TRADE IN'!$F287))</f>
        <v>1349</v>
      </c>
      <c r="T287" s="46">
        <f>IF(VLOOKUP($C287,REV!$C:$AA,18,0)-'TRADE IN'!$F287=0,"",(VLOOKUP($C287,REV!$C:$AA,18,0)-'TRADE IN'!$F287))</f>
        <v>1299</v>
      </c>
      <c r="U287" s="46">
        <f>IF(VLOOKUP($C287,REV!$C:$AA,19,0)-'TRADE IN'!$F287=0,"",(VLOOKUP($C287,REV!$C:$AA,19,0)-'TRADE IN'!$F287))</f>
        <v>1299</v>
      </c>
      <c r="V287" s="46">
        <f>IF(VLOOKUP($C287,REV!$C:$AA,20,0)-'TRADE IN'!$F287=0,"",(VLOOKUP($C287,REV!$C:$AA,20,0)-'TRADE IN'!$F287))</f>
        <v>1299</v>
      </c>
      <c r="W287" s="46">
        <f>IF(VLOOKUP($C287,REV!$C:$AA,21,0)-'TRADE IN'!$F287=0,"",(VLOOKUP($C287,REV!$C:$AA,21,0)-'TRADE IN'!$F287))</f>
        <v>1299</v>
      </c>
      <c r="X287" s="46">
        <f>IF(VLOOKUP($C287,REV!$C:$AA,22,0)-'TRADE IN'!$F287=0,"",(VLOOKUP($C287,REV!$C:$AA,22,0)-'TRADE IN'!$F287))</f>
        <v>1299</v>
      </c>
      <c r="Y287" s="46">
        <f>IF(VLOOKUP($C287,REV!$C:$AA,23,0)-'TRADE IN'!$F287=0,"",(VLOOKUP($C287,REV!$C:$AA,23,0)-'TRADE IN'!$F287))</f>
        <v>1299</v>
      </c>
      <c r="Z287" s="46">
        <f>IF(VLOOKUP($C287,REV!$C:$AA,24,0)-'TRADE IN'!$F287=0,"",(VLOOKUP($C287,REV!$C:$AA,24,0)-'TRADE IN'!$F287))</f>
        <v>1299</v>
      </c>
      <c r="AA287" s="46">
        <f>IF(VLOOKUP($C287,REV!$C:$AA,25,0)-'TRADE IN'!$F287=0,"",(VLOOKUP($C287,REV!$C:$AA,25,0)-'TRADE IN'!$F287))</f>
        <v>1299</v>
      </c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7"/>
      <c r="AW287" s="48" t="str">
        <f>REV!AW287</f>
        <v>01.12.2026</v>
      </c>
      <c r="AX287" s="153" t="str">
        <f>VLOOKUP(C287,REV!C:AX,48,0)</f>
        <v>5G</v>
      </c>
    </row>
    <row r="288" spans="1:50" ht="22.5" customHeight="1">
      <c r="A288" s="57" t="s">
        <v>247</v>
      </c>
      <c r="B288" s="42" t="s">
        <v>64</v>
      </c>
      <c r="C288" s="43">
        <v>4017366</v>
      </c>
      <c r="D288" s="58" t="s">
        <v>452</v>
      </c>
      <c r="E288" s="58" t="s">
        <v>454</v>
      </c>
      <c r="F288" s="45"/>
      <c r="G288" s="45"/>
      <c r="H288" s="45"/>
      <c r="I288" s="45"/>
      <c r="J288" s="46">
        <f>IF(VLOOKUP($C288,REV!$C:$AA,8,0)-'TRADE IN'!$F288=0,"",(VLOOKUP($C288,REV!$C:$AA,8,0)-'TRADE IN'!$F288))</f>
        <v>1499</v>
      </c>
      <c r="K288" s="46">
        <f>IF(VLOOKUP($C288,REV!$C:$AA,9,0)-'TRADE IN'!$F288=0,"",(VLOOKUP($C288,REV!$C:$AA,9,0)-'TRADE IN'!$F288))</f>
        <v>1499</v>
      </c>
      <c r="L288" s="46">
        <f>IF(VLOOKUP($C288,REV!$C:$AA,10,0)-'TRADE IN'!$F288=0,"",(VLOOKUP($C288,REV!$C:$AA,10,0)-'TRADE IN'!$F288))</f>
        <v>1499</v>
      </c>
      <c r="M288" s="46">
        <f>IF(VLOOKUP($C288,REV!$C:$AA,11,0)-'TRADE IN'!$F288=0,"",(VLOOKUP($C288,REV!$C:$AA,11,0)-'TRADE IN'!$F288))</f>
        <v>1499</v>
      </c>
      <c r="N288" s="46">
        <f>IF(VLOOKUP($C288,REV!$C:$AA,12,0)-'TRADE IN'!$F288=0,"",(VLOOKUP($C288,REV!$C:$AA,12,0)-'TRADE IN'!$F288))</f>
        <v>1499</v>
      </c>
      <c r="O288" s="46">
        <f>IF(VLOOKUP($C288,REV!$C:$AA,13,0)-'TRADE IN'!$F288=0,"",(VLOOKUP($C288,REV!$C:$AA,13,0)-'TRADE IN'!$F288))</f>
        <v>1399</v>
      </c>
      <c r="P288" s="46">
        <f>IF(VLOOKUP($C288,REV!$C:$AA,14,0)-'TRADE IN'!$F288=0,"",(VLOOKUP($C288,REV!$C:$AA,14,0)-'TRADE IN'!$F288))</f>
        <v>1349</v>
      </c>
      <c r="Q288" s="46">
        <f>IF(VLOOKUP($C288,REV!$C:$AA,15,0)-'TRADE IN'!$F288=0,"",(VLOOKUP($C288,REV!$C:$AA,15,0)-'TRADE IN'!$F288))</f>
        <v>1299</v>
      </c>
      <c r="R288" s="46">
        <f>IF(VLOOKUP($C288,REV!$C:$AA,16,0)-'TRADE IN'!$F288=0,"",(VLOOKUP($C288,REV!$C:$AA,16,0)-'TRADE IN'!$F288))</f>
        <v>1399</v>
      </c>
      <c r="S288" s="46">
        <f>IF(VLOOKUP($C288,REV!$C:$AA,17,0)-'TRADE IN'!$F288=0,"",(VLOOKUP($C288,REV!$C:$AA,17,0)-'TRADE IN'!$F288))</f>
        <v>1349</v>
      </c>
      <c r="T288" s="46">
        <f>IF(VLOOKUP($C288,REV!$C:$AA,18,0)-'TRADE IN'!$F288=0,"",(VLOOKUP($C288,REV!$C:$AA,18,0)-'TRADE IN'!$F288))</f>
        <v>1299</v>
      </c>
      <c r="U288" s="46">
        <f>IF(VLOOKUP($C288,REV!$C:$AA,19,0)-'TRADE IN'!$F288=0,"",(VLOOKUP($C288,REV!$C:$AA,19,0)-'TRADE IN'!$F288))</f>
        <v>1299</v>
      </c>
      <c r="V288" s="46">
        <f>IF(VLOOKUP($C288,REV!$C:$AA,20,0)-'TRADE IN'!$F288=0,"",(VLOOKUP($C288,REV!$C:$AA,20,0)-'TRADE IN'!$F288))</f>
        <v>1299</v>
      </c>
      <c r="W288" s="46">
        <f>IF(VLOOKUP($C288,REV!$C:$AA,21,0)-'TRADE IN'!$F288=0,"",(VLOOKUP($C288,REV!$C:$AA,21,0)-'TRADE IN'!$F288))</f>
        <v>1299</v>
      </c>
      <c r="X288" s="46">
        <f>IF(VLOOKUP($C288,REV!$C:$AA,22,0)-'TRADE IN'!$F288=0,"",(VLOOKUP($C288,REV!$C:$AA,22,0)-'TRADE IN'!$F288))</f>
        <v>1299</v>
      </c>
      <c r="Y288" s="46">
        <f>IF(VLOOKUP($C288,REV!$C:$AA,23,0)-'TRADE IN'!$F288=0,"",(VLOOKUP($C288,REV!$C:$AA,23,0)-'TRADE IN'!$F288))</f>
        <v>1299</v>
      </c>
      <c r="Z288" s="46">
        <f>IF(VLOOKUP($C288,REV!$C:$AA,24,0)-'TRADE IN'!$F288=0,"",(VLOOKUP($C288,REV!$C:$AA,24,0)-'TRADE IN'!$F288))</f>
        <v>1299</v>
      </c>
      <c r="AA288" s="46">
        <f>IF(VLOOKUP($C288,REV!$C:$AA,25,0)-'TRADE IN'!$F288=0,"",(VLOOKUP($C288,REV!$C:$AA,25,0)-'TRADE IN'!$F288))</f>
        <v>1299</v>
      </c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7"/>
      <c r="AW288" s="48" t="str">
        <f>REV!AW288</f>
        <v>01.12.2026</v>
      </c>
      <c r="AX288" s="153" t="str">
        <f>VLOOKUP(C288,REV!C:AX,48,0)</f>
        <v>5G</v>
      </c>
    </row>
    <row r="289" spans="1:50" ht="22.5" customHeight="1">
      <c r="A289" s="57" t="s">
        <v>247</v>
      </c>
      <c r="B289" s="42" t="s">
        <v>64</v>
      </c>
      <c r="C289" s="43">
        <v>4017379</v>
      </c>
      <c r="D289" s="58" t="s">
        <v>452</v>
      </c>
      <c r="E289" s="58" t="s">
        <v>455</v>
      </c>
      <c r="F289" s="45"/>
      <c r="G289" s="45"/>
      <c r="H289" s="45"/>
      <c r="I289" s="45"/>
      <c r="J289" s="46">
        <f>IF(VLOOKUP($C289,REV!$C:$AA,8,0)-'TRADE IN'!$F289=0,"",(VLOOKUP($C289,REV!$C:$AA,8,0)-'TRADE IN'!$F289))</f>
        <v>1499</v>
      </c>
      <c r="K289" s="46">
        <f>IF(VLOOKUP($C289,REV!$C:$AA,9,0)-'TRADE IN'!$F289=0,"",(VLOOKUP($C289,REV!$C:$AA,9,0)-'TRADE IN'!$F289))</f>
        <v>1499</v>
      </c>
      <c r="L289" s="46">
        <f>IF(VLOOKUP($C289,REV!$C:$AA,10,0)-'TRADE IN'!$F289=0,"",(VLOOKUP($C289,REV!$C:$AA,10,0)-'TRADE IN'!$F289))</f>
        <v>1499</v>
      </c>
      <c r="M289" s="46">
        <f>IF(VLOOKUP($C289,REV!$C:$AA,11,0)-'TRADE IN'!$F289=0,"",(VLOOKUP($C289,REV!$C:$AA,11,0)-'TRADE IN'!$F289))</f>
        <v>1499</v>
      </c>
      <c r="N289" s="46">
        <f>IF(VLOOKUP($C289,REV!$C:$AA,12,0)-'TRADE IN'!$F289=0,"",(VLOOKUP($C289,REV!$C:$AA,12,0)-'TRADE IN'!$F289))</f>
        <v>1499</v>
      </c>
      <c r="O289" s="46">
        <f>IF(VLOOKUP($C289,REV!$C:$AA,13,0)-'TRADE IN'!$F289=0,"",(VLOOKUP($C289,REV!$C:$AA,13,0)-'TRADE IN'!$F289))</f>
        <v>1399</v>
      </c>
      <c r="P289" s="46">
        <f>IF(VLOOKUP($C289,REV!$C:$AA,14,0)-'TRADE IN'!$F289=0,"",(VLOOKUP($C289,REV!$C:$AA,14,0)-'TRADE IN'!$F289))</f>
        <v>1349</v>
      </c>
      <c r="Q289" s="46">
        <f>IF(VLOOKUP($C289,REV!$C:$AA,15,0)-'TRADE IN'!$F289=0,"",(VLOOKUP($C289,REV!$C:$AA,15,0)-'TRADE IN'!$F289))</f>
        <v>1299</v>
      </c>
      <c r="R289" s="46">
        <f>IF(VLOOKUP($C289,REV!$C:$AA,16,0)-'TRADE IN'!$F289=0,"",(VLOOKUP($C289,REV!$C:$AA,16,0)-'TRADE IN'!$F289))</f>
        <v>1399</v>
      </c>
      <c r="S289" s="46">
        <f>IF(VLOOKUP($C289,REV!$C:$AA,17,0)-'TRADE IN'!$F289=0,"",(VLOOKUP($C289,REV!$C:$AA,17,0)-'TRADE IN'!$F289))</f>
        <v>1349</v>
      </c>
      <c r="T289" s="46">
        <f>IF(VLOOKUP($C289,REV!$C:$AA,18,0)-'TRADE IN'!$F289=0,"",(VLOOKUP($C289,REV!$C:$AA,18,0)-'TRADE IN'!$F289))</f>
        <v>1299</v>
      </c>
      <c r="U289" s="46">
        <f>IF(VLOOKUP($C289,REV!$C:$AA,19,0)-'TRADE IN'!$F289=0,"",(VLOOKUP($C289,REV!$C:$AA,19,0)-'TRADE IN'!$F289))</f>
        <v>1299</v>
      </c>
      <c r="V289" s="46">
        <f>IF(VLOOKUP($C289,REV!$C:$AA,20,0)-'TRADE IN'!$F289=0,"",(VLOOKUP($C289,REV!$C:$AA,20,0)-'TRADE IN'!$F289))</f>
        <v>1299</v>
      </c>
      <c r="W289" s="46">
        <f>IF(VLOOKUP($C289,REV!$C:$AA,21,0)-'TRADE IN'!$F289=0,"",(VLOOKUP($C289,REV!$C:$AA,21,0)-'TRADE IN'!$F289))</f>
        <v>1299</v>
      </c>
      <c r="X289" s="46">
        <f>IF(VLOOKUP($C289,REV!$C:$AA,22,0)-'TRADE IN'!$F289=0,"",(VLOOKUP($C289,REV!$C:$AA,22,0)-'TRADE IN'!$F289))</f>
        <v>1299</v>
      </c>
      <c r="Y289" s="46">
        <f>IF(VLOOKUP($C289,REV!$C:$AA,23,0)-'TRADE IN'!$F289=0,"",(VLOOKUP($C289,REV!$C:$AA,23,0)-'TRADE IN'!$F289))</f>
        <v>1299</v>
      </c>
      <c r="Z289" s="46">
        <f>IF(VLOOKUP($C289,REV!$C:$AA,24,0)-'TRADE IN'!$F289=0,"",(VLOOKUP($C289,REV!$C:$AA,24,0)-'TRADE IN'!$F289))</f>
        <v>1299</v>
      </c>
      <c r="AA289" s="46">
        <f>IF(VLOOKUP($C289,REV!$C:$AA,25,0)-'TRADE IN'!$F289=0,"",(VLOOKUP($C289,REV!$C:$AA,25,0)-'TRADE IN'!$F289))</f>
        <v>1299</v>
      </c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7"/>
      <c r="AW289" s="48" t="str">
        <f>REV!AW289</f>
        <v>01.12.2026</v>
      </c>
      <c r="AX289" s="153" t="str">
        <f>VLOOKUP(C289,REV!C:AX,48,0)</f>
        <v>5G</v>
      </c>
    </row>
    <row r="290" spans="1:50" ht="22.5" customHeight="1">
      <c r="A290" s="57" t="s">
        <v>247</v>
      </c>
      <c r="B290" s="42" t="s">
        <v>64</v>
      </c>
      <c r="C290" s="43">
        <v>4017385</v>
      </c>
      <c r="D290" s="58" t="s">
        <v>452</v>
      </c>
      <c r="E290" s="58" t="s">
        <v>456</v>
      </c>
      <c r="F290" s="45"/>
      <c r="G290" s="45"/>
      <c r="H290" s="45"/>
      <c r="I290" s="45"/>
      <c r="J290" s="46">
        <f>IF(VLOOKUP($C290,REV!$C:$AA,8,0)-'TRADE IN'!$F290=0,"",(VLOOKUP($C290,REV!$C:$AA,8,0)-'TRADE IN'!$F290))</f>
        <v>1499</v>
      </c>
      <c r="K290" s="46">
        <f>IF(VLOOKUP($C290,REV!$C:$AA,9,0)-'TRADE IN'!$F290=0,"",(VLOOKUP($C290,REV!$C:$AA,9,0)-'TRADE IN'!$F290))</f>
        <v>1499</v>
      </c>
      <c r="L290" s="46">
        <f>IF(VLOOKUP($C290,REV!$C:$AA,10,0)-'TRADE IN'!$F290=0,"",(VLOOKUP($C290,REV!$C:$AA,10,0)-'TRADE IN'!$F290))</f>
        <v>1499</v>
      </c>
      <c r="M290" s="46">
        <f>IF(VLOOKUP($C290,REV!$C:$AA,11,0)-'TRADE IN'!$F290=0,"",(VLOOKUP($C290,REV!$C:$AA,11,0)-'TRADE IN'!$F290))</f>
        <v>1499</v>
      </c>
      <c r="N290" s="46">
        <f>IF(VLOOKUP($C290,REV!$C:$AA,12,0)-'TRADE IN'!$F290=0,"",(VLOOKUP($C290,REV!$C:$AA,12,0)-'TRADE IN'!$F290))</f>
        <v>1499</v>
      </c>
      <c r="O290" s="46">
        <f>IF(VLOOKUP($C290,REV!$C:$AA,13,0)-'TRADE IN'!$F290=0,"",(VLOOKUP($C290,REV!$C:$AA,13,0)-'TRADE IN'!$F290))</f>
        <v>1399</v>
      </c>
      <c r="P290" s="46">
        <f>IF(VLOOKUP($C290,REV!$C:$AA,14,0)-'TRADE IN'!$F290=0,"",(VLOOKUP($C290,REV!$C:$AA,14,0)-'TRADE IN'!$F290))</f>
        <v>1349</v>
      </c>
      <c r="Q290" s="46">
        <f>IF(VLOOKUP($C290,REV!$C:$AA,15,0)-'TRADE IN'!$F290=0,"",(VLOOKUP($C290,REV!$C:$AA,15,0)-'TRADE IN'!$F290))</f>
        <v>1299</v>
      </c>
      <c r="R290" s="46">
        <f>IF(VLOOKUP($C290,REV!$C:$AA,16,0)-'TRADE IN'!$F290=0,"",(VLOOKUP($C290,REV!$C:$AA,16,0)-'TRADE IN'!$F290))</f>
        <v>1399</v>
      </c>
      <c r="S290" s="46">
        <f>IF(VLOOKUP($C290,REV!$C:$AA,17,0)-'TRADE IN'!$F290=0,"",(VLOOKUP($C290,REV!$C:$AA,17,0)-'TRADE IN'!$F290))</f>
        <v>1349</v>
      </c>
      <c r="T290" s="46">
        <f>IF(VLOOKUP($C290,REV!$C:$AA,18,0)-'TRADE IN'!$F290=0,"",(VLOOKUP($C290,REV!$C:$AA,18,0)-'TRADE IN'!$F290))</f>
        <v>1299</v>
      </c>
      <c r="U290" s="46">
        <f>IF(VLOOKUP($C290,REV!$C:$AA,19,0)-'TRADE IN'!$F290=0,"",(VLOOKUP($C290,REV!$C:$AA,19,0)-'TRADE IN'!$F290))</f>
        <v>1299</v>
      </c>
      <c r="V290" s="46">
        <f>IF(VLOOKUP($C290,REV!$C:$AA,20,0)-'TRADE IN'!$F290=0,"",(VLOOKUP($C290,REV!$C:$AA,20,0)-'TRADE IN'!$F290))</f>
        <v>1299</v>
      </c>
      <c r="W290" s="46">
        <f>IF(VLOOKUP($C290,REV!$C:$AA,21,0)-'TRADE IN'!$F290=0,"",(VLOOKUP($C290,REV!$C:$AA,21,0)-'TRADE IN'!$F290))</f>
        <v>1299</v>
      </c>
      <c r="X290" s="46">
        <f>IF(VLOOKUP($C290,REV!$C:$AA,22,0)-'TRADE IN'!$F290=0,"",(VLOOKUP($C290,REV!$C:$AA,22,0)-'TRADE IN'!$F290))</f>
        <v>1299</v>
      </c>
      <c r="Y290" s="46">
        <f>IF(VLOOKUP($C290,REV!$C:$AA,23,0)-'TRADE IN'!$F290=0,"",(VLOOKUP($C290,REV!$C:$AA,23,0)-'TRADE IN'!$F290))</f>
        <v>1299</v>
      </c>
      <c r="Z290" s="46">
        <f>IF(VLOOKUP($C290,REV!$C:$AA,24,0)-'TRADE IN'!$F290=0,"",(VLOOKUP($C290,REV!$C:$AA,24,0)-'TRADE IN'!$F290))</f>
        <v>1299</v>
      </c>
      <c r="AA290" s="46">
        <f>IF(VLOOKUP($C290,REV!$C:$AA,25,0)-'TRADE IN'!$F290=0,"",(VLOOKUP($C290,REV!$C:$AA,25,0)-'TRADE IN'!$F290))</f>
        <v>1299</v>
      </c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7"/>
      <c r="AW290" s="48" t="str">
        <f>REV!AW290</f>
        <v>01.12.2026</v>
      </c>
      <c r="AX290" s="153" t="str">
        <f>VLOOKUP(C290,REV!C:AX,48,0)</f>
        <v>5G</v>
      </c>
    </row>
    <row r="291" spans="1:50" ht="22.5" customHeight="1">
      <c r="A291" s="57" t="s">
        <v>247</v>
      </c>
      <c r="B291" s="42" t="s">
        <v>64</v>
      </c>
      <c r="C291" s="43">
        <v>4017372</v>
      </c>
      <c r="D291" s="58" t="s">
        <v>452</v>
      </c>
      <c r="E291" s="58" t="s">
        <v>457</v>
      </c>
      <c r="F291" s="45"/>
      <c r="G291" s="45"/>
      <c r="H291" s="45"/>
      <c r="I291" s="45"/>
      <c r="J291" s="46">
        <f>IF(VLOOKUP($C291,REV!$C:$AA,8,0)-'TRADE IN'!$F291=0,"",(VLOOKUP($C291,REV!$C:$AA,8,0)-'TRADE IN'!$F291))</f>
        <v>1499</v>
      </c>
      <c r="K291" s="46">
        <f>IF(VLOOKUP($C291,REV!$C:$AA,9,0)-'TRADE IN'!$F291=0,"",(VLOOKUP($C291,REV!$C:$AA,9,0)-'TRADE IN'!$F291))</f>
        <v>1499</v>
      </c>
      <c r="L291" s="46">
        <f>IF(VLOOKUP($C291,REV!$C:$AA,10,0)-'TRADE IN'!$F291=0,"",(VLOOKUP($C291,REV!$C:$AA,10,0)-'TRADE IN'!$F291))</f>
        <v>1499</v>
      </c>
      <c r="M291" s="46">
        <f>IF(VLOOKUP($C291,REV!$C:$AA,11,0)-'TRADE IN'!$F291=0,"",(VLOOKUP($C291,REV!$C:$AA,11,0)-'TRADE IN'!$F291))</f>
        <v>1499</v>
      </c>
      <c r="N291" s="46">
        <f>IF(VLOOKUP($C291,REV!$C:$AA,12,0)-'TRADE IN'!$F291=0,"",(VLOOKUP($C291,REV!$C:$AA,12,0)-'TRADE IN'!$F291))</f>
        <v>1499</v>
      </c>
      <c r="O291" s="46">
        <f>IF(VLOOKUP($C291,REV!$C:$AA,13,0)-'TRADE IN'!$F291=0,"",(VLOOKUP($C291,REV!$C:$AA,13,0)-'TRADE IN'!$F291))</f>
        <v>1399</v>
      </c>
      <c r="P291" s="46">
        <f>IF(VLOOKUP($C291,REV!$C:$AA,14,0)-'TRADE IN'!$F291=0,"",(VLOOKUP($C291,REV!$C:$AA,14,0)-'TRADE IN'!$F291))</f>
        <v>1349</v>
      </c>
      <c r="Q291" s="46">
        <f>IF(VLOOKUP($C291,REV!$C:$AA,15,0)-'TRADE IN'!$F291=0,"",(VLOOKUP($C291,REV!$C:$AA,15,0)-'TRADE IN'!$F291))</f>
        <v>1299</v>
      </c>
      <c r="R291" s="46">
        <f>IF(VLOOKUP($C291,REV!$C:$AA,16,0)-'TRADE IN'!$F291=0,"",(VLOOKUP($C291,REV!$C:$AA,16,0)-'TRADE IN'!$F291))</f>
        <v>1399</v>
      </c>
      <c r="S291" s="46">
        <f>IF(VLOOKUP($C291,REV!$C:$AA,17,0)-'TRADE IN'!$F291=0,"",(VLOOKUP($C291,REV!$C:$AA,17,0)-'TRADE IN'!$F291))</f>
        <v>1349</v>
      </c>
      <c r="T291" s="46">
        <f>IF(VLOOKUP($C291,REV!$C:$AA,18,0)-'TRADE IN'!$F291=0,"",(VLOOKUP($C291,REV!$C:$AA,18,0)-'TRADE IN'!$F291))</f>
        <v>1299</v>
      </c>
      <c r="U291" s="46">
        <f>IF(VLOOKUP($C291,REV!$C:$AA,19,0)-'TRADE IN'!$F291=0,"",(VLOOKUP($C291,REV!$C:$AA,19,0)-'TRADE IN'!$F291))</f>
        <v>1299</v>
      </c>
      <c r="V291" s="46">
        <f>IF(VLOOKUP($C291,REV!$C:$AA,20,0)-'TRADE IN'!$F291=0,"",(VLOOKUP($C291,REV!$C:$AA,20,0)-'TRADE IN'!$F291))</f>
        <v>1299</v>
      </c>
      <c r="W291" s="46">
        <f>IF(VLOOKUP($C291,REV!$C:$AA,21,0)-'TRADE IN'!$F291=0,"",(VLOOKUP($C291,REV!$C:$AA,21,0)-'TRADE IN'!$F291))</f>
        <v>1299</v>
      </c>
      <c r="X291" s="46">
        <f>IF(VLOOKUP($C291,REV!$C:$AA,22,0)-'TRADE IN'!$F291=0,"",(VLOOKUP($C291,REV!$C:$AA,22,0)-'TRADE IN'!$F291))</f>
        <v>1299</v>
      </c>
      <c r="Y291" s="46">
        <f>IF(VLOOKUP($C291,REV!$C:$AA,23,0)-'TRADE IN'!$F291=0,"",(VLOOKUP($C291,REV!$C:$AA,23,0)-'TRADE IN'!$F291))</f>
        <v>1299</v>
      </c>
      <c r="Z291" s="46">
        <f>IF(VLOOKUP($C291,REV!$C:$AA,24,0)-'TRADE IN'!$F291=0,"",(VLOOKUP($C291,REV!$C:$AA,24,0)-'TRADE IN'!$F291))</f>
        <v>1299</v>
      </c>
      <c r="AA291" s="46">
        <f>IF(VLOOKUP($C291,REV!$C:$AA,25,0)-'TRADE IN'!$F291=0,"",(VLOOKUP($C291,REV!$C:$AA,25,0)-'TRADE IN'!$F291))</f>
        <v>1299</v>
      </c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7"/>
      <c r="AW291" s="48" t="str">
        <f>REV!AW291</f>
        <v>01.12.2026</v>
      </c>
      <c r="AX291" s="153" t="str">
        <f>VLOOKUP(C291,REV!C:AX,48,0)</f>
        <v>5G</v>
      </c>
    </row>
    <row r="292" spans="1:50" ht="22.5" customHeight="1">
      <c r="A292" s="57" t="s">
        <v>247</v>
      </c>
      <c r="B292" s="42" t="s">
        <v>64</v>
      </c>
      <c r="C292" s="43">
        <v>4014679</v>
      </c>
      <c r="D292" s="58" t="s">
        <v>458</v>
      </c>
      <c r="E292" s="58" t="s">
        <v>459</v>
      </c>
      <c r="F292" s="45"/>
      <c r="G292" s="45"/>
      <c r="H292" s="45"/>
      <c r="I292" s="45"/>
      <c r="J292" s="46">
        <f>IF(VLOOKUP($C292,REV!$C:$AA,8,0)-'TRADE IN'!$F292=0,"",(VLOOKUP($C292,REV!$C:$AA,8,0)-'TRADE IN'!$F292))</f>
        <v>499</v>
      </c>
      <c r="K292" s="46">
        <f>IF(VLOOKUP($C292,REV!$C:$AA,9,0)-'TRADE IN'!$F292=0,"",(VLOOKUP($C292,REV!$C:$AA,9,0)-'TRADE IN'!$F292))</f>
        <v>499</v>
      </c>
      <c r="L292" s="46">
        <f>IF(VLOOKUP($C292,REV!$C:$AA,10,0)-'TRADE IN'!$F292=0,"",(VLOOKUP($C292,REV!$C:$AA,10,0)-'TRADE IN'!$F292))</f>
        <v>499</v>
      </c>
      <c r="M292" s="46">
        <f>IF(VLOOKUP($C292,REV!$C:$AA,11,0)-'TRADE IN'!$F292=0,"",(VLOOKUP($C292,REV!$C:$AA,11,0)-'TRADE IN'!$F292))</f>
        <v>499</v>
      </c>
      <c r="N292" s="46">
        <f>IF(VLOOKUP($C292,REV!$C:$AA,12,0)-'TRADE IN'!$F292=0,"",(VLOOKUP($C292,REV!$C:$AA,12,0)-'TRADE IN'!$F292))</f>
        <v>499</v>
      </c>
      <c r="O292" s="46">
        <f>IF(VLOOKUP($C292,REV!$C:$AA,13,0)-'TRADE IN'!$F292=0,"",(VLOOKUP($C292,REV!$C:$AA,13,0)-'TRADE IN'!$F292))</f>
        <v>449</v>
      </c>
      <c r="P292" s="46">
        <f>IF(VLOOKUP($C292,REV!$C:$AA,14,0)-'TRADE IN'!$F292=0,"",(VLOOKUP($C292,REV!$C:$AA,14,0)-'TRADE IN'!$F292))</f>
        <v>449</v>
      </c>
      <c r="Q292" s="46">
        <f>IF(VLOOKUP($C292,REV!$C:$AA,15,0)-'TRADE IN'!$F292=0,"",(VLOOKUP($C292,REV!$C:$AA,15,0)-'TRADE IN'!$F292))</f>
        <v>449</v>
      </c>
      <c r="R292" s="46">
        <f>IF(VLOOKUP($C292,REV!$C:$AA,16,0)-'TRADE IN'!$F292=0,"",(VLOOKUP($C292,REV!$C:$AA,16,0)-'TRADE IN'!$F292))</f>
        <v>449</v>
      </c>
      <c r="S292" s="46">
        <f>IF(VLOOKUP($C292,REV!$C:$AA,17,0)-'TRADE IN'!$F292=0,"",(VLOOKUP($C292,REV!$C:$AA,17,0)-'TRADE IN'!$F292))</f>
        <v>449</v>
      </c>
      <c r="T292" s="46">
        <f>IF(VLOOKUP($C292,REV!$C:$AA,18,0)-'TRADE IN'!$F292=0,"",(VLOOKUP($C292,REV!$C:$AA,18,0)-'TRADE IN'!$F292))</f>
        <v>449</v>
      </c>
      <c r="U292" s="46">
        <f>IF(VLOOKUP($C292,REV!$C:$AA,19,0)-'TRADE IN'!$F292=0,"",(VLOOKUP($C292,REV!$C:$AA,19,0)-'TRADE IN'!$F292))</f>
        <v>449</v>
      </c>
      <c r="V292" s="46">
        <f>IF(VLOOKUP($C292,REV!$C:$AA,20,0)-'TRADE IN'!$F292=0,"",(VLOOKUP($C292,REV!$C:$AA,20,0)-'TRADE IN'!$F292))</f>
        <v>449</v>
      </c>
      <c r="W292" s="46">
        <f>IF(VLOOKUP($C292,REV!$C:$AA,21,0)-'TRADE IN'!$F292=0,"",(VLOOKUP($C292,REV!$C:$AA,21,0)-'TRADE IN'!$F292))</f>
        <v>449</v>
      </c>
      <c r="X292" s="46">
        <f>IF(VLOOKUP($C292,REV!$C:$AA,22,0)-'TRADE IN'!$F292=0,"",(VLOOKUP($C292,REV!$C:$AA,22,0)-'TRADE IN'!$F292))</f>
        <v>449</v>
      </c>
      <c r="Y292" s="46">
        <f>IF(VLOOKUP($C292,REV!$C:$AA,23,0)-'TRADE IN'!$F292=0,"",(VLOOKUP($C292,REV!$C:$AA,23,0)-'TRADE IN'!$F292))</f>
        <v>449</v>
      </c>
      <c r="Z292" s="46">
        <f>IF(VLOOKUP($C292,REV!$C:$AA,24,0)-'TRADE IN'!$F292=0,"",(VLOOKUP($C292,REV!$C:$AA,24,0)-'TRADE IN'!$F292))</f>
        <v>449</v>
      </c>
      <c r="AA292" s="46">
        <f>IF(VLOOKUP($C292,REV!$C:$AA,25,0)-'TRADE IN'!$F292=0,"",(VLOOKUP($C292,REV!$C:$AA,25,0)-'TRADE IN'!$F292))</f>
        <v>449</v>
      </c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7"/>
      <c r="AW292" s="48" t="str">
        <f>REV!AW292</f>
        <v>01.12.2026</v>
      </c>
      <c r="AX292" s="153" t="str">
        <f>VLOOKUP(C292,REV!C:AX,48,0)</f>
        <v>5G</v>
      </c>
    </row>
    <row r="293" spans="1:50" ht="22.5" customHeight="1">
      <c r="A293" s="57" t="s">
        <v>247</v>
      </c>
      <c r="B293" s="42" t="s">
        <v>64</v>
      </c>
      <c r="C293" s="43">
        <v>4015250</v>
      </c>
      <c r="D293" s="58" t="s">
        <v>460</v>
      </c>
      <c r="E293" s="58" t="s">
        <v>461</v>
      </c>
      <c r="F293" s="45"/>
      <c r="G293" s="45"/>
      <c r="H293" s="45"/>
      <c r="I293" s="45"/>
      <c r="J293" s="46">
        <f>IF(VLOOKUP($C293,REV!$C:$AA,8,0)-'TRADE IN'!$F293=0,"",(VLOOKUP($C293,REV!$C:$AA,8,0)-'TRADE IN'!$F293))</f>
        <v>769</v>
      </c>
      <c r="K293" s="46">
        <f>IF(VLOOKUP($C293,REV!$C:$AA,9,0)-'TRADE IN'!$F293=0,"",(VLOOKUP($C293,REV!$C:$AA,9,0)-'TRADE IN'!$F293))</f>
        <v>769</v>
      </c>
      <c r="L293" s="46">
        <f>IF(VLOOKUP($C293,REV!$C:$AA,10,0)-'TRADE IN'!$F293=0,"",(VLOOKUP($C293,REV!$C:$AA,10,0)-'TRADE IN'!$F293))</f>
        <v>769</v>
      </c>
      <c r="M293" s="46">
        <f>IF(VLOOKUP($C293,REV!$C:$AA,11,0)-'TRADE IN'!$F293=0,"",(VLOOKUP($C293,REV!$C:$AA,11,0)-'TRADE IN'!$F293))</f>
        <v>769</v>
      </c>
      <c r="N293" s="46">
        <f>IF(VLOOKUP($C293,REV!$C:$AA,12,0)-'TRADE IN'!$F293=0,"",(VLOOKUP($C293,REV!$C:$AA,12,0)-'TRADE IN'!$F293))</f>
        <v>769</v>
      </c>
      <c r="O293" s="46">
        <f>IF(VLOOKUP($C293,REV!$C:$AA,13,0)-'TRADE IN'!$F293=0,"",(VLOOKUP($C293,REV!$C:$AA,13,0)-'TRADE IN'!$F293))</f>
        <v>769</v>
      </c>
      <c r="P293" s="46">
        <f>IF(VLOOKUP($C293,REV!$C:$AA,14,0)-'TRADE IN'!$F293=0,"",(VLOOKUP($C293,REV!$C:$AA,14,0)-'TRADE IN'!$F293))</f>
        <v>769</v>
      </c>
      <c r="Q293" s="46">
        <f>IF(VLOOKUP($C293,REV!$C:$AA,15,0)-'TRADE IN'!$F293=0,"",(VLOOKUP($C293,REV!$C:$AA,15,0)-'TRADE IN'!$F293))</f>
        <v>769</v>
      </c>
      <c r="R293" s="46">
        <f>IF(VLOOKUP($C293,REV!$C:$AA,16,0)-'TRADE IN'!$F293=0,"",(VLOOKUP($C293,REV!$C:$AA,16,0)-'TRADE IN'!$F293))</f>
        <v>769</v>
      </c>
      <c r="S293" s="46">
        <f>IF(VLOOKUP($C293,REV!$C:$AA,17,0)-'TRADE IN'!$F293=0,"",(VLOOKUP($C293,REV!$C:$AA,17,0)-'TRADE IN'!$F293))</f>
        <v>769</v>
      </c>
      <c r="T293" s="46">
        <f>IF(VLOOKUP($C293,REV!$C:$AA,18,0)-'TRADE IN'!$F293=0,"",(VLOOKUP($C293,REV!$C:$AA,18,0)-'TRADE IN'!$F293))</f>
        <v>769</v>
      </c>
      <c r="U293" s="46">
        <f>IF(VLOOKUP($C293,REV!$C:$AA,19,0)-'TRADE IN'!$F293=0,"",(VLOOKUP($C293,REV!$C:$AA,19,0)-'TRADE IN'!$F293))</f>
        <v>769</v>
      </c>
      <c r="V293" s="46">
        <f>IF(VLOOKUP($C293,REV!$C:$AA,20,0)-'TRADE IN'!$F293=0,"",(VLOOKUP($C293,REV!$C:$AA,20,0)-'TRADE IN'!$F293))</f>
        <v>769</v>
      </c>
      <c r="W293" s="46">
        <f>IF(VLOOKUP($C293,REV!$C:$AA,21,0)-'TRADE IN'!$F293=0,"",(VLOOKUP($C293,REV!$C:$AA,21,0)-'TRADE IN'!$F293))</f>
        <v>769</v>
      </c>
      <c r="X293" s="46">
        <f>IF(VLOOKUP($C293,REV!$C:$AA,22,0)-'TRADE IN'!$F293=0,"",(VLOOKUP($C293,REV!$C:$AA,22,0)-'TRADE IN'!$F293))</f>
        <v>769</v>
      </c>
      <c r="Y293" s="46">
        <f>IF(VLOOKUP($C293,REV!$C:$AA,23,0)-'TRADE IN'!$F293=0,"",(VLOOKUP($C293,REV!$C:$AA,23,0)-'TRADE IN'!$F293))</f>
        <v>769</v>
      </c>
      <c r="Z293" s="46">
        <f>IF(VLOOKUP($C293,REV!$C:$AA,24,0)-'TRADE IN'!$F293=0,"",(VLOOKUP($C293,REV!$C:$AA,24,0)-'TRADE IN'!$F293))</f>
        <v>769</v>
      </c>
      <c r="AA293" s="46">
        <f>IF(VLOOKUP($C293,REV!$C:$AA,25,0)-'TRADE IN'!$F293=0,"",(VLOOKUP($C293,REV!$C:$AA,25,0)-'TRADE IN'!$F293))</f>
        <v>769</v>
      </c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7"/>
      <c r="AW293" s="48" t="str">
        <f>REV!AW293</f>
        <v>01.12.2026</v>
      </c>
      <c r="AX293" s="153" t="str">
        <f>VLOOKUP(C293,REV!C:AX,48,0)</f>
        <v>5G</v>
      </c>
    </row>
    <row r="294" spans="1:50" ht="22.5" customHeight="1">
      <c r="A294" s="57" t="s">
        <v>247</v>
      </c>
      <c r="B294" s="42" t="s">
        <v>64</v>
      </c>
      <c r="C294" s="43">
        <v>4015251</v>
      </c>
      <c r="D294" s="58" t="s">
        <v>460</v>
      </c>
      <c r="E294" s="58" t="s">
        <v>462</v>
      </c>
      <c r="F294" s="45"/>
      <c r="G294" s="45"/>
      <c r="H294" s="45"/>
      <c r="I294" s="45"/>
      <c r="J294" s="46">
        <f>IF(VLOOKUP($C294,REV!$C:$AA,8,0)-'TRADE IN'!$F294=0,"",(VLOOKUP($C294,REV!$C:$AA,8,0)-'TRADE IN'!$F294))</f>
        <v>769</v>
      </c>
      <c r="K294" s="46">
        <f>IF(VLOOKUP($C294,REV!$C:$AA,9,0)-'TRADE IN'!$F294=0,"",(VLOOKUP($C294,REV!$C:$AA,9,0)-'TRADE IN'!$F294))</f>
        <v>769</v>
      </c>
      <c r="L294" s="46">
        <f>IF(VLOOKUP($C294,REV!$C:$AA,10,0)-'TRADE IN'!$F294=0,"",(VLOOKUP($C294,REV!$C:$AA,10,0)-'TRADE IN'!$F294))</f>
        <v>769</v>
      </c>
      <c r="M294" s="46">
        <f>IF(VLOOKUP($C294,REV!$C:$AA,11,0)-'TRADE IN'!$F294=0,"",(VLOOKUP($C294,REV!$C:$AA,11,0)-'TRADE IN'!$F294))</f>
        <v>769</v>
      </c>
      <c r="N294" s="46">
        <f>IF(VLOOKUP($C294,REV!$C:$AA,12,0)-'TRADE IN'!$F294=0,"",(VLOOKUP($C294,REV!$C:$AA,12,0)-'TRADE IN'!$F294))</f>
        <v>769</v>
      </c>
      <c r="O294" s="46">
        <f>IF(VLOOKUP($C294,REV!$C:$AA,13,0)-'TRADE IN'!$F294=0,"",(VLOOKUP($C294,REV!$C:$AA,13,0)-'TRADE IN'!$F294))</f>
        <v>769</v>
      </c>
      <c r="P294" s="46">
        <f>IF(VLOOKUP($C294,REV!$C:$AA,14,0)-'TRADE IN'!$F294=0,"",(VLOOKUP($C294,REV!$C:$AA,14,0)-'TRADE IN'!$F294))</f>
        <v>769</v>
      </c>
      <c r="Q294" s="46">
        <f>IF(VLOOKUP($C294,REV!$C:$AA,15,0)-'TRADE IN'!$F294=0,"",(VLOOKUP($C294,REV!$C:$AA,15,0)-'TRADE IN'!$F294))</f>
        <v>769</v>
      </c>
      <c r="R294" s="46">
        <f>IF(VLOOKUP($C294,REV!$C:$AA,16,0)-'TRADE IN'!$F294=0,"",(VLOOKUP($C294,REV!$C:$AA,16,0)-'TRADE IN'!$F294))</f>
        <v>769</v>
      </c>
      <c r="S294" s="46">
        <f>IF(VLOOKUP($C294,REV!$C:$AA,17,0)-'TRADE IN'!$F294=0,"",(VLOOKUP($C294,REV!$C:$AA,17,0)-'TRADE IN'!$F294))</f>
        <v>769</v>
      </c>
      <c r="T294" s="46">
        <f>IF(VLOOKUP($C294,REV!$C:$AA,18,0)-'TRADE IN'!$F294=0,"",(VLOOKUP($C294,REV!$C:$AA,18,0)-'TRADE IN'!$F294))</f>
        <v>769</v>
      </c>
      <c r="U294" s="46">
        <f>IF(VLOOKUP($C294,REV!$C:$AA,19,0)-'TRADE IN'!$F294=0,"",(VLOOKUP($C294,REV!$C:$AA,19,0)-'TRADE IN'!$F294))</f>
        <v>769</v>
      </c>
      <c r="V294" s="46">
        <f>IF(VLOOKUP($C294,REV!$C:$AA,20,0)-'TRADE IN'!$F294=0,"",(VLOOKUP($C294,REV!$C:$AA,20,0)-'TRADE IN'!$F294))</f>
        <v>769</v>
      </c>
      <c r="W294" s="46">
        <f>IF(VLOOKUP($C294,REV!$C:$AA,21,0)-'TRADE IN'!$F294=0,"",(VLOOKUP($C294,REV!$C:$AA,21,0)-'TRADE IN'!$F294))</f>
        <v>769</v>
      </c>
      <c r="X294" s="46">
        <f>IF(VLOOKUP($C294,REV!$C:$AA,22,0)-'TRADE IN'!$F294=0,"",(VLOOKUP($C294,REV!$C:$AA,22,0)-'TRADE IN'!$F294))</f>
        <v>769</v>
      </c>
      <c r="Y294" s="46">
        <f>IF(VLOOKUP($C294,REV!$C:$AA,23,0)-'TRADE IN'!$F294=0,"",(VLOOKUP($C294,REV!$C:$AA,23,0)-'TRADE IN'!$F294))</f>
        <v>769</v>
      </c>
      <c r="Z294" s="46">
        <f>IF(VLOOKUP($C294,REV!$C:$AA,24,0)-'TRADE IN'!$F294=0,"",(VLOOKUP($C294,REV!$C:$AA,24,0)-'TRADE IN'!$F294))</f>
        <v>769</v>
      </c>
      <c r="AA294" s="46">
        <f>IF(VLOOKUP($C294,REV!$C:$AA,25,0)-'TRADE IN'!$F294=0,"",(VLOOKUP($C294,REV!$C:$AA,25,0)-'TRADE IN'!$F294))</f>
        <v>769</v>
      </c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7"/>
      <c r="AW294" s="48" t="str">
        <f>REV!AW294</f>
        <v>01.12.2026</v>
      </c>
      <c r="AX294" s="153" t="str">
        <f>VLOOKUP(C294,REV!C:AX,48,0)</f>
        <v>5G</v>
      </c>
    </row>
    <row r="295" spans="1:50" ht="22.5" customHeight="1">
      <c r="A295" s="57" t="s">
        <v>247</v>
      </c>
      <c r="B295" s="42" t="s">
        <v>64</v>
      </c>
      <c r="C295" s="43">
        <v>4016092</v>
      </c>
      <c r="D295" s="58" t="s">
        <v>463</v>
      </c>
      <c r="E295" s="58" t="s">
        <v>464</v>
      </c>
      <c r="F295" s="45"/>
      <c r="G295" s="45"/>
      <c r="H295" s="45"/>
      <c r="I295" s="45"/>
      <c r="J295" s="46">
        <f>IF(VLOOKUP($C295,REV!$C:$AA,8,0)-'TRADE IN'!$F295=0,"",(VLOOKUP($C295,REV!$C:$AA,8,0)-'TRADE IN'!$F295))</f>
        <v>699</v>
      </c>
      <c r="K295" s="46">
        <f>IF(VLOOKUP($C295,REV!$C:$AA,9,0)-'TRADE IN'!$F295=0,"",(VLOOKUP($C295,REV!$C:$AA,9,0)-'TRADE IN'!$F295))</f>
        <v>699</v>
      </c>
      <c r="L295" s="46">
        <f>IF(VLOOKUP($C295,REV!$C:$AA,10,0)-'TRADE IN'!$F295=0,"",(VLOOKUP($C295,REV!$C:$AA,10,0)-'TRADE IN'!$F295))</f>
        <v>699</v>
      </c>
      <c r="M295" s="46">
        <f>IF(VLOOKUP($C295,REV!$C:$AA,11,0)-'TRADE IN'!$F295=0,"",(VLOOKUP($C295,REV!$C:$AA,11,0)-'TRADE IN'!$F295))</f>
        <v>699</v>
      </c>
      <c r="N295" s="46">
        <f>IF(VLOOKUP($C295,REV!$C:$AA,12,0)-'TRADE IN'!$F295=0,"",(VLOOKUP($C295,REV!$C:$AA,12,0)-'TRADE IN'!$F295))</f>
        <v>699</v>
      </c>
      <c r="O295" s="46">
        <f>IF(VLOOKUP($C295,REV!$C:$AA,13,0)-'TRADE IN'!$F295=0,"",(VLOOKUP($C295,REV!$C:$AA,13,0)-'TRADE IN'!$F295))</f>
        <v>699</v>
      </c>
      <c r="P295" s="46">
        <f>IF(VLOOKUP($C295,REV!$C:$AA,14,0)-'TRADE IN'!$F295=0,"",(VLOOKUP($C295,REV!$C:$AA,14,0)-'TRADE IN'!$F295))</f>
        <v>699</v>
      </c>
      <c r="Q295" s="46">
        <f>IF(VLOOKUP($C295,REV!$C:$AA,15,0)-'TRADE IN'!$F295=0,"",(VLOOKUP($C295,REV!$C:$AA,15,0)-'TRADE IN'!$F295))</f>
        <v>699</v>
      </c>
      <c r="R295" s="46">
        <f>IF(VLOOKUP($C295,REV!$C:$AA,16,0)-'TRADE IN'!$F295=0,"",(VLOOKUP($C295,REV!$C:$AA,16,0)-'TRADE IN'!$F295))</f>
        <v>699</v>
      </c>
      <c r="S295" s="46">
        <f>IF(VLOOKUP($C295,REV!$C:$AA,17,0)-'TRADE IN'!$F295=0,"",(VLOOKUP($C295,REV!$C:$AA,17,0)-'TRADE IN'!$F295))</f>
        <v>699</v>
      </c>
      <c r="T295" s="46">
        <f>IF(VLOOKUP($C295,REV!$C:$AA,18,0)-'TRADE IN'!$F295=0,"",(VLOOKUP($C295,REV!$C:$AA,18,0)-'TRADE IN'!$F295))</f>
        <v>699</v>
      </c>
      <c r="U295" s="46">
        <f>IF(VLOOKUP($C295,REV!$C:$AA,19,0)-'TRADE IN'!$F295=0,"",(VLOOKUP($C295,REV!$C:$AA,19,0)-'TRADE IN'!$F295))</f>
        <v>699</v>
      </c>
      <c r="V295" s="46">
        <f>IF(VLOOKUP($C295,REV!$C:$AA,20,0)-'TRADE IN'!$F295=0,"",(VLOOKUP($C295,REV!$C:$AA,20,0)-'TRADE IN'!$F295))</f>
        <v>699</v>
      </c>
      <c r="W295" s="46">
        <f>IF(VLOOKUP($C295,REV!$C:$AA,21,0)-'TRADE IN'!$F295=0,"",(VLOOKUP($C295,REV!$C:$AA,21,0)-'TRADE IN'!$F295))</f>
        <v>699</v>
      </c>
      <c r="X295" s="46">
        <f>IF(VLOOKUP($C295,REV!$C:$AA,22,0)-'TRADE IN'!$F295=0,"",(VLOOKUP($C295,REV!$C:$AA,22,0)-'TRADE IN'!$F295))</f>
        <v>699</v>
      </c>
      <c r="Y295" s="46">
        <f>IF(VLOOKUP($C295,REV!$C:$AA,23,0)-'TRADE IN'!$F295=0,"",(VLOOKUP($C295,REV!$C:$AA,23,0)-'TRADE IN'!$F295))</f>
        <v>699</v>
      </c>
      <c r="Z295" s="46">
        <f>IF(VLOOKUP($C295,REV!$C:$AA,24,0)-'TRADE IN'!$F295=0,"",(VLOOKUP($C295,REV!$C:$AA,24,0)-'TRADE IN'!$F295))</f>
        <v>699</v>
      </c>
      <c r="AA295" s="46">
        <f>IF(VLOOKUP($C295,REV!$C:$AA,25,0)-'TRADE IN'!$F295=0,"",(VLOOKUP($C295,REV!$C:$AA,25,0)-'TRADE IN'!$F295))</f>
        <v>699</v>
      </c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7"/>
      <c r="AW295" s="48" t="str">
        <f>REV!AW295</f>
        <v>01.12.2026</v>
      </c>
      <c r="AX295" s="153" t="str">
        <f>VLOOKUP(C295,REV!C:AX,48,0)</f>
        <v>5G</v>
      </c>
    </row>
    <row r="296" spans="1:50" ht="22.5" customHeight="1">
      <c r="A296" s="57" t="s">
        <v>247</v>
      </c>
      <c r="B296" s="42" t="s">
        <v>64</v>
      </c>
      <c r="C296" s="43">
        <v>4016095</v>
      </c>
      <c r="D296" s="58" t="s">
        <v>463</v>
      </c>
      <c r="E296" s="58" t="s">
        <v>465</v>
      </c>
      <c r="F296" s="45"/>
      <c r="G296" s="45"/>
      <c r="H296" s="45"/>
      <c r="I296" s="45"/>
      <c r="J296" s="46">
        <f>IF(VLOOKUP($C296,REV!$C:$AA,8,0)-'TRADE IN'!$F296=0,"",(VLOOKUP($C296,REV!$C:$AA,8,0)-'TRADE IN'!$F296))</f>
        <v>699</v>
      </c>
      <c r="K296" s="46">
        <f>IF(VLOOKUP($C296,REV!$C:$AA,9,0)-'TRADE IN'!$F296=0,"",(VLOOKUP($C296,REV!$C:$AA,9,0)-'TRADE IN'!$F296))</f>
        <v>699</v>
      </c>
      <c r="L296" s="46">
        <f>IF(VLOOKUP($C296,REV!$C:$AA,10,0)-'TRADE IN'!$F296=0,"",(VLOOKUP($C296,REV!$C:$AA,10,0)-'TRADE IN'!$F296))</f>
        <v>699</v>
      </c>
      <c r="M296" s="46">
        <f>IF(VLOOKUP($C296,REV!$C:$AA,11,0)-'TRADE IN'!$F296=0,"",(VLOOKUP($C296,REV!$C:$AA,11,0)-'TRADE IN'!$F296))</f>
        <v>699</v>
      </c>
      <c r="N296" s="46">
        <f>IF(VLOOKUP($C296,REV!$C:$AA,12,0)-'TRADE IN'!$F296=0,"",(VLOOKUP($C296,REV!$C:$AA,12,0)-'TRADE IN'!$F296))</f>
        <v>699</v>
      </c>
      <c r="O296" s="46">
        <f>IF(VLOOKUP($C296,REV!$C:$AA,13,0)-'TRADE IN'!$F296=0,"",(VLOOKUP($C296,REV!$C:$AA,13,0)-'TRADE IN'!$F296))</f>
        <v>699</v>
      </c>
      <c r="P296" s="46">
        <f>IF(VLOOKUP($C296,REV!$C:$AA,14,0)-'TRADE IN'!$F296=0,"",(VLOOKUP($C296,REV!$C:$AA,14,0)-'TRADE IN'!$F296))</f>
        <v>699</v>
      </c>
      <c r="Q296" s="46">
        <f>IF(VLOOKUP($C296,REV!$C:$AA,15,0)-'TRADE IN'!$F296=0,"",(VLOOKUP($C296,REV!$C:$AA,15,0)-'TRADE IN'!$F296))</f>
        <v>699</v>
      </c>
      <c r="R296" s="46">
        <f>IF(VLOOKUP($C296,REV!$C:$AA,16,0)-'TRADE IN'!$F296=0,"",(VLOOKUP($C296,REV!$C:$AA,16,0)-'TRADE IN'!$F296))</f>
        <v>699</v>
      </c>
      <c r="S296" s="46">
        <f>IF(VLOOKUP($C296,REV!$C:$AA,17,0)-'TRADE IN'!$F296=0,"",(VLOOKUP($C296,REV!$C:$AA,17,0)-'TRADE IN'!$F296))</f>
        <v>699</v>
      </c>
      <c r="T296" s="46">
        <f>IF(VLOOKUP($C296,REV!$C:$AA,18,0)-'TRADE IN'!$F296=0,"",(VLOOKUP($C296,REV!$C:$AA,18,0)-'TRADE IN'!$F296))</f>
        <v>699</v>
      </c>
      <c r="U296" s="46">
        <f>IF(VLOOKUP($C296,REV!$C:$AA,19,0)-'TRADE IN'!$F296=0,"",(VLOOKUP($C296,REV!$C:$AA,19,0)-'TRADE IN'!$F296))</f>
        <v>699</v>
      </c>
      <c r="V296" s="46">
        <f>IF(VLOOKUP($C296,REV!$C:$AA,20,0)-'TRADE IN'!$F296=0,"",(VLOOKUP($C296,REV!$C:$AA,20,0)-'TRADE IN'!$F296))</f>
        <v>699</v>
      </c>
      <c r="W296" s="46">
        <f>IF(VLOOKUP($C296,REV!$C:$AA,21,0)-'TRADE IN'!$F296=0,"",(VLOOKUP($C296,REV!$C:$AA,21,0)-'TRADE IN'!$F296))</f>
        <v>699</v>
      </c>
      <c r="X296" s="46">
        <f>IF(VLOOKUP($C296,REV!$C:$AA,22,0)-'TRADE IN'!$F296=0,"",(VLOOKUP($C296,REV!$C:$AA,22,0)-'TRADE IN'!$F296))</f>
        <v>699</v>
      </c>
      <c r="Y296" s="46">
        <f>IF(VLOOKUP($C296,REV!$C:$AA,23,0)-'TRADE IN'!$F296=0,"",(VLOOKUP($C296,REV!$C:$AA,23,0)-'TRADE IN'!$F296))</f>
        <v>699</v>
      </c>
      <c r="Z296" s="46">
        <f>IF(VLOOKUP($C296,REV!$C:$AA,24,0)-'TRADE IN'!$F296=0,"",(VLOOKUP($C296,REV!$C:$AA,24,0)-'TRADE IN'!$F296))</f>
        <v>699</v>
      </c>
      <c r="AA296" s="46">
        <f>IF(VLOOKUP($C296,REV!$C:$AA,25,0)-'TRADE IN'!$F296=0,"",(VLOOKUP($C296,REV!$C:$AA,25,0)-'TRADE IN'!$F296))</f>
        <v>699</v>
      </c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7"/>
      <c r="AW296" s="48" t="str">
        <f>REV!AW296</f>
        <v>01.12.2026</v>
      </c>
      <c r="AX296" s="153" t="str">
        <f>VLOOKUP(C296,REV!C:AX,48,0)</f>
        <v>5G</v>
      </c>
    </row>
    <row r="297" spans="1:50" ht="22.5" customHeight="1">
      <c r="A297" s="57" t="s">
        <v>247</v>
      </c>
      <c r="B297" s="42" t="s">
        <v>64</v>
      </c>
      <c r="C297" s="43">
        <v>4014161</v>
      </c>
      <c r="D297" s="58" t="s">
        <v>466</v>
      </c>
      <c r="E297" s="58" t="s">
        <v>467</v>
      </c>
      <c r="F297" s="45"/>
      <c r="G297" s="45"/>
      <c r="H297" s="45"/>
      <c r="I297" s="45"/>
      <c r="J297" s="46">
        <f>IF(VLOOKUP($C297,REV!$C:$AA,8,0)-'TRADE IN'!$F297=0,"",(VLOOKUP($C297,REV!$C:$AA,8,0)-'TRADE IN'!$F297))</f>
        <v>599</v>
      </c>
      <c r="K297" s="46">
        <f>IF(VLOOKUP($C297,REV!$C:$AA,9,0)-'TRADE IN'!$F297=0,"",(VLOOKUP($C297,REV!$C:$AA,9,0)-'TRADE IN'!$F297))</f>
        <v>599</v>
      </c>
      <c r="L297" s="46">
        <f>IF(VLOOKUP($C297,REV!$C:$AA,10,0)-'TRADE IN'!$F297=0,"",(VLOOKUP($C297,REV!$C:$AA,10,0)-'TRADE IN'!$F297))</f>
        <v>599</v>
      </c>
      <c r="M297" s="46">
        <f>IF(VLOOKUP($C297,REV!$C:$AA,11,0)-'TRADE IN'!$F297=0,"",(VLOOKUP($C297,REV!$C:$AA,11,0)-'TRADE IN'!$F297))</f>
        <v>599</v>
      </c>
      <c r="N297" s="46">
        <f>IF(VLOOKUP($C297,REV!$C:$AA,12,0)-'TRADE IN'!$F297=0,"",(VLOOKUP($C297,REV!$C:$AA,12,0)-'TRADE IN'!$F297))</f>
        <v>599</v>
      </c>
      <c r="O297" s="46">
        <f>IF(VLOOKUP($C297,REV!$C:$AA,13,0)-'TRADE IN'!$F297=0,"",(VLOOKUP($C297,REV!$C:$AA,13,0)-'TRADE IN'!$F297))</f>
        <v>549</v>
      </c>
      <c r="P297" s="46">
        <f>IF(VLOOKUP($C297,REV!$C:$AA,14,0)-'TRADE IN'!$F297=0,"",(VLOOKUP($C297,REV!$C:$AA,14,0)-'TRADE IN'!$F297))</f>
        <v>499</v>
      </c>
      <c r="Q297" s="46">
        <f>IF(VLOOKUP($C297,REV!$C:$AA,15,0)-'TRADE IN'!$F297=0,"",(VLOOKUP($C297,REV!$C:$AA,15,0)-'TRADE IN'!$F297))</f>
        <v>399</v>
      </c>
      <c r="R297" s="46">
        <f>IF(VLOOKUP($C297,REV!$C:$AA,16,0)-'TRADE IN'!$F297=0,"",(VLOOKUP($C297,REV!$C:$AA,16,0)-'TRADE IN'!$F297))</f>
        <v>549</v>
      </c>
      <c r="S297" s="46">
        <f>IF(VLOOKUP($C297,REV!$C:$AA,17,0)-'TRADE IN'!$F297=0,"",(VLOOKUP($C297,REV!$C:$AA,17,0)-'TRADE IN'!$F297))</f>
        <v>499</v>
      </c>
      <c r="T297" s="46">
        <f>IF(VLOOKUP($C297,REV!$C:$AA,18,0)-'TRADE IN'!$F297=0,"",(VLOOKUP($C297,REV!$C:$AA,18,0)-'TRADE IN'!$F297))</f>
        <v>399</v>
      </c>
      <c r="U297" s="46">
        <f>IF(VLOOKUP($C297,REV!$C:$AA,19,0)-'TRADE IN'!$F297=0,"",(VLOOKUP($C297,REV!$C:$AA,19,0)-'TRADE IN'!$F297))</f>
        <v>399</v>
      </c>
      <c r="V297" s="46">
        <f>IF(VLOOKUP($C297,REV!$C:$AA,20,0)-'TRADE IN'!$F297=0,"",(VLOOKUP($C297,REV!$C:$AA,20,0)-'TRADE IN'!$F297))</f>
        <v>399</v>
      </c>
      <c r="W297" s="46">
        <f>IF(VLOOKUP($C297,REV!$C:$AA,21,0)-'TRADE IN'!$F297=0,"",(VLOOKUP($C297,REV!$C:$AA,21,0)-'TRADE IN'!$F297))</f>
        <v>399</v>
      </c>
      <c r="X297" s="46">
        <f>IF(VLOOKUP($C297,REV!$C:$AA,22,0)-'TRADE IN'!$F297=0,"",(VLOOKUP($C297,REV!$C:$AA,22,0)-'TRADE IN'!$F297))</f>
        <v>399</v>
      </c>
      <c r="Y297" s="46">
        <f>IF(VLOOKUP($C297,REV!$C:$AA,23,0)-'TRADE IN'!$F297=0,"",(VLOOKUP($C297,REV!$C:$AA,23,0)-'TRADE IN'!$F297))</f>
        <v>399</v>
      </c>
      <c r="Z297" s="46">
        <f>IF(VLOOKUP($C297,REV!$C:$AA,24,0)-'TRADE IN'!$F297=0,"",(VLOOKUP($C297,REV!$C:$AA,24,0)-'TRADE IN'!$F297))</f>
        <v>399</v>
      </c>
      <c r="AA297" s="46">
        <f>IF(VLOOKUP($C297,REV!$C:$AA,25,0)-'TRADE IN'!$F297=0,"",(VLOOKUP($C297,REV!$C:$AA,25,0)-'TRADE IN'!$F297))</f>
        <v>399</v>
      </c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7"/>
      <c r="AW297" s="48" t="str">
        <f>REV!AW297</f>
        <v>01.12.2026</v>
      </c>
      <c r="AX297" s="153" t="str">
        <f>VLOOKUP(C297,REV!C:AX,48,0)</f>
        <v>5G</v>
      </c>
    </row>
    <row r="298" spans="1:50" ht="22.5" customHeight="1">
      <c r="A298" s="57" t="s">
        <v>247</v>
      </c>
      <c r="B298" s="42" t="s">
        <v>64</v>
      </c>
      <c r="C298" s="43">
        <v>4015441</v>
      </c>
      <c r="D298" s="58" t="s">
        <v>468</v>
      </c>
      <c r="E298" s="58" t="s">
        <v>469</v>
      </c>
      <c r="F298" s="45"/>
      <c r="G298" s="45"/>
      <c r="H298" s="45"/>
      <c r="I298" s="45"/>
      <c r="J298" s="46">
        <f>IF(VLOOKUP($C298,REV!$C:$AA,8,0)-'TRADE IN'!$F298=0,"",(VLOOKUP($C298,REV!$C:$AA,8,0)-'TRADE IN'!$F298))</f>
        <v>999</v>
      </c>
      <c r="K298" s="46">
        <f>IF(VLOOKUP($C298,REV!$C:$AA,9,0)-'TRADE IN'!$F298=0,"",(VLOOKUP($C298,REV!$C:$AA,9,0)-'TRADE IN'!$F298))</f>
        <v>999</v>
      </c>
      <c r="L298" s="46">
        <f>IF(VLOOKUP($C298,REV!$C:$AA,10,0)-'TRADE IN'!$F298=0,"",(VLOOKUP($C298,REV!$C:$AA,10,0)-'TRADE IN'!$F298))</f>
        <v>999</v>
      </c>
      <c r="M298" s="46">
        <f>IF(VLOOKUP($C298,REV!$C:$AA,11,0)-'TRADE IN'!$F298=0,"",(VLOOKUP($C298,REV!$C:$AA,11,0)-'TRADE IN'!$F298))</f>
        <v>999</v>
      </c>
      <c r="N298" s="46">
        <f>IF(VLOOKUP($C298,REV!$C:$AA,12,0)-'TRADE IN'!$F298=0,"",(VLOOKUP($C298,REV!$C:$AA,12,0)-'TRADE IN'!$F298))</f>
        <v>999</v>
      </c>
      <c r="O298" s="46">
        <f>IF(VLOOKUP($C298,REV!$C:$AA,13,0)-'TRADE IN'!$F298=0,"",(VLOOKUP($C298,REV!$C:$AA,13,0)-'TRADE IN'!$F298))</f>
        <v>899</v>
      </c>
      <c r="P298" s="46">
        <f>IF(VLOOKUP($C298,REV!$C:$AA,14,0)-'TRADE IN'!$F298=0,"",(VLOOKUP($C298,REV!$C:$AA,14,0)-'TRADE IN'!$F298))</f>
        <v>799</v>
      </c>
      <c r="Q298" s="46">
        <f>IF(VLOOKUP($C298,REV!$C:$AA,15,0)-'TRADE IN'!$F298=0,"",(VLOOKUP($C298,REV!$C:$AA,15,0)-'TRADE IN'!$F298))</f>
        <v>699</v>
      </c>
      <c r="R298" s="46">
        <f>IF(VLOOKUP($C298,REV!$C:$AA,16,0)-'TRADE IN'!$F298=0,"",(VLOOKUP($C298,REV!$C:$AA,16,0)-'TRADE IN'!$F298))</f>
        <v>899</v>
      </c>
      <c r="S298" s="46">
        <f>IF(VLOOKUP($C298,REV!$C:$AA,17,0)-'TRADE IN'!$F298=0,"",(VLOOKUP($C298,REV!$C:$AA,17,0)-'TRADE IN'!$F298))</f>
        <v>799</v>
      </c>
      <c r="T298" s="46">
        <f>IF(VLOOKUP($C298,REV!$C:$AA,18,0)-'TRADE IN'!$F298=0,"",(VLOOKUP($C298,REV!$C:$AA,18,0)-'TRADE IN'!$F298))</f>
        <v>699</v>
      </c>
      <c r="U298" s="46">
        <f>IF(VLOOKUP($C298,REV!$C:$AA,19,0)-'TRADE IN'!$F298=0,"",(VLOOKUP($C298,REV!$C:$AA,19,0)-'TRADE IN'!$F298))</f>
        <v>699</v>
      </c>
      <c r="V298" s="46">
        <f>IF(VLOOKUP($C298,REV!$C:$AA,20,0)-'TRADE IN'!$F298=0,"",(VLOOKUP($C298,REV!$C:$AA,20,0)-'TRADE IN'!$F298))</f>
        <v>699</v>
      </c>
      <c r="W298" s="46">
        <f>IF(VLOOKUP($C298,REV!$C:$AA,21,0)-'TRADE IN'!$F298=0,"",(VLOOKUP($C298,REV!$C:$AA,21,0)-'TRADE IN'!$F298))</f>
        <v>699</v>
      </c>
      <c r="X298" s="46">
        <f>IF(VLOOKUP($C298,REV!$C:$AA,22,0)-'TRADE IN'!$F298=0,"",(VLOOKUP($C298,REV!$C:$AA,22,0)-'TRADE IN'!$F298))</f>
        <v>649</v>
      </c>
      <c r="Y298" s="46">
        <f>IF(VLOOKUP($C298,REV!$C:$AA,23,0)-'TRADE IN'!$F298=0,"",(VLOOKUP($C298,REV!$C:$AA,23,0)-'TRADE IN'!$F298))</f>
        <v>599</v>
      </c>
      <c r="Z298" s="46">
        <f>IF(VLOOKUP($C298,REV!$C:$AA,24,0)-'TRADE IN'!$F298=0,"",(VLOOKUP($C298,REV!$C:$AA,24,0)-'TRADE IN'!$F298))</f>
        <v>599</v>
      </c>
      <c r="AA298" s="46">
        <f>IF(VLOOKUP($C298,REV!$C:$AA,25,0)-'TRADE IN'!$F298=0,"",(VLOOKUP($C298,REV!$C:$AA,25,0)-'TRADE IN'!$F298))</f>
        <v>579</v>
      </c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7"/>
      <c r="AW298" s="48" t="str">
        <f>REV!AW298</f>
        <v>01.12.2026</v>
      </c>
      <c r="AX298" s="153" t="str">
        <f>VLOOKUP(C298,REV!C:AX,48,0)</f>
        <v>5G</v>
      </c>
    </row>
    <row r="299" spans="1:50" ht="22.5" customHeight="1">
      <c r="A299" s="57" t="s">
        <v>247</v>
      </c>
      <c r="B299" s="42" t="s">
        <v>64</v>
      </c>
      <c r="C299" s="43">
        <v>4015447</v>
      </c>
      <c r="D299" s="58" t="s">
        <v>468</v>
      </c>
      <c r="E299" s="58" t="s">
        <v>470</v>
      </c>
      <c r="F299" s="45"/>
      <c r="G299" s="45"/>
      <c r="H299" s="45"/>
      <c r="I299" s="45"/>
      <c r="J299" s="46">
        <f>IF(VLOOKUP($C299,REV!$C:$AA,8,0)-'TRADE IN'!$F299=0,"",(VLOOKUP($C299,REV!$C:$AA,8,0)-'TRADE IN'!$F299))</f>
        <v>999</v>
      </c>
      <c r="K299" s="46">
        <f>IF(VLOOKUP($C299,REV!$C:$AA,9,0)-'TRADE IN'!$F299=0,"",(VLOOKUP($C299,REV!$C:$AA,9,0)-'TRADE IN'!$F299))</f>
        <v>999</v>
      </c>
      <c r="L299" s="46">
        <f>IF(VLOOKUP($C299,REV!$C:$AA,10,0)-'TRADE IN'!$F299=0,"",(VLOOKUP($C299,REV!$C:$AA,10,0)-'TRADE IN'!$F299))</f>
        <v>999</v>
      </c>
      <c r="M299" s="46">
        <f>IF(VLOOKUP($C299,REV!$C:$AA,11,0)-'TRADE IN'!$F299=0,"",(VLOOKUP($C299,REV!$C:$AA,11,0)-'TRADE IN'!$F299))</f>
        <v>999</v>
      </c>
      <c r="N299" s="46">
        <f>IF(VLOOKUP($C299,REV!$C:$AA,12,0)-'TRADE IN'!$F299=0,"",(VLOOKUP($C299,REV!$C:$AA,12,0)-'TRADE IN'!$F299))</f>
        <v>999</v>
      </c>
      <c r="O299" s="46">
        <f>IF(VLOOKUP($C299,REV!$C:$AA,13,0)-'TRADE IN'!$F299=0,"",(VLOOKUP($C299,REV!$C:$AA,13,0)-'TRADE IN'!$F299))</f>
        <v>899</v>
      </c>
      <c r="P299" s="46">
        <f>IF(VLOOKUP($C299,REV!$C:$AA,14,0)-'TRADE IN'!$F299=0,"",(VLOOKUP($C299,REV!$C:$AA,14,0)-'TRADE IN'!$F299))</f>
        <v>799</v>
      </c>
      <c r="Q299" s="46">
        <f>IF(VLOOKUP($C299,REV!$C:$AA,15,0)-'TRADE IN'!$F299=0,"",(VLOOKUP($C299,REV!$C:$AA,15,0)-'TRADE IN'!$F299))</f>
        <v>699</v>
      </c>
      <c r="R299" s="46">
        <f>IF(VLOOKUP($C299,REV!$C:$AA,16,0)-'TRADE IN'!$F299=0,"",(VLOOKUP($C299,REV!$C:$AA,16,0)-'TRADE IN'!$F299))</f>
        <v>899</v>
      </c>
      <c r="S299" s="46">
        <f>IF(VLOOKUP($C299,REV!$C:$AA,17,0)-'TRADE IN'!$F299=0,"",(VLOOKUP($C299,REV!$C:$AA,17,0)-'TRADE IN'!$F299))</f>
        <v>799</v>
      </c>
      <c r="T299" s="46">
        <f>IF(VLOOKUP($C299,REV!$C:$AA,18,0)-'TRADE IN'!$F299=0,"",(VLOOKUP($C299,REV!$C:$AA,18,0)-'TRADE IN'!$F299))</f>
        <v>699</v>
      </c>
      <c r="U299" s="46">
        <f>IF(VLOOKUP($C299,REV!$C:$AA,19,0)-'TRADE IN'!$F299=0,"",(VLOOKUP($C299,REV!$C:$AA,19,0)-'TRADE IN'!$F299))</f>
        <v>699</v>
      </c>
      <c r="V299" s="46">
        <f>IF(VLOOKUP($C299,REV!$C:$AA,20,0)-'TRADE IN'!$F299=0,"",(VLOOKUP($C299,REV!$C:$AA,20,0)-'TRADE IN'!$F299))</f>
        <v>699</v>
      </c>
      <c r="W299" s="46">
        <f>IF(VLOOKUP($C299,REV!$C:$AA,21,0)-'TRADE IN'!$F299=0,"",(VLOOKUP($C299,REV!$C:$AA,21,0)-'TRADE IN'!$F299))</f>
        <v>699</v>
      </c>
      <c r="X299" s="46">
        <f>IF(VLOOKUP($C299,REV!$C:$AA,22,0)-'TRADE IN'!$F299=0,"",(VLOOKUP($C299,REV!$C:$AA,22,0)-'TRADE IN'!$F299))</f>
        <v>649</v>
      </c>
      <c r="Y299" s="46">
        <f>IF(VLOOKUP($C299,REV!$C:$AA,23,0)-'TRADE IN'!$F299=0,"",(VLOOKUP($C299,REV!$C:$AA,23,0)-'TRADE IN'!$F299))</f>
        <v>599</v>
      </c>
      <c r="Z299" s="46">
        <f>IF(VLOOKUP($C299,REV!$C:$AA,24,0)-'TRADE IN'!$F299=0,"",(VLOOKUP($C299,REV!$C:$AA,24,0)-'TRADE IN'!$F299))</f>
        <v>599</v>
      </c>
      <c r="AA299" s="46">
        <f>IF(VLOOKUP($C299,REV!$C:$AA,25,0)-'TRADE IN'!$F299=0,"",(VLOOKUP($C299,REV!$C:$AA,25,0)-'TRADE IN'!$F299))</f>
        <v>579</v>
      </c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7"/>
      <c r="AW299" s="48" t="str">
        <f>REV!AW299</f>
        <v>01.12.2026</v>
      </c>
      <c r="AX299" s="153" t="str">
        <f>VLOOKUP(C299,REV!C:AX,48,0)</f>
        <v>5G</v>
      </c>
    </row>
    <row r="300" spans="1:50" ht="22.5" customHeight="1">
      <c r="A300" s="57" t="s">
        <v>247</v>
      </c>
      <c r="B300" s="42" t="s">
        <v>64</v>
      </c>
      <c r="C300" s="43">
        <v>4015915</v>
      </c>
      <c r="D300" s="58" t="s">
        <v>468</v>
      </c>
      <c r="E300" s="58" t="s">
        <v>471</v>
      </c>
      <c r="F300" s="45"/>
      <c r="G300" s="45"/>
      <c r="H300" s="45"/>
      <c r="I300" s="45"/>
      <c r="J300" s="46">
        <f>IF(VLOOKUP($C300,REV!$C:$AA,8,0)-'TRADE IN'!$F300=0,"",(VLOOKUP($C300,REV!$C:$AA,8,0)-'TRADE IN'!$F300))</f>
        <v>999</v>
      </c>
      <c r="K300" s="46">
        <f>IF(VLOOKUP($C300,REV!$C:$AA,9,0)-'TRADE IN'!$F300=0,"",(VLOOKUP($C300,REV!$C:$AA,9,0)-'TRADE IN'!$F300))</f>
        <v>999</v>
      </c>
      <c r="L300" s="46">
        <f>IF(VLOOKUP($C300,REV!$C:$AA,10,0)-'TRADE IN'!$F300=0,"",(VLOOKUP($C300,REV!$C:$AA,10,0)-'TRADE IN'!$F300))</f>
        <v>999</v>
      </c>
      <c r="M300" s="46">
        <f>IF(VLOOKUP($C300,REV!$C:$AA,11,0)-'TRADE IN'!$F300=0,"",(VLOOKUP($C300,REV!$C:$AA,11,0)-'TRADE IN'!$F300))</f>
        <v>999</v>
      </c>
      <c r="N300" s="46">
        <f>IF(VLOOKUP($C300,REV!$C:$AA,12,0)-'TRADE IN'!$F300=0,"",(VLOOKUP($C300,REV!$C:$AA,12,0)-'TRADE IN'!$F300))</f>
        <v>999</v>
      </c>
      <c r="O300" s="46">
        <f>IF(VLOOKUP($C300,REV!$C:$AA,13,0)-'TRADE IN'!$F300=0,"",(VLOOKUP($C300,REV!$C:$AA,13,0)-'TRADE IN'!$F300))</f>
        <v>899</v>
      </c>
      <c r="P300" s="46">
        <f>IF(VLOOKUP($C300,REV!$C:$AA,14,0)-'TRADE IN'!$F300=0,"",(VLOOKUP($C300,REV!$C:$AA,14,0)-'TRADE IN'!$F300))</f>
        <v>799</v>
      </c>
      <c r="Q300" s="46">
        <f>IF(VLOOKUP($C300,REV!$C:$AA,15,0)-'TRADE IN'!$F300=0,"",(VLOOKUP($C300,REV!$C:$AA,15,0)-'TRADE IN'!$F300))</f>
        <v>699</v>
      </c>
      <c r="R300" s="46">
        <f>IF(VLOOKUP($C300,REV!$C:$AA,16,0)-'TRADE IN'!$F300=0,"",(VLOOKUP($C300,REV!$C:$AA,16,0)-'TRADE IN'!$F300))</f>
        <v>899</v>
      </c>
      <c r="S300" s="46">
        <f>IF(VLOOKUP($C300,REV!$C:$AA,17,0)-'TRADE IN'!$F300=0,"",(VLOOKUP($C300,REV!$C:$AA,17,0)-'TRADE IN'!$F300))</f>
        <v>799</v>
      </c>
      <c r="T300" s="46">
        <f>IF(VLOOKUP($C300,REV!$C:$AA,18,0)-'TRADE IN'!$F300=0,"",(VLOOKUP($C300,REV!$C:$AA,18,0)-'TRADE IN'!$F300))</f>
        <v>699</v>
      </c>
      <c r="U300" s="46">
        <f>IF(VLOOKUP($C300,REV!$C:$AA,19,0)-'TRADE IN'!$F300=0,"",(VLOOKUP($C300,REV!$C:$AA,19,0)-'TRADE IN'!$F300))</f>
        <v>699</v>
      </c>
      <c r="V300" s="46">
        <f>IF(VLOOKUP($C300,REV!$C:$AA,20,0)-'TRADE IN'!$F300=0,"",(VLOOKUP($C300,REV!$C:$AA,20,0)-'TRADE IN'!$F300))</f>
        <v>699</v>
      </c>
      <c r="W300" s="46">
        <f>IF(VLOOKUP($C300,REV!$C:$AA,21,0)-'TRADE IN'!$F300=0,"",(VLOOKUP($C300,REV!$C:$AA,21,0)-'TRADE IN'!$F300))</f>
        <v>699</v>
      </c>
      <c r="X300" s="46">
        <f>IF(VLOOKUP($C300,REV!$C:$AA,22,0)-'TRADE IN'!$F300=0,"",(VLOOKUP($C300,REV!$C:$AA,22,0)-'TRADE IN'!$F300))</f>
        <v>649</v>
      </c>
      <c r="Y300" s="46">
        <f>IF(VLOOKUP($C300,REV!$C:$AA,23,0)-'TRADE IN'!$F300=0,"",(VLOOKUP($C300,REV!$C:$AA,23,0)-'TRADE IN'!$F300))</f>
        <v>599</v>
      </c>
      <c r="Z300" s="46">
        <f>IF(VLOOKUP($C300,REV!$C:$AA,24,0)-'TRADE IN'!$F300=0,"",(VLOOKUP($C300,REV!$C:$AA,24,0)-'TRADE IN'!$F300))</f>
        <v>599</v>
      </c>
      <c r="AA300" s="46">
        <f>IF(VLOOKUP($C300,REV!$C:$AA,25,0)-'TRADE IN'!$F300=0,"",(VLOOKUP($C300,REV!$C:$AA,25,0)-'TRADE IN'!$F300))</f>
        <v>579</v>
      </c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7"/>
      <c r="AW300" s="48" t="str">
        <f>REV!AW300</f>
        <v>01.12.2026</v>
      </c>
      <c r="AX300" s="153" t="str">
        <f>VLOOKUP(C300,REV!C:AX,48,0)</f>
        <v>5G</v>
      </c>
    </row>
    <row r="301" spans="1:50" ht="22.5" customHeight="1">
      <c r="A301" s="57" t="s">
        <v>247</v>
      </c>
      <c r="B301" s="42" t="s">
        <v>64</v>
      </c>
      <c r="C301" s="43">
        <v>4015935</v>
      </c>
      <c r="D301" s="58" t="s">
        <v>472</v>
      </c>
      <c r="E301" s="58" t="s">
        <v>473</v>
      </c>
      <c r="F301" s="45"/>
      <c r="G301" s="45"/>
      <c r="H301" s="45"/>
      <c r="I301" s="45"/>
      <c r="J301" s="46">
        <f>IF(VLOOKUP($C301,REV!$C:$AA,8,0)-'TRADE IN'!$F301=0,"",(VLOOKUP($C301,REV!$C:$AA,8,0)-'TRADE IN'!$F301))</f>
        <v>1599</v>
      </c>
      <c r="K301" s="46">
        <f>IF(VLOOKUP($C301,REV!$C:$AA,9,0)-'TRADE IN'!$F301=0,"",(VLOOKUP($C301,REV!$C:$AA,9,0)-'TRADE IN'!$F301))</f>
        <v>1499</v>
      </c>
      <c r="L301" s="46">
        <f>IF(VLOOKUP($C301,REV!$C:$AA,10,0)-'TRADE IN'!$F301=0,"",(VLOOKUP($C301,REV!$C:$AA,10,0)-'TRADE IN'!$F301))</f>
        <v>1499</v>
      </c>
      <c r="M301" s="46">
        <f>IF(VLOOKUP($C301,REV!$C:$AA,11,0)-'TRADE IN'!$F301=0,"",(VLOOKUP($C301,REV!$C:$AA,11,0)-'TRADE IN'!$F301))</f>
        <v>1599</v>
      </c>
      <c r="N301" s="46">
        <f>IF(VLOOKUP($C301,REV!$C:$AA,12,0)-'TRADE IN'!$F301=0,"",(VLOOKUP($C301,REV!$C:$AA,12,0)-'TRADE IN'!$F301))</f>
        <v>1499</v>
      </c>
      <c r="O301" s="46">
        <f>IF(VLOOKUP($C301,REV!$C:$AA,13,0)-'TRADE IN'!$F301=0,"",(VLOOKUP($C301,REV!$C:$AA,13,0)-'TRADE IN'!$F301))</f>
        <v>1399</v>
      </c>
      <c r="P301" s="46">
        <f>IF(VLOOKUP($C301,REV!$C:$AA,14,0)-'TRADE IN'!$F301=0,"",(VLOOKUP($C301,REV!$C:$AA,14,0)-'TRADE IN'!$F301))</f>
        <v>1299</v>
      </c>
      <c r="Q301" s="46">
        <f>IF(VLOOKUP($C301,REV!$C:$AA,15,0)-'TRADE IN'!$F301=0,"",(VLOOKUP($C301,REV!$C:$AA,15,0)-'TRADE IN'!$F301))</f>
        <v>999</v>
      </c>
      <c r="R301" s="46">
        <f>IF(VLOOKUP($C301,REV!$C:$AA,16,0)-'TRADE IN'!$F301=0,"",(VLOOKUP($C301,REV!$C:$AA,16,0)-'TRADE IN'!$F301))</f>
        <v>1399</v>
      </c>
      <c r="S301" s="46">
        <f>IF(VLOOKUP($C301,REV!$C:$AA,17,0)-'TRADE IN'!$F301=0,"",(VLOOKUP($C301,REV!$C:$AA,17,0)-'TRADE IN'!$F301))</f>
        <v>1299</v>
      </c>
      <c r="T301" s="46">
        <f>IF(VLOOKUP($C301,REV!$C:$AA,18,0)-'TRADE IN'!$F301=0,"",(VLOOKUP($C301,REV!$C:$AA,18,0)-'TRADE IN'!$F301))</f>
        <v>999</v>
      </c>
      <c r="U301" s="46">
        <f>IF(VLOOKUP($C301,REV!$C:$AA,19,0)-'TRADE IN'!$F301=0,"",(VLOOKUP($C301,REV!$C:$AA,19,0)-'TRADE IN'!$F301))</f>
        <v>999</v>
      </c>
      <c r="V301" s="46">
        <f>IF(VLOOKUP($C301,REV!$C:$AA,20,0)-'TRADE IN'!$F301=0,"",(VLOOKUP($C301,REV!$C:$AA,20,0)-'TRADE IN'!$F301))</f>
        <v>999</v>
      </c>
      <c r="W301" s="46">
        <f>IF(VLOOKUP($C301,REV!$C:$AA,21,0)-'TRADE IN'!$F301=0,"",(VLOOKUP($C301,REV!$C:$AA,21,0)-'TRADE IN'!$F301))</f>
        <v>999</v>
      </c>
      <c r="X301" s="46">
        <f>IF(VLOOKUP($C301,REV!$C:$AA,22,0)-'TRADE IN'!$F301=0,"",(VLOOKUP($C301,REV!$C:$AA,22,0)-'TRADE IN'!$F301))</f>
        <v>999</v>
      </c>
      <c r="Y301" s="46">
        <f>IF(VLOOKUP($C301,REV!$C:$AA,23,0)-'TRADE IN'!$F301=0,"",(VLOOKUP($C301,REV!$C:$AA,23,0)-'TRADE IN'!$F301))</f>
        <v>999</v>
      </c>
      <c r="Z301" s="46">
        <f>IF(VLOOKUP($C301,REV!$C:$AA,24,0)-'TRADE IN'!$F301=0,"",(VLOOKUP($C301,REV!$C:$AA,24,0)-'TRADE IN'!$F301))</f>
        <v>999</v>
      </c>
      <c r="AA301" s="46">
        <f>IF(VLOOKUP($C301,REV!$C:$AA,25,0)-'TRADE IN'!$F301=0,"",(VLOOKUP($C301,REV!$C:$AA,25,0)-'TRADE IN'!$F301))</f>
        <v>999</v>
      </c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7"/>
      <c r="AW301" s="48" t="str">
        <f>REV!AW301</f>
        <v>01.12.2026</v>
      </c>
      <c r="AX301" s="153" t="str">
        <f>VLOOKUP(C301,REV!C:AX,48,0)</f>
        <v>5G</v>
      </c>
    </row>
    <row r="302" spans="1:50" ht="22.5" customHeight="1">
      <c r="A302" s="57" t="s">
        <v>247</v>
      </c>
      <c r="B302" s="42" t="s">
        <v>64</v>
      </c>
      <c r="C302" s="43">
        <v>4016155</v>
      </c>
      <c r="D302" s="58" t="s">
        <v>472</v>
      </c>
      <c r="E302" s="58" t="s">
        <v>474</v>
      </c>
      <c r="F302" s="45"/>
      <c r="G302" s="45"/>
      <c r="H302" s="45"/>
      <c r="I302" s="45"/>
      <c r="J302" s="46">
        <f>IF(VLOOKUP($C302,REV!$C:$AA,8,0)-'TRADE IN'!$F302=0,"",(VLOOKUP($C302,REV!$C:$AA,8,0)-'TRADE IN'!$F302))</f>
        <v>1599</v>
      </c>
      <c r="K302" s="46">
        <f>IF(VLOOKUP($C302,REV!$C:$AA,9,0)-'TRADE IN'!$F302=0,"",(VLOOKUP($C302,REV!$C:$AA,9,0)-'TRADE IN'!$F302))</f>
        <v>1499</v>
      </c>
      <c r="L302" s="46">
        <f>IF(VLOOKUP($C302,REV!$C:$AA,10,0)-'TRADE IN'!$F302=0,"",(VLOOKUP($C302,REV!$C:$AA,10,0)-'TRADE IN'!$F302))</f>
        <v>1499</v>
      </c>
      <c r="M302" s="46">
        <f>IF(VLOOKUP($C302,REV!$C:$AA,11,0)-'TRADE IN'!$F302=0,"",(VLOOKUP($C302,REV!$C:$AA,11,0)-'TRADE IN'!$F302))</f>
        <v>1599</v>
      </c>
      <c r="N302" s="46">
        <f>IF(VLOOKUP($C302,REV!$C:$AA,12,0)-'TRADE IN'!$F302=0,"",(VLOOKUP($C302,REV!$C:$AA,12,0)-'TRADE IN'!$F302))</f>
        <v>1499</v>
      </c>
      <c r="O302" s="46">
        <f>IF(VLOOKUP($C302,REV!$C:$AA,13,0)-'TRADE IN'!$F302=0,"",(VLOOKUP($C302,REV!$C:$AA,13,0)-'TRADE IN'!$F302))</f>
        <v>1399</v>
      </c>
      <c r="P302" s="46">
        <f>IF(VLOOKUP($C302,REV!$C:$AA,14,0)-'TRADE IN'!$F302=0,"",(VLOOKUP($C302,REV!$C:$AA,14,0)-'TRADE IN'!$F302))</f>
        <v>1299</v>
      </c>
      <c r="Q302" s="46">
        <f>IF(VLOOKUP($C302,REV!$C:$AA,15,0)-'TRADE IN'!$F302=0,"",(VLOOKUP($C302,REV!$C:$AA,15,0)-'TRADE IN'!$F302))</f>
        <v>999</v>
      </c>
      <c r="R302" s="46">
        <f>IF(VLOOKUP($C302,REV!$C:$AA,16,0)-'TRADE IN'!$F302=0,"",(VLOOKUP($C302,REV!$C:$AA,16,0)-'TRADE IN'!$F302))</f>
        <v>1399</v>
      </c>
      <c r="S302" s="46">
        <f>IF(VLOOKUP($C302,REV!$C:$AA,17,0)-'TRADE IN'!$F302=0,"",(VLOOKUP($C302,REV!$C:$AA,17,0)-'TRADE IN'!$F302))</f>
        <v>1299</v>
      </c>
      <c r="T302" s="46">
        <f>IF(VLOOKUP($C302,REV!$C:$AA,18,0)-'TRADE IN'!$F302=0,"",(VLOOKUP($C302,REV!$C:$AA,18,0)-'TRADE IN'!$F302))</f>
        <v>999</v>
      </c>
      <c r="U302" s="46">
        <f>IF(VLOOKUP($C302,REV!$C:$AA,19,0)-'TRADE IN'!$F302=0,"",(VLOOKUP($C302,REV!$C:$AA,19,0)-'TRADE IN'!$F302))</f>
        <v>999</v>
      </c>
      <c r="V302" s="46">
        <f>IF(VLOOKUP($C302,REV!$C:$AA,20,0)-'TRADE IN'!$F302=0,"",(VLOOKUP($C302,REV!$C:$AA,20,0)-'TRADE IN'!$F302))</f>
        <v>999</v>
      </c>
      <c r="W302" s="46">
        <f>IF(VLOOKUP($C302,REV!$C:$AA,21,0)-'TRADE IN'!$F302=0,"",(VLOOKUP($C302,REV!$C:$AA,21,0)-'TRADE IN'!$F302))</f>
        <v>999</v>
      </c>
      <c r="X302" s="46">
        <f>IF(VLOOKUP($C302,REV!$C:$AA,22,0)-'TRADE IN'!$F302=0,"",(VLOOKUP($C302,REV!$C:$AA,22,0)-'TRADE IN'!$F302))</f>
        <v>999</v>
      </c>
      <c r="Y302" s="46">
        <f>IF(VLOOKUP($C302,REV!$C:$AA,23,0)-'TRADE IN'!$F302=0,"",(VLOOKUP($C302,REV!$C:$AA,23,0)-'TRADE IN'!$F302))</f>
        <v>999</v>
      </c>
      <c r="Z302" s="46">
        <f>IF(VLOOKUP($C302,REV!$C:$AA,24,0)-'TRADE IN'!$F302=0,"",(VLOOKUP($C302,REV!$C:$AA,24,0)-'TRADE IN'!$F302))</f>
        <v>999</v>
      </c>
      <c r="AA302" s="46">
        <f>IF(VLOOKUP($C302,REV!$C:$AA,25,0)-'TRADE IN'!$F302=0,"",(VLOOKUP($C302,REV!$C:$AA,25,0)-'TRADE IN'!$F302))</f>
        <v>999</v>
      </c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7"/>
      <c r="AW302" s="48" t="str">
        <f>REV!AW302</f>
        <v>01.12.2026</v>
      </c>
      <c r="AX302" s="153" t="str">
        <f>VLOOKUP(C302,REV!C:AX,48,0)</f>
        <v>5G</v>
      </c>
    </row>
    <row r="303" spans="1:50" ht="22.5" customHeight="1">
      <c r="A303" s="57" t="s">
        <v>247</v>
      </c>
      <c r="B303" s="42" t="s">
        <v>64</v>
      </c>
      <c r="C303" s="43">
        <v>4015939</v>
      </c>
      <c r="D303" s="58" t="s">
        <v>472</v>
      </c>
      <c r="E303" s="58" t="s">
        <v>475</v>
      </c>
      <c r="F303" s="45"/>
      <c r="G303" s="45"/>
      <c r="H303" s="45"/>
      <c r="I303" s="45"/>
      <c r="J303" s="46">
        <f>IF(VLOOKUP($C303,REV!$C:$AA,8,0)-'TRADE IN'!$F303=0,"",(VLOOKUP($C303,REV!$C:$AA,8,0)-'TRADE IN'!$F303))</f>
        <v>1599</v>
      </c>
      <c r="K303" s="46">
        <f>IF(VLOOKUP($C303,REV!$C:$AA,9,0)-'TRADE IN'!$F303=0,"",(VLOOKUP($C303,REV!$C:$AA,9,0)-'TRADE IN'!$F303))</f>
        <v>1499</v>
      </c>
      <c r="L303" s="46">
        <f>IF(VLOOKUP($C303,REV!$C:$AA,10,0)-'TRADE IN'!$F303=0,"",(VLOOKUP($C303,REV!$C:$AA,10,0)-'TRADE IN'!$F303))</f>
        <v>1499</v>
      </c>
      <c r="M303" s="46">
        <f>IF(VLOOKUP($C303,REV!$C:$AA,11,0)-'TRADE IN'!$F303=0,"",(VLOOKUP($C303,REV!$C:$AA,11,0)-'TRADE IN'!$F303))</f>
        <v>1599</v>
      </c>
      <c r="N303" s="46">
        <f>IF(VLOOKUP($C303,REV!$C:$AA,12,0)-'TRADE IN'!$F303=0,"",(VLOOKUP($C303,REV!$C:$AA,12,0)-'TRADE IN'!$F303))</f>
        <v>1499</v>
      </c>
      <c r="O303" s="46">
        <f>IF(VLOOKUP($C303,REV!$C:$AA,13,0)-'TRADE IN'!$F303=0,"",(VLOOKUP($C303,REV!$C:$AA,13,0)-'TRADE IN'!$F303))</f>
        <v>1399</v>
      </c>
      <c r="P303" s="46">
        <f>IF(VLOOKUP($C303,REV!$C:$AA,14,0)-'TRADE IN'!$F303=0,"",(VLOOKUP($C303,REV!$C:$AA,14,0)-'TRADE IN'!$F303))</f>
        <v>1299</v>
      </c>
      <c r="Q303" s="46">
        <f>IF(VLOOKUP($C303,REV!$C:$AA,15,0)-'TRADE IN'!$F303=0,"",(VLOOKUP($C303,REV!$C:$AA,15,0)-'TRADE IN'!$F303))</f>
        <v>999</v>
      </c>
      <c r="R303" s="46">
        <f>IF(VLOOKUP($C303,REV!$C:$AA,16,0)-'TRADE IN'!$F303=0,"",(VLOOKUP($C303,REV!$C:$AA,16,0)-'TRADE IN'!$F303))</f>
        <v>1399</v>
      </c>
      <c r="S303" s="46">
        <f>IF(VLOOKUP($C303,REV!$C:$AA,17,0)-'TRADE IN'!$F303=0,"",(VLOOKUP($C303,REV!$C:$AA,17,0)-'TRADE IN'!$F303))</f>
        <v>1299</v>
      </c>
      <c r="T303" s="46">
        <f>IF(VLOOKUP($C303,REV!$C:$AA,18,0)-'TRADE IN'!$F303=0,"",(VLOOKUP($C303,REV!$C:$AA,18,0)-'TRADE IN'!$F303))</f>
        <v>999</v>
      </c>
      <c r="U303" s="46">
        <f>IF(VLOOKUP($C303,REV!$C:$AA,19,0)-'TRADE IN'!$F303=0,"",(VLOOKUP($C303,REV!$C:$AA,19,0)-'TRADE IN'!$F303))</f>
        <v>999</v>
      </c>
      <c r="V303" s="46">
        <f>IF(VLOOKUP($C303,REV!$C:$AA,20,0)-'TRADE IN'!$F303=0,"",(VLOOKUP($C303,REV!$C:$AA,20,0)-'TRADE IN'!$F303))</f>
        <v>999</v>
      </c>
      <c r="W303" s="46">
        <f>IF(VLOOKUP($C303,REV!$C:$AA,21,0)-'TRADE IN'!$F303=0,"",(VLOOKUP($C303,REV!$C:$AA,21,0)-'TRADE IN'!$F303))</f>
        <v>999</v>
      </c>
      <c r="X303" s="46">
        <f>IF(VLOOKUP($C303,REV!$C:$AA,22,0)-'TRADE IN'!$F303=0,"",(VLOOKUP($C303,REV!$C:$AA,22,0)-'TRADE IN'!$F303))</f>
        <v>999</v>
      </c>
      <c r="Y303" s="46">
        <f>IF(VLOOKUP($C303,REV!$C:$AA,23,0)-'TRADE IN'!$F303=0,"",(VLOOKUP($C303,REV!$C:$AA,23,0)-'TRADE IN'!$F303))</f>
        <v>999</v>
      </c>
      <c r="Z303" s="46">
        <f>IF(VLOOKUP($C303,REV!$C:$AA,24,0)-'TRADE IN'!$F303=0,"",(VLOOKUP($C303,REV!$C:$AA,24,0)-'TRADE IN'!$F303))</f>
        <v>999</v>
      </c>
      <c r="AA303" s="46">
        <f>IF(VLOOKUP($C303,REV!$C:$AA,25,0)-'TRADE IN'!$F303=0,"",(VLOOKUP($C303,REV!$C:$AA,25,0)-'TRADE IN'!$F303))</f>
        <v>999</v>
      </c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7"/>
      <c r="AW303" s="48" t="str">
        <f>REV!AW303</f>
        <v>01.12.2026</v>
      </c>
      <c r="AX303" s="153" t="str">
        <f>VLOOKUP(C303,REV!C:AX,48,0)</f>
        <v>5G</v>
      </c>
    </row>
    <row r="304" spans="1:50" ht="22.5" customHeight="1">
      <c r="A304" s="57" t="s">
        <v>247</v>
      </c>
      <c r="B304" s="42" t="s">
        <v>64</v>
      </c>
      <c r="C304" s="43">
        <v>4016152</v>
      </c>
      <c r="D304" s="58" t="s">
        <v>472</v>
      </c>
      <c r="E304" s="58" t="s">
        <v>476</v>
      </c>
      <c r="F304" s="45"/>
      <c r="G304" s="45"/>
      <c r="H304" s="45"/>
      <c r="I304" s="45"/>
      <c r="J304" s="46">
        <f>IF(VLOOKUP($C304,REV!$C:$AA,8,0)-'TRADE IN'!$F304=0,"",(VLOOKUP($C304,REV!$C:$AA,8,0)-'TRADE IN'!$F304))</f>
        <v>1599</v>
      </c>
      <c r="K304" s="46">
        <f>IF(VLOOKUP($C304,REV!$C:$AA,9,0)-'TRADE IN'!$F304=0,"",(VLOOKUP($C304,REV!$C:$AA,9,0)-'TRADE IN'!$F304))</f>
        <v>1499</v>
      </c>
      <c r="L304" s="46">
        <f>IF(VLOOKUP($C304,REV!$C:$AA,10,0)-'TRADE IN'!$F304=0,"",(VLOOKUP($C304,REV!$C:$AA,10,0)-'TRADE IN'!$F304))</f>
        <v>1499</v>
      </c>
      <c r="M304" s="46">
        <f>IF(VLOOKUP($C304,REV!$C:$AA,11,0)-'TRADE IN'!$F304=0,"",(VLOOKUP($C304,REV!$C:$AA,11,0)-'TRADE IN'!$F304))</f>
        <v>1599</v>
      </c>
      <c r="N304" s="46">
        <f>IF(VLOOKUP($C304,REV!$C:$AA,12,0)-'TRADE IN'!$F304=0,"",(VLOOKUP($C304,REV!$C:$AA,12,0)-'TRADE IN'!$F304))</f>
        <v>1499</v>
      </c>
      <c r="O304" s="46">
        <f>IF(VLOOKUP($C304,REV!$C:$AA,13,0)-'TRADE IN'!$F304=0,"",(VLOOKUP($C304,REV!$C:$AA,13,0)-'TRADE IN'!$F304))</f>
        <v>1399</v>
      </c>
      <c r="P304" s="46">
        <f>IF(VLOOKUP($C304,REV!$C:$AA,14,0)-'TRADE IN'!$F304=0,"",(VLOOKUP($C304,REV!$C:$AA,14,0)-'TRADE IN'!$F304))</f>
        <v>1299</v>
      </c>
      <c r="Q304" s="46">
        <f>IF(VLOOKUP($C304,REV!$C:$AA,15,0)-'TRADE IN'!$F304=0,"",(VLOOKUP($C304,REV!$C:$AA,15,0)-'TRADE IN'!$F304))</f>
        <v>999</v>
      </c>
      <c r="R304" s="46">
        <f>IF(VLOOKUP($C304,REV!$C:$AA,16,0)-'TRADE IN'!$F304=0,"",(VLOOKUP($C304,REV!$C:$AA,16,0)-'TRADE IN'!$F304))</f>
        <v>1399</v>
      </c>
      <c r="S304" s="46">
        <f>IF(VLOOKUP($C304,REV!$C:$AA,17,0)-'TRADE IN'!$F304=0,"",(VLOOKUP($C304,REV!$C:$AA,17,0)-'TRADE IN'!$F304))</f>
        <v>1299</v>
      </c>
      <c r="T304" s="46">
        <f>IF(VLOOKUP($C304,REV!$C:$AA,18,0)-'TRADE IN'!$F304=0,"",(VLOOKUP($C304,REV!$C:$AA,18,0)-'TRADE IN'!$F304))</f>
        <v>999</v>
      </c>
      <c r="U304" s="46">
        <f>IF(VLOOKUP($C304,REV!$C:$AA,19,0)-'TRADE IN'!$F304=0,"",(VLOOKUP($C304,REV!$C:$AA,19,0)-'TRADE IN'!$F304))</f>
        <v>999</v>
      </c>
      <c r="V304" s="46">
        <f>IF(VLOOKUP($C304,REV!$C:$AA,20,0)-'TRADE IN'!$F304=0,"",(VLOOKUP($C304,REV!$C:$AA,20,0)-'TRADE IN'!$F304))</f>
        <v>999</v>
      </c>
      <c r="W304" s="46">
        <f>IF(VLOOKUP($C304,REV!$C:$AA,21,0)-'TRADE IN'!$F304=0,"",(VLOOKUP($C304,REV!$C:$AA,21,0)-'TRADE IN'!$F304))</f>
        <v>999</v>
      </c>
      <c r="X304" s="46">
        <f>IF(VLOOKUP($C304,REV!$C:$AA,22,0)-'TRADE IN'!$F304=0,"",(VLOOKUP($C304,REV!$C:$AA,22,0)-'TRADE IN'!$F304))</f>
        <v>999</v>
      </c>
      <c r="Y304" s="46">
        <f>IF(VLOOKUP($C304,REV!$C:$AA,23,0)-'TRADE IN'!$F304=0,"",(VLOOKUP($C304,REV!$C:$AA,23,0)-'TRADE IN'!$F304))</f>
        <v>999</v>
      </c>
      <c r="Z304" s="46">
        <f>IF(VLOOKUP($C304,REV!$C:$AA,24,0)-'TRADE IN'!$F304=0,"",(VLOOKUP($C304,REV!$C:$AA,24,0)-'TRADE IN'!$F304))</f>
        <v>999</v>
      </c>
      <c r="AA304" s="46">
        <f>IF(VLOOKUP($C304,REV!$C:$AA,25,0)-'TRADE IN'!$F304=0,"",(VLOOKUP($C304,REV!$C:$AA,25,0)-'TRADE IN'!$F304))</f>
        <v>999</v>
      </c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7"/>
      <c r="AW304" s="48" t="str">
        <f>REV!AW304</f>
        <v>01.12.2026</v>
      </c>
      <c r="AX304" s="153" t="str">
        <f>VLOOKUP(C304,REV!C:AX,48,0)</f>
        <v>5G</v>
      </c>
    </row>
    <row r="305" spans="1:50" ht="22.5" customHeight="1">
      <c r="A305" s="57" t="s">
        <v>247</v>
      </c>
      <c r="B305" s="42" t="s">
        <v>64</v>
      </c>
      <c r="C305" s="43">
        <v>4016159</v>
      </c>
      <c r="D305" s="58" t="s">
        <v>472</v>
      </c>
      <c r="E305" s="58" t="s">
        <v>477</v>
      </c>
      <c r="F305" s="45"/>
      <c r="G305" s="45"/>
      <c r="H305" s="45"/>
      <c r="I305" s="45"/>
      <c r="J305" s="46">
        <f>IF(VLOOKUP($C305,REV!$C:$AA,8,0)-'TRADE IN'!$F305=0,"",(VLOOKUP($C305,REV!$C:$AA,8,0)-'TRADE IN'!$F305))</f>
        <v>1599</v>
      </c>
      <c r="K305" s="46">
        <f>IF(VLOOKUP($C305,REV!$C:$AA,9,0)-'TRADE IN'!$F305=0,"",(VLOOKUP($C305,REV!$C:$AA,9,0)-'TRADE IN'!$F305))</f>
        <v>1499</v>
      </c>
      <c r="L305" s="46">
        <f>IF(VLOOKUP($C305,REV!$C:$AA,10,0)-'TRADE IN'!$F305=0,"",(VLOOKUP($C305,REV!$C:$AA,10,0)-'TRADE IN'!$F305))</f>
        <v>1499</v>
      </c>
      <c r="M305" s="46">
        <f>IF(VLOOKUP($C305,REV!$C:$AA,11,0)-'TRADE IN'!$F305=0,"",(VLOOKUP($C305,REV!$C:$AA,11,0)-'TRADE IN'!$F305))</f>
        <v>1599</v>
      </c>
      <c r="N305" s="46">
        <f>IF(VLOOKUP($C305,REV!$C:$AA,12,0)-'TRADE IN'!$F305=0,"",(VLOOKUP($C305,REV!$C:$AA,12,0)-'TRADE IN'!$F305))</f>
        <v>1499</v>
      </c>
      <c r="O305" s="46">
        <f>IF(VLOOKUP($C305,REV!$C:$AA,13,0)-'TRADE IN'!$F305=0,"",(VLOOKUP($C305,REV!$C:$AA,13,0)-'TRADE IN'!$F305))</f>
        <v>1399</v>
      </c>
      <c r="P305" s="46">
        <f>IF(VLOOKUP($C305,REV!$C:$AA,14,0)-'TRADE IN'!$F305=0,"",(VLOOKUP($C305,REV!$C:$AA,14,0)-'TRADE IN'!$F305))</f>
        <v>1299</v>
      </c>
      <c r="Q305" s="46">
        <f>IF(VLOOKUP($C305,REV!$C:$AA,15,0)-'TRADE IN'!$F305=0,"",(VLOOKUP($C305,REV!$C:$AA,15,0)-'TRADE IN'!$F305))</f>
        <v>999</v>
      </c>
      <c r="R305" s="46">
        <f>IF(VLOOKUP($C305,REV!$C:$AA,16,0)-'TRADE IN'!$F305=0,"",(VLOOKUP($C305,REV!$C:$AA,16,0)-'TRADE IN'!$F305))</f>
        <v>1399</v>
      </c>
      <c r="S305" s="46">
        <f>IF(VLOOKUP($C305,REV!$C:$AA,17,0)-'TRADE IN'!$F305=0,"",(VLOOKUP($C305,REV!$C:$AA,17,0)-'TRADE IN'!$F305))</f>
        <v>1299</v>
      </c>
      <c r="T305" s="46">
        <f>IF(VLOOKUP($C305,REV!$C:$AA,18,0)-'TRADE IN'!$F305=0,"",(VLOOKUP($C305,REV!$C:$AA,18,0)-'TRADE IN'!$F305))</f>
        <v>999</v>
      </c>
      <c r="U305" s="46">
        <f>IF(VLOOKUP($C305,REV!$C:$AA,19,0)-'TRADE IN'!$F305=0,"",(VLOOKUP($C305,REV!$C:$AA,19,0)-'TRADE IN'!$F305))</f>
        <v>999</v>
      </c>
      <c r="V305" s="46">
        <f>IF(VLOOKUP($C305,REV!$C:$AA,20,0)-'TRADE IN'!$F305=0,"",(VLOOKUP($C305,REV!$C:$AA,20,0)-'TRADE IN'!$F305))</f>
        <v>999</v>
      </c>
      <c r="W305" s="46">
        <f>IF(VLOOKUP($C305,REV!$C:$AA,21,0)-'TRADE IN'!$F305=0,"",(VLOOKUP($C305,REV!$C:$AA,21,0)-'TRADE IN'!$F305))</f>
        <v>999</v>
      </c>
      <c r="X305" s="46">
        <f>IF(VLOOKUP($C305,REV!$C:$AA,22,0)-'TRADE IN'!$F305=0,"",(VLOOKUP($C305,REV!$C:$AA,22,0)-'TRADE IN'!$F305))</f>
        <v>999</v>
      </c>
      <c r="Y305" s="46">
        <f>IF(VLOOKUP($C305,REV!$C:$AA,23,0)-'TRADE IN'!$F305=0,"",(VLOOKUP($C305,REV!$C:$AA,23,0)-'TRADE IN'!$F305))</f>
        <v>999</v>
      </c>
      <c r="Z305" s="46">
        <f>IF(VLOOKUP($C305,REV!$C:$AA,24,0)-'TRADE IN'!$F305=0,"",(VLOOKUP($C305,REV!$C:$AA,24,0)-'TRADE IN'!$F305))</f>
        <v>999</v>
      </c>
      <c r="AA305" s="46">
        <f>IF(VLOOKUP($C305,REV!$C:$AA,25,0)-'TRADE IN'!$F305=0,"",(VLOOKUP($C305,REV!$C:$AA,25,0)-'TRADE IN'!$F305))</f>
        <v>999</v>
      </c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7"/>
      <c r="AW305" s="48" t="str">
        <f>REV!AW305</f>
        <v>01.12.2026</v>
      </c>
      <c r="AX305" s="153" t="str">
        <f>VLOOKUP(C305,REV!C:AX,48,0)</f>
        <v>5G</v>
      </c>
    </row>
    <row r="306" spans="1:50" ht="22.5" customHeight="1">
      <c r="A306" s="57" t="s">
        <v>247</v>
      </c>
      <c r="B306" s="42" t="s">
        <v>64</v>
      </c>
      <c r="C306" s="43">
        <v>4016147</v>
      </c>
      <c r="D306" s="58" t="s">
        <v>472</v>
      </c>
      <c r="E306" s="58" t="s">
        <v>478</v>
      </c>
      <c r="F306" s="45"/>
      <c r="G306" s="45"/>
      <c r="H306" s="45"/>
      <c r="I306" s="45"/>
      <c r="J306" s="46">
        <f>IF(VLOOKUP($C306,REV!$C:$AA,8,0)-'TRADE IN'!$F306=0,"",(VLOOKUP($C306,REV!$C:$AA,8,0)-'TRADE IN'!$F306))</f>
        <v>1599</v>
      </c>
      <c r="K306" s="46">
        <f>IF(VLOOKUP($C306,REV!$C:$AA,9,0)-'TRADE IN'!$F306=0,"",(VLOOKUP($C306,REV!$C:$AA,9,0)-'TRADE IN'!$F306))</f>
        <v>1499</v>
      </c>
      <c r="L306" s="46">
        <f>IF(VLOOKUP($C306,REV!$C:$AA,10,0)-'TRADE IN'!$F306=0,"",(VLOOKUP($C306,REV!$C:$AA,10,0)-'TRADE IN'!$F306))</f>
        <v>1499</v>
      </c>
      <c r="M306" s="46">
        <f>IF(VLOOKUP($C306,REV!$C:$AA,11,0)-'TRADE IN'!$F306=0,"",(VLOOKUP($C306,REV!$C:$AA,11,0)-'TRADE IN'!$F306))</f>
        <v>1599</v>
      </c>
      <c r="N306" s="46">
        <f>IF(VLOOKUP($C306,REV!$C:$AA,12,0)-'TRADE IN'!$F306=0,"",(VLOOKUP($C306,REV!$C:$AA,12,0)-'TRADE IN'!$F306))</f>
        <v>1499</v>
      </c>
      <c r="O306" s="46">
        <f>IF(VLOOKUP($C306,REV!$C:$AA,13,0)-'TRADE IN'!$F306=0,"",(VLOOKUP($C306,REV!$C:$AA,13,0)-'TRADE IN'!$F306))</f>
        <v>1399</v>
      </c>
      <c r="P306" s="46">
        <f>IF(VLOOKUP($C306,REV!$C:$AA,14,0)-'TRADE IN'!$F306=0,"",(VLOOKUP($C306,REV!$C:$AA,14,0)-'TRADE IN'!$F306))</f>
        <v>1299</v>
      </c>
      <c r="Q306" s="46">
        <f>IF(VLOOKUP($C306,REV!$C:$AA,15,0)-'TRADE IN'!$F306=0,"",(VLOOKUP($C306,REV!$C:$AA,15,0)-'TRADE IN'!$F306))</f>
        <v>999</v>
      </c>
      <c r="R306" s="46">
        <f>IF(VLOOKUP($C306,REV!$C:$AA,16,0)-'TRADE IN'!$F306=0,"",(VLOOKUP($C306,REV!$C:$AA,16,0)-'TRADE IN'!$F306))</f>
        <v>1399</v>
      </c>
      <c r="S306" s="46">
        <f>IF(VLOOKUP($C306,REV!$C:$AA,17,0)-'TRADE IN'!$F306=0,"",(VLOOKUP($C306,REV!$C:$AA,17,0)-'TRADE IN'!$F306))</f>
        <v>1299</v>
      </c>
      <c r="T306" s="46">
        <f>IF(VLOOKUP($C306,REV!$C:$AA,18,0)-'TRADE IN'!$F306=0,"",(VLOOKUP($C306,REV!$C:$AA,18,0)-'TRADE IN'!$F306))</f>
        <v>999</v>
      </c>
      <c r="U306" s="46">
        <f>IF(VLOOKUP($C306,REV!$C:$AA,19,0)-'TRADE IN'!$F306=0,"",(VLOOKUP($C306,REV!$C:$AA,19,0)-'TRADE IN'!$F306))</f>
        <v>999</v>
      </c>
      <c r="V306" s="46">
        <f>IF(VLOOKUP($C306,REV!$C:$AA,20,0)-'TRADE IN'!$F306=0,"",(VLOOKUP($C306,REV!$C:$AA,20,0)-'TRADE IN'!$F306))</f>
        <v>999</v>
      </c>
      <c r="W306" s="46">
        <f>IF(VLOOKUP($C306,REV!$C:$AA,21,0)-'TRADE IN'!$F306=0,"",(VLOOKUP($C306,REV!$C:$AA,21,0)-'TRADE IN'!$F306))</f>
        <v>999</v>
      </c>
      <c r="X306" s="46">
        <f>IF(VLOOKUP($C306,REV!$C:$AA,22,0)-'TRADE IN'!$F306=0,"",(VLOOKUP($C306,REV!$C:$AA,22,0)-'TRADE IN'!$F306))</f>
        <v>999</v>
      </c>
      <c r="Y306" s="46">
        <f>IF(VLOOKUP($C306,REV!$C:$AA,23,0)-'TRADE IN'!$F306=0,"",(VLOOKUP($C306,REV!$C:$AA,23,0)-'TRADE IN'!$F306))</f>
        <v>999</v>
      </c>
      <c r="Z306" s="46">
        <f>IF(VLOOKUP($C306,REV!$C:$AA,24,0)-'TRADE IN'!$F306=0,"",(VLOOKUP($C306,REV!$C:$AA,24,0)-'TRADE IN'!$F306))</f>
        <v>999</v>
      </c>
      <c r="AA306" s="46">
        <f>IF(VLOOKUP($C306,REV!$C:$AA,25,0)-'TRADE IN'!$F306=0,"",(VLOOKUP($C306,REV!$C:$AA,25,0)-'TRADE IN'!$F306))</f>
        <v>999</v>
      </c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7"/>
      <c r="AW306" s="48" t="str">
        <f>REV!AW306</f>
        <v>01.12.2026</v>
      </c>
      <c r="AX306" s="153" t="str">
        <f>VLOOKUP(C306,REV!C:AX,48,0)</f>
        <v>5G</v>
      </c>
    </row>
    <row r="307" spans="1:50" ht="22.5" customHeight="1">
      <c r="A307" s="57" t="s">
        <v>247</v>
      </c>
      <c r="B307" s="42" t="s">
        <v>64</v>
      </c>
      <c r="C307" s="43">
        <v>4016974</v>
      </c>
      <c r="D307" s="58" t="s">
        <v>479</v>
      </c>
      <c r="E307" s="58" t="s">
        <v>480</v>
      </c>
      <c r="F307" s="45"/>
      <c r="G307" s="45"/>
      <c r="H307" s="45"/>
      <c r="I307" s="45"/>
      <c r="J307" s="46">
        <f>IF(VLOOKUP($C307,REV!$C:$AA,8,0)-'TRADE IN'!$F307=0,"",(VLOOKUP($C307,REV!$C:$AA,8,0)-'TRADE IN'!$F307))</f>
        <v>1799</v>
      </c>
      <c r="K307" s="46">
        <f>IF(VLOOKUP($C307,REV!$C:$AA,9,0)-'TRADE IN'!$F307=0,"",(VLOOKUP($C307,REV!$C:$AA,9,0)-'TRADE IN'!$F307))</f>
        <v>1599</v>
      </c>
      <c r="L307" s="46">
        <f>IF(VLOOKUP($C307,REV!$C:$AA,10,0)-'TRADE IN'!$F307=0,"",(VLOOKUP($C307,REV!$C:$AA,10,0)-'TRADE IN'!$F307))</f>
        <v>1599</v>
      </c>
      <c r="M307" s="46">
        <f>IF(VLOOKUP($C307,REV!$C:$AA,11,0)-'TRADE IN'!$F307=0,"",(VLOOKUP($C307,REV!$C:$AA,11,0)-'TRADE IN'!$F307))</f>
        <v>1799</v>
      </c>
      <c r="N307" s="46">
        <f>IF(VLOOKUP($C307,REV!$C:$AA,12,0)-'TRADE IN'!$F307=0,"",(VLOOKUP($C307,REV!$C:$AA,12,0)-'TRADE IN'!$F307))</f>
        <v>1599</v>
      </c>
      <c r="O307" s="46">
        <f>IF(VLOOKUP($C307,REV!$C:$AA,13,0)-'TRADE IN'!$F307=0,"",(VLOOKUP($C307,REV!$C:$AA,13,0)-'TRADE IN'!$F307))</f>
        <v>1549</v>
      </c>
      <c r="P307" s="46">
        <f>IF(VLOOKUP($C307,REV!$C:$AA,14,0)-'TRADE IN'!$F307=0,"",(VLOOKUP($C307,REV!$C:$AA,14,0)-'TRADE IN'!$F307))</f>
        <v>1499</v>
      </c>
      <c r="Q307" s="46">
        <f>IF(VLOOKUP($C307,REV!$C:$AA,15,0)-'TRADE IN'!$F307=0,"",(VLOOKUP($C307,REV!$C:$AA,15,0)-'TRADE IN'!$F307))</f>
        <v>1299</v>
      </c>
      <c r="R307" s="46">
        <f>IF(VLOOKUP($C307,REV!$C:$AA,16,0)-'TRADE IN'!$F307=0,"",(VLOOKUP($C307,REV!$C:$AA,16,0)-'TRADE IN'!$F307))</f>
        <v>1549</v>
      </c>
      <c r="S307" s="46">
        <f>IF(VLOOKUP($C307,REV!$C:$AA,17,0)-'TRADE IN'!$F307=0,"",(VLOOKUP($C307,REV!$C:$AA,17,0)-'TRADE IN'!$F307))</f>
        <v>1499</v>
      </c>
      <c r="T307" s="46">
        <f>IF(VLOOKUP($C307,REV!$C:$AA,18,0)-'TRADE IN'!$F307=0,"",(VLOOKUP($C307,REV!$C:$AA,18,0)-'TRADE IN'!$F307))</f>
        <v>1299</v>
      </c>
      <c r="U307" s="46">
        <f>IF(VLOOKUP($C307,REV!$C:$AA,19,0)-'TRADE IN'!$F307=0,"",(VLOOKUP($C307,REV!$C:$AA,19,0)-'TRADE IN'!$F307))</f>
        <v>1299</v>
      </c>
      <c r="V307" s="46">
        <f>IF(VLOOKUP($C307,REV!$C:$AA,20,0)-'TRADE IN'!$F307=0,"",(VLOOKUP($C307,REV!$C:$AA,20,0)-'TRADE IN'!$F307))</f>
        <v>1299</v>
      </c>
      <c r="W307" s="46">
        <f>IF(VLOOKUP($C307,REV!$C:$AA,21,0)-'TRADE IN'!$F307=0,"",(VLOOKUP($C307,REV!$C:$AA,21,0)-'TRADE IN'!$F307))</f>
        <v>1299</v>
      </c>
      <c r="X307" s="46">
        <f>IF(VLOOKUP($C307,REV!$C:$AA,22,0)-'TRADE IN'!$F307=0,"",(VLOOKUP($C307,REV!$C:$AA,22,0)-'TRADE IN'!$F307))</f>
        <v>1299</v>
      </c>
      <c r="Y307" s="46">
        <f>IF(VLOOKUP($C307,REV!$C:$AA,23,0)-'TRADE IN'!$F307=0,"",(VLOOKUP($C307,REV!$C:$AA,23,0)-'TRADE IN'!$F307))</f>
        <v>1299</v>
      </c>
      <c r="Z307" s="46">
        <f>IF(VLOOKUP($C307,REV!$C:$AA,24,0)-'TRADE IN'!$F307=0,"",(VLOOKUP($C307,REV!$C:$AA,24,0)-'TRADE IN'!$F307))</f>
        <v>1299</v>
      </c>
      <c r="AA307" s="46">
        <f>IF(VLOOKUP($C307,REV!$C:$AA,25,0)-'TRADE IN'!$F307=0,"",(VLOOKUP($C307,REV!$C:$AA,25,0)-'TRADE IN'!$F307))</f>
        <v>1299</v>
      </c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7"/>
      <c r="AW307" s="48" t="str">
        <f>REV!AW307</f>
        <v>01.12.2026</v>
      </c>
      <c r="AX307" s="153" t="str">
        <f>VLOOKUP(C307,REV!C:AX,48,0)</f>
        <v>5G</v>
      </c>
    </row>
    <row r="308" spans="1:50" ht="22.5" customHeight="1">
      <c r="A308" s="57" t="s">
        <v>247</v>
      </c>
      <c r="B308" s="42" t="s">
        <v>64</v>
      </c>
      <c r="C308" s="43">
        <v>4016989</v>
      </c>
      <c r="D308" s="58" t="s">
        <v>479</v>
      </c>
      <c r="E308" s="58" t="s">
        <v>481</v>
      </c>
      <c r="F308" s="45"/>
      <c r="G308" s="45"/>
      <c r="H308" s="45"/>
      <c r="I308" s="45"/>
      <c r="J308" s="46">
        <f>IF(VLOOKUP($C308,REV!$C:$AA,8,0)-'TRADE IN'!$F308=0,"",(VLOOKUP($C308,REV!$C:$AA,8,0)-'TRADE IN'!$F308))</f>
        <v>1799</v>
      </c>
      <c r="K308" s="46">
        <f>IF(VLOOKUP($C308,REV!$C:$AA,9,0)-'TRADE IN'!$F308=0,"",(VLOOKUP($C308,REV!$C:$AA,9,0)-'TRADE IN'!$F308))</f>
        <v>1599</v>
      </c>
      <c r="L308" s="46">
        <f>IF(VLOOKUP($C308,REV!$C:$AA,10,0)-'TRADE IN'!$F308=0,"",(VLOOKUP($C308,REV!$C:$AA,10,0)-'TRADE IN'!$F308))</f>
        <v>1599</v>
      </c>
      <c r="M308" s="46">
        <f>IF(VLOOKUP($C308,REV!$C:$AA,11,0)-'TRADE IN'!$F308=0,"",(VLOOKUP($C308,REV!$C:$AA,11,0)-'TRADE IN'!$F308))</f>
        <v>1799</v>
      </c>
      <c r="N308" s="46">
        <f>IF(VLOOKUP($C308,REV!$C:$AA,12,0)-'TRADE IN'!$F308=0,"",(VLOOKUP($C308,REV!$C:$AA,12,0)-'TRADE IN'!$F308))</f>
        <v>1599</v>
      </c>
      <c r="O308" s="46">
        <f>IF(VLOOKUP($C308,REV!$C:$AA,13,0)-'TRADE IN'!$F308=0,"",(VLOOKUP($C308,REV!$C:$AA,13,0)-'TRADE IN'!$F308))</f>
        <v>1549</v>
      </c>
      <c r="P308" s="46">
        <f>IF(VLOOKUP($C308,REV!$C:$AA,14,0)-'TRADE IN'!$F308=0,"",(VLOOKUP($C308,REV!$C:$AA,14,0)-'TRADE IN'!$F308))</f>
        <v>1499</v>
      </c>
      <c r="Q308" s="46">
        <f>IF(VLOOKUP($C308,REV!$C:$AA,15,0)-'TRADE IN'!$F308=0,"",(VLOOKUP($C308,REV!$C:$AA,15,0)-'TRADE IN'!$F308))</f>
        <v>1299</v>
      </c>
      <c r="R308" s="46">
        <f>IF(VLOOKUP($C308,REV!$C:$AA,16,0)-'TRADE IN'!$F308=0,"",(VLOOKUP($C308,REV!$C:$AA,16,0)-'TRADE IN'!$F308))</f>
        <v>1549</v>
      </c>
      <c r="S308" s="46">
        <f>IF(VLOOKUP($C308,REV!$C:$AA,17,0)-'TRADE IN'!$F308=0,"",(VLOOKUP($C308,REV!$C:$AA,17,0)-'TRADE IN'!$F308))</f>
        <v>1499</v>
      </c>
      <c r="T308" s="46">
        <f>IF(VLOOKUP($C308,REV!$C:$AA,18,0)-'TRADE IN'!$F308=0,"",(VLOOKUP($C308,REV!$C:$AA,18,0)-'TRADE IN'!$F308))</f>
        <v>1299</v>
      </c>
      <c r="U308" s="46">
        <f>IF(VLOOKUP($C308,REV!$C:$AA,19,0)-'TRADE IN'!$F308=0,"",(VLOOKUP($C308,REV!$C:$AA,19,0)-'TRADE IN'!$F308))</f>
        <v>1299</v>
      </c>
      <c r="V308" s="46">
        <f>IF(VLOOKUP($C308,REV!$C:$AA,20,0)-'TRADE IN'!$F308=0,"",(VLOOKUP($C308,REV!$C:$AA,20,0)-'TRADE IN'!$F308))</f>
        <v>1299</v>
      </c>
      <c r="W308" s="46">
        <f>IF(VLOOKUP($C308,REV!$C:$AA,21,0)-'TRADE IN'!$F308=0,"",(VLOOKUP($C308,REV!$C:$AA,21,0)-'TRADE IN'!$F308))</f>
        <v>1299</v>
      </c>
      <c r="X308" s="46">
        <f>IF(VLOOKUP($C308,REV!$C:$AA,22,0)-'TRADE IN'!$F308=0,"",(VLOOKUP($C308,REV!$C:$AA,22,0)-'TRADE IN'!$F308))</f>
        <v>1299</v>
      </c>
      <c r="Y308" s="46">
        <f>IF(VLOOKUP($C308,REV!$C:$AA,23,0)-'TRADE IN'!$F308=0,"",(VLOOKUP($C308,REV!$C:$AA,23,0)-'TRADE IN'!$F308))</f>
        <v>1299</v>
      </c>
      <c r="Z308" s="46">
        <f>IF(VLOOKUP($C308,REV!$C:$AA,24,0)-'TRADE IN'!$F308=0,"",(VLOOKUP($C308,REV!$C:$AA,24,0)-'TRADE IN'!$F308))</f>
        <v>1299</v>
      </c>
      <c r="AA308" s="46">
        <f>IF(VLOOKUP($C308,REV!$C:$AA,25,0)-'TRADE IN'!$F308=0,"",(VLOOKUP($C308,REV!$C:$AA,25,0)-'TRADE IN'!$F308))</f>
        <v>1299</v>
      </c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7"/>
      <c r="AW308" s="48" t="str">
        <f>REV!AW308</f>
        <v>01.12.2026</v>
      </c>
      <c r="AX308" s="153" t="str">
        <f>VLOOKUP(C308,REV!C:AX,48,0)</f>
        <v>5G</v>
      </c>
    </row>
    <row r="309" spans="1:50" ht="22.5" customHeight="1">
      <c r="A309" s="57" t="s">
        <v>247</v>
      </c>
      <c r="B309" s="42" t="s">
        <v>64</v>
      </c>
      <c r="C309" s="43">
        <v>4016978</v>
      </c>
      <c r="D309" s="58" t="s">
        <v>479</v>
      </c>
      <c r="E309" s="58" t="s">
        <v>482</v>
      </c>
      <c r="F309" s="45"/>
      <c r="G309" s="45"/>
      <c r="H309" s="45"/>
      <c r="I309" s="45"/>
      <c r="J309" s="46">
        <f>IF(VLOOKUP($C309,REV!$C:$AA,8,0)-'TRADE IN'!$F309=0,"",(VLOOKUP($C309,REV!$C:$AA,8,0)-'TRADE IN'!$F309))</f>
        <v>1799</v>
      </c>
      <c r="K309" s="46">
        <f>IF(VLOOKUP($C309,REV!$C:$AA,9,0)-'TRADE IN'!$F309=0,"",(VLOOKUP($C309,REV!$C:$AA,9,0)-'TRADE IN'!$F309))</f>
        <v>1599</v>
      </c>
      <c r="L309" s="46">
        <f>IF(VLOOKUP($C309,REV!$C:$AA,10,0)-'TRADE IN'!$F309=0,"",(VLOOKUP($C309,REV!$C:$AA,10,0)-'TRADE IN'!$F309))</f>
        <v>1599</v>
      </c>
      <c r="M309" s="46">
        <f>IF(VLOOKUP($C309,REV!$C:$AA,11,0)-'TRADE IN'!$F309=0,"",(VLOOKUP($C309,REV!$C:$AA,11,0)-'TRADE IN'!$F309))</f>
        <v>1799</v>
      </c>
      <c r="N309" s="46">
        <f>IF(VLOOKUP($C309,REV!$C:$AA,12,0)-'TRADE IN'!$F309=0,"",(VLOOKUP($C309,REV!$C:$AA,12,0)-'TRADE IN'!$F309))</f>
        <v>1599</v>
      </c>
      <c r="O309" s="46">
        <f>IF(VLOOKUP($C309,REV!$C:$AA,13,0)-'TRADE IN'!$F309=0,"",(VLOOKUP($C309,REV!$C:$AA,13,0)-'TRADE IN'!$F309))</f>
        <v>1549</v>
      </c>
      <c r="P309" s="46">
        <f>IF(VLOOKUP($C309,REV!$C:$AA,14,0)-'TRADE IN'!$F309=0,"",(VLOOKUP($C309,REV!$C:$AA,14,0)-'TRADE IN'!$F309))</f>
        <v>1499</v>
      </c>
      <c r="Q309" s="46">
        <f>IF(VLOOKUP($C309,REV!$C:$AA,15,0)-'TRADE IN'!$F309=0,"",(VLOOKUP($C309,REV!$C:$AA,15,0)-'TRADE IN'!$F309))</f>
        <v>1299</v>
      </c>
      <c r="R309" s="46">
        <f>IF(VLOOKUP($C309,REV!$C:$AA,16,0)-'TRADE IN'!$F309=0,"",(VLOOKUP($C309,REV!$C:$AA,16,0)-'TRADE IN'!$F309))</f>
        <v>1549</v>
      </c>
      <c r="S309" s="46">
        <f>IF(VLOOKUP($C309,REV!$C:$AA,17,0)-'TRADE IN'!$F309=0,"",(VLOOKUP($C309,REV!$C:$AA,17,0)-'TRADE IN'!$F309))</f>
        <v>1499</v>
      </c>
      <c r="T309" s="46">
        <f>IF(VLOOKUP($C309,REV!$C:$AA,18,0)-'TRADE IN'!$F309=0,"",(VLOOKUP($C309,REV!$C:$AA,18,0)-'TRADE IN'!$F309))</f>
        <v>1299</v>
      </c>
      <c r="U309" s="46">
        <f>IF(VLOOKUP($C309,REV!$C:$AA,19,0)-'TRADE IN'!$F309=0,"",(VLOOKUP($C309,REV!$C:$AA,19,0)-'TRADE IN'!$F309))</f>
        <v>1299</v>
      </c>
      <c r="V309" s="46">
        <f>IF(VLOOKUP($C309,REV!$C:$AA,20,0)-'TRADE IN'!$F309=0,"",(VLOOKUP($C309,REV!$C:$AA,20,0)-'TRADE IN'!$F309))</f>
        <v>1299</v>
      </c>
      <c r="W309" s="46">
        <f>IF(VLOOKUP($C309,REV!$C:$AA,21,0)-'TRADE IN'!$F309=0,"",(VLOOKUP($C309,REV!$C:$AA,21,0)-'TRADE IN'!$F309))</f>
        <v>1299</v>
      </c>
      <c r="X309" s="46">
        <f>IF(VLOOKUP($C309,REV!$C:$AA,22,0)-'TRADE IN'!$F309=0,"",(VLOOKUP($C309,REV!$C:$AA,22,0)-'TRADE IN'!$F309))</f>
        <v>1299</v>
      </c>
      <c r="Y309" s="46">
        <f>IF(VLOOKUP($C309,REV!$C:$AA,23,0)-'TRADE IN'!$F309=0,"",(VLOOKUP($C309,REV!$C:$AA,23,0)-'TRADE IN'!$F309))</f>
        <v>1299</v>
      </c>
      <c r="Z309" s="46">
        <f>IF(VLOOKUP($C309,REV!$C:$AA,24,0)-'TRADE IN'!$F309=0,"",(VLOOKUP($C309,REV!$C:$AA,24,0)-'TRADE IN'!$F309))</f>
        <v>1299</v>
      </c>
      <c r="AA309" s="46">
        <f>IF(VLOOKUP($C309,REV!$C:$AA,25,0)-'TRADE IN'!$F309=0,"",(VLOOKUP($C309,REV!$C:$AA,25,0)-'TRADE IN'!$F309))</f>
        <v>1299</v>
      </c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7"/>
      <c r="AW309" s="48" t="str">
        <f>REV!AW309</f>
        <v>01.12.2026</v>
      </c>
      <c r="AX309" s="153" t="str">
        <f>VLOOKUP(C309,REV!C:AX,48,0)</f>
        <v>5G</v>
      </c>
    </row>
    <row r="310" spans="1:50" ht="22.5" customHeight="1">
      <c r="A310" s="57" t="s">
        <v>247</v>
      </c>
      <c r="B310" s="42" t="s">
        <v>64</v>
      </c>
      <c r="C310" s="43">
        <v>4016994</v>
      </c>
      <c r="D310" s="58" t="s">
        <v>479</v>
      </c>
      <c r="E310" s="58" t="s">
        <v>483</v>
      </c>
      <c r="F310" s="45"/>
      <c r="G310" s="45"/>
      <c r="H310" s="45"/>
      <c r="I310" s="45"/>
      <c r="J310" s="46">
        <f>IF(VLOOKUP($C310,REV!$C:$AA,8,0)-'TRADE IN'!$F310=0,"",(VLOOKUP($C310,REV!$C:$AA,8,0)-'TRADE IN'!$F310))</f>
        <v>1799</v>
      </c>
      <c r="K310" s="46">
        <f>IF(VLOOKUP($C310,REV!$C:$AA,9,0)-'TRADE IN'!$F310=0,"",(VLOOKUP($C310,REV!$C:$AA,9,0)-'TRADE IN'!$F310))</f>
        <v>1599</v>
      </c>
      <c r="L310" s="46">
        <f>IF(VLOOKUP($C310,REV!$C:$AA,10,0)-'TRADE IN'!$F310=0,"",(VLOOKUP($C310,REV!$C:$AA,10,0)-'TRADE IN'!$F310))</f>
        <v>1599</v>
      </c>
      <c r="M310" s="46">
        <f>IF(VLOOKUP($C310,REV!$C:$AA,11,0)-'TRADE IN'!$F310=0,"",(VLOOKUP($C310,REV!$C:$AA,11,0)-'TRADE IN'!$F310))</f>
        <v>1799</v>
      </c>
      <c r="N310" s="46">
        <f>IF(VLOOKUP($C310,REV!$C:$AA,12,0)-'TRADE IN'!$F310=0,"",(VLOOKUP($C310,REV!$C:$AA,12,0)-'TRADE IN'!$F310))</f>
        <v>1599</v>
      </c>
      <c r="O310" s="46">
        <f>IF(VLOOKUP($C310,REV!$C:$AA,13,0)-'TRADE IN'!$F310=0,"",(VLOOKUP($C310,REV!$C:$AA,13,0)-'TRADE IN'!$F310))</f>
        <v>1549</v>
      </c>
      <c r="P310" s="46">
        <f>IF(VLOOKUP($C310,REV!$C:$AA,14,0)-'TRADE IN'!$F310=0,"",(VLOOKUP($C310,REV!$C:$AA,14,0)-'TRADE IN'!$F310))</f>
        <v>1499</v>
      </c>
      <c r="Q310" s="46">
        <f>IF(VLOOKUP($C310,REV!$C:$AA,15,0)-'TRADE IN'!$F310=0,"",(VLOOKUP($C310,REV!$C:$AA,15,0)-'TRADE IN'!$F310))</f>
        <v>1299</v>
      </c>
      <c r="R310" s="46">
        <f>IF(VLOOKUP($C310,REV!$C:$AA,16,0)-'TRADE IN'!$F310=0,"",(VLOOKUP($C310,REV!$C:$AA,16,0)-'TRADE IN'!$F310))</f>
        <v>1549</v>
      </c>
      <c r="S310" s="46">
        <f>IF(VLOOKUP($C310,REV!$C:$AA,17,0)-'TRADE IN'!$F310=0,"",(VLOOKUP($C310,REV!$C:$AA,17,0)-'TRADE IN'!$F310))</f>
        <v>1499</v>
      </c>
      <c r="T310" s="46">
        <f>IF(VLOOKUP($C310,REV!$C:$AA,18,0)-'TRADE IN'!$F310=0,"",(VLOOKUP($C310,REV!$C:$AA,18,0)-'TRADE IN'!$F310))</f>
        <v>1299</v>
      </c>
      <c r="U310" s="46">
        <f>IF(VLOOKUP($C310,REV!$C:$AA,19,0)-'TRADE IN'!$F310=0,"",(VLOOKUP($C310,REV!$C:$AA,19,0)-'TRADE IN'!$F310))</f>
        <v>1299</v>
      </c>
      <c r="V310" s="46">
        <f>IF(VLOOKUP($C310,REV!$C:$AA,20,0)-'TRADE IN'!$F310=0,"",(VLOOKUP($C310,REV!$C:$AA,20,0)-'TRADE IN'!$F310))</f>
        <v>1299</v>
      </c>
      <c r="W310" s="46">
        <f>IF(VLOOKUP($C310,REV!$C:$AA,21,0)-'TRADE IN'!$F310=0,"",(VLOOKUP($C310,REV!$C:$AA,21,0)-'TRADE IN'!$F310))</f>
        <v>1299</v>
      </c>
      <c r="X310" s="46">
        <f>IF(VLOOKUP($C310,REV!$C:$AA,22,0)-'TRADE IN'!$F310=0,"",(VLOOKUP($C310,REV!$C:$AA,22,0)-'TRADE IN'!$F310))</f>
        <v>1299</v>
      </c>
      <c r="Y310" s="46">
        <f>IF(VLOOKUP($C310,REV!$C:$AA,23,0)-'TRADE IN'!$F310=0,"",(VLOOKUP($C310,REV!$C:$AA,23,0)-'TRADE IN'!$F310))</f>
        <v>1299</v>
      </c>
      <c r="Z310" s="46">
        <f>IF(VLOOKUP($C310,REV!$C:$AA,24,0)-'TRADE IN'!$F310=0,"",(VLOOKUP($C310,REV!$C:$AA,24,0)-'TRADE IN'!$F310))</f>
        <v>1299</v>
      </c>
      <c r="AA310" s="46">
        <f>IF(VLOOKUP($C310,REV!$C:$AA,25,0)-'TRADE IN'!$F310=0,"",(VLOOKUP($C310,REV!$C:$AA,25,0)-'TRADE IN'!$F310))</f>
        <v>1299</v>
      </c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7"/>
      <c r="AW310" s="48" t="str">
        <f>REV!AW310</f>
        <v>01.12.2026</v>
      </c>
      <c r="AX310" s="153" t="str">
        <f>VLOOKUP(C310,REV!C:AX,48,0)</f>
        <v>5G</v>
      </c>
    </row>
    <row r="311" spans="1:50" ht="22.5" customHeight="1">
      <c r="A311" s="57" t="s">
        <v>247</v>
      </c>
      <c r="B311" s="42" t="s">
        <v>64</v>
      </c>
      <c r="C311" s="43">
        <v>4017063</v>
      </c>
      <c r="D311" s="58" t="s">
        <v>479</v>
      </c>
      <c r="E311" s="58" t="s">
        <v>485</v>
      </c>
      <c r="F311" s="45"/>
      <c r="G311" s="45"/>
      <c r="H311" s="45"/>
      <c r="I311" s="45"/>
      <c r="J311" s="46">
        <f>IF(VLOOKUP($C311,REV!$C:$AA,8,0)-'TRADE IN'!$F311=0,"",(VLOOKUP($C311,REV!$C:$AA,8,0)-'TRADE IN'!$F311))</f>
        <v>1799</v>
      </c>
      <c r="K311" s="46">
        <f>IF(VLOOKUP($C311,REV!$C:$AA,9,0)-'TRADE IN'!$F311=0,"",(VLOOKUP($C311,REV!$C:$AA,9,0)-'TRADE IN'!$F311))</f>
        <v>1599</v>
      </c>
      <c r="L311" s="46">
        <f>IF(VLOOKUP($C311,REV!$C:$AA,10,0)-'TRADE IN'!$F311=0,"",(VLOOKUP($C311,REV!$C:$AA,10,0)-'TRADE IN'!$F311))</f>
        <v>1599</v>
      </c>
      <c r="M311" s="46">
        <f>IF(VLOOKUP($C311,REV!$C:$AA,11,0)-'TRADE IN'!$F311=0,"",(VLOOKUP($C311,REV!$C:$AA,11,0)-'TRADE IN'!$F311))</f>
        <v>1799</v>
      </c>
      <c r="N311" s="46">
        <f>IF(VLOOKUP($C311,REV!$C:$AA,12,0)-'TRADE IN'!$F311=0,"",(VLOOKUP($C311,REV!$C:$AA,12,0)-'TRADE IN'!$F311))</f>
        <v>1599</v>
      </c>
      <c r="O311" s="46">
        <f>IF(VLOOKUP($C311,REV!$C:$AA,13,0)-'TRADE IN'!$F311=0,"",(VLOOKUP($C311,REV!$C:$AA,13,0)-'TRADE IN'!$F311))</f>
        <v>1549</v>
      </c>
      <c r="P311" s="46">
        <f>IF(VLOOKUP($C311,REV!$C:$AA,14,0)-'TRADE IN'!$F311=0,"",(VLOOKUP($C311,REV!$C:$AA,14,0)-'TRADE IN'!$F311))</f>
        <v>1499</v>
      </c>
      <c r="Q311" s="46">
        <f>IF(VLOOKUP($C311,REV!$C:$AA,15,0)-'TRADE IN'!$F311=0,"",(VLOOKUP($C311,REV!$C:$AA,15,0)-'TRADE IN'!$F311))</f>
        <v>1299</v>
      </c>
      <c r="R311" s="46">
        <f>IF(VLOOKUP($C311,REV!$C:$AA,16,0)-'TRADE IN'!$F311=0,"",(VLOOKUP($C311,REV!$C:$AA,16,0)-'TRADE IN'!$F311))</f>
        <v>1549</v>
      </c>
      <c r="S311" s="46">
        <f>IF(VLOOKUP($C311,REV!$C:$AA,17,0)-'TRADE IN'!$F311=0,"",(VLOOKUP($C311,REV!$C:$AA,17,0)-'TRADE IN'!$F311))</f>
        <v>1499</v>
      </c>
      <c r="T311" s="46">
        <f>IF(VLOOKUP($C311,REV!$C:$AA,18,0)-'TRADE IN'!$F311=0,"",(VLOOKUP($C311,REV!$C:$AA,18,0)-'TRADE IN'!$F311))</f>
        <v>1299</v>
      </c>
      <c r="U311" s="46">
        <f>IF(VLOOKUP($C311,REV!$C:$AA,19,0)-'TRADE IN'!$F311=0,"",(VLOOKUP($C311,REV!$C:$AA,19,0)-'TRADE IN'!$F311))</f>
        <v>1299</v>
      </c>
      <c r="V311" s="46">
        <f>IF(VLOOKUP($C311,REV!$C:$AA,20,0)-'TRADE IN'!$F311=0,"",(VLOOKUP($C311,REV!$C:$AA,20,0)-'TRADE IN'!$F311))</f>
        <v>1299</v>
      </c>
      <c r="W311" s="46">
        <f>IF(VLOOKUP($C311,REV!$C:$AA,21,0)-'TRADE IN'!$F311=0,"",(VLOOKUP($C311,REV!$C:$AA,21,0)-'TRADE IN'!$F311))</f>
        <v>1299</v>
      </c>
      <c r="X311" s="46">
        <f>IF(VLOOKUP($C311,REV!$C:$AA,22,0)-'TRADE IN'!$F311=0,"",(VLOOKUP($C311,REV!$C:$AA,22,0)-'TRADE IN'!$F311))</f>
        <v>1299</v>
      </c>
      <c r="Y311" s="46">
        <f>IF(VLOOKUP($C311,REV!$C:$AA,23,0)-'TRADE IN'!$F311=0,"",(VLOOKUP($C311,REV!$C:$AA,23,0)-'TRADE IN'!$F311))</f>
        <v>1299</v>
      </c>
      <c r="Z311" s="46">
        <f>IF(VLOOKUP($C311,REV!$C:$AA,24,0)-'TRADE IN'!$F311=0,"",(VLOOKUP($C311,REV!$C:$AA,24,0)-'TRADE IN'!$F311))</f>
        <v>1299</v>
      </c>
      <c r="AA311" s="46">
        <f>IF(VLOOKUP($C311,REV!$C:$AA,25,0)-'TRADE IN'!$F311=0,"",(VLOOKUP($C311,REV!$C:$AA,25,0)-'TRADE IN'!$F311))</f>
        <v>1299</v>
      </c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7"/>
      <c r="AW311" s="48" t="str">
        <f>REV!AW311</f>
        <v>01.12.2026</v>
      </c>
      <c r="AX311" s="153" t="str">
        <f>VLOOKUP(C311,REV!C:AX,48,0)</f>
        <v>5G</v>
      </c>
    </row>
    <row r="312" spans="1:50" ht="22.5" customHeight="1">
      <c r="A312" s="57" t="s">
        <v>247</v>
      </c>
      <c r="B312" s="42" t="s">
        <v>64</v>
      </c>
      <c r="C312" s="43">
        <v>4017060</v>
      </c>
      <c r="D312" s="58" t="s">
        <v>479</v>
      </c>
      <c r="E312" s="58" t="s">
        <v>484</v>
      </c>
      <c r="F312" s="45"/>
      <c r="G312" s="45"/>
      <c r="H312" s="45"/>
      <c r="I312" s="45"/>
      <c r="J312" s="46">
        <f>IF(VLOOKUP($C312,REV!$C:$AA,8,0)-'TRADE IN'!$F312=0,"",(VLOOKUP($C312,REV!$C:$AA,8,0)-'TRADE IN'!$F312))</f>
        <v>1799</v>
      </c>
      <c r="K312" s="46">
        <f>IF(VLOOKUP($C312,REV!$C:$AA,9,0)-'TRADE IN'!$F312=0,"",(VLOOKUP($C312,REV!$C:$AA,9,0)-'TRADE IN'!$F312))</f>
        <v>1599</v>
      </c>
      <c r="L312" s="46">
        <f>IF(VLOOKUP($C312,REV!$C:$AA,10,0)-'TRADE IN'!$F312=0,"",(VLOOKUP($C312,REV!$C:$AA,10,0)-'TRADE IN'!$F312))</f>
        <v>1599</v>
      </c>
      <c r="M312" s="46">
        <f>IF(VLOOKUP($C312,REV!$C:$AA,11,0)-'TRADE IN'!$F312=0,"",(VLOOKUP($C312,REV!$C:$AA,11,0)-'TRADE IN'!$F312))</f>
        <v>1799</v>
      </c>
      <c r="N312" s="46">
        <f>IF(VLOOKUP($C312,REV!$C:$AA,12,0)-'TRADE IN'!$F312=0,"",(VLOOKUP($C312,REV!$C:$AA,12,0)-'TRADE IN'!$F312))</f>
        <v>1599</v>
      </c>
      <c r="O312" s="46">
        <f>IF(VLOOKUP($C312,REV!$C:$AA,13,0)-'TRADE IN'!$F312=0,"",(VLOOKUP($C312,REV!$C:$AA,13,0)-'TRADE IN'!$F312))</f>
        <v>1549</v>
      </c>
      <c r="P312" s="46">
        <f>IF(VLOOKUP($C312,REV!$C:$AA,14,0)-'TRADE IN'!$F312=0,"",(VLOOKUP($C312,REV!$C:$AA,14,0)-'TRADE IN'!$F312))</f>
        <v>1499</v>
      </c>
      <c r="Q312" s="46">
        <f>IF(VLOOKUP($C312,REV!$C:$AA,15,0)-'TRADE IN'!$F312=0,"",(VLOOKUP($C312,REV!$C:$AA,15,0)-'TRADE IN'!$F312))</f>
        <v>1299</v>
      </c>
      <c r="R312" s="46">
        <f>IF(VLOOKUP($C312,REV!$C:$AA,16,0)-'TRADE IN'!$F312=0,"",(VLOOKUP($C312,REV!$C:$AA,16,0)-'TRADE IN'!$F312))</f>
        <v>1549</v>
      </c>
      <c r="S312" s="46">
        <f>IF(VLOOKUP($C312,REV!$C:$AA,17,0)-'TRADE IN'!$F312=0,"",(VLOOKUP($C312,REV!$C:$AA,17,0)-'TRADE IN'!$F312))</f>
        <v>1499</v>
      </c>
      <c r="T312" s="46">
        <f>IF(VLOOKUP($C312,REV!$C:$AA,18,0)-'TRADE IN'!$F312=0,"",(VLOOKUP($C312,REV!$C:$AA,18,0)-'TRADE IN'!$F312))</f>
        <v>1299</v>
      </c>
      <c r="U312" s="46">
        <f>IF(VLOOKUP($C312,REV!$C:$AA,19,0)-'TRADE IN'!$F312=0,"",(VLOOKUP($C312,REV!$C:$AA,19,0)-'TRADE IN'!$F312))</f>
        <v>1299</v>
      </c>
      <c r="V312" s="46">
        <f>IF(VLOOKUP($C312,REV!$C:$AA,20,0)-'TRADE IN'!$F312=0,"",(VLOOKUP($C312,REV!$C:$AA,20,0)-'TRADE IN'!$F312))</f>
        <v>1299</v>
      </c>
      <c r="W312" s="46">
        <f>IF(VLOOKUP($C312,REV!$C:$AA,21,0)-'TRADE IN'!$F312=0,"",(VLOOKUP($C312,REV!$C:$AA,21,0)-'TRADE IN'!$F312))</f>
        <v>1299</v>
      </c>
      <c r="X312" s="46">
        <f>IF(VLOOKUP($C312,REV!$C:$AA,22,0)-'TRADE IN'!$F312=0,"",(VLOOKUP($C312,REV!$C:$AA,22,0)-'TRADE IN'!$F312))</f>
        <v>1299</v>
      </c>
      <c r="Y312" s="46">
        <f>IF(VLOOKUP($C312,REV!$C:$AA,23,0)-'TRADE IN'!$F312=0,"",(VLOOKUP($C312,REV!$C:$AA,23,0)-'TRADE IN'!$F312))</f>
        <v>1299</v>
      </c>
      <c r="Z312" s="46">
        <f>IF(VLOOKUP($C312,REV!$C:$AA,24,0)-'TRADE IN'!$F312=0,"",(VLOOKUP($C312,REV!$C:$AA,24,0)-'TRADE IN'!$F312))</f>
        <v>1299</v>
      </c>
      <c r="AA312" s="46">
        <f>IF(VLOOKUP($C312,REV!$C:$AA,25,0)-'TRADE IN'!$F312=0,"",(VLOOKUP($C312,REV!$C:$AA,25,0)-'TRADE IN'!$F312))</f>
        <v>1299</v>
      </c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7"/>
      <c r="AW312" s="48" t="str">
        <f>REV!AW312</f>
        <v>01.12.2026</v>
      </c>
      <c r="AX312" s="153" t="str">
        <f>VLOOKUP(C312,REV!C:AX,48,0)</f>
        <v>5G</v>
      </c>
    </row>
    <row r="313" spans="1:50" ht="22.5" customHeight="1">
      <c r="A313" s="57" t="s">
        <v>247</v>
      </c>
      <c r="B313" s="42" t="s">
        <v>64</v>
      </c>
      <c r="C313" s="43">
        <v>4017856</v>
      </c>
      <c r="D313" s="58" t="s">
        <v>486</v>
      </c>
      <c r="E313" s="58" t="s">
        <v>487</v>
      </c>
      <c r="F313" s="45">
        <v>300</v>
      </c>
      <c r="G313" s="45"/>
      <c r="H313" s="45"/>
      <c r="I313" s="45"/>
      <c r="J313" s="46">
        <f>IF(VLOOKUP($C313,REV!$C:$AA,8,0)-'TRADE IN'!$F313=0,"",(VLOOKUP($C313,REV!$C:$AA,8,0)-'TRADE IN'!$F313))</f>
        <v>1799</v>
      </c>
      <c r="K313" s="46">
        <f>IF(VLOOKUP($C313,REV!$C:$AA,9,0)-'TRADE IN'!$F313=0,"",(VLOOKUP($C313,REV!$C:$AA,9,0)-'TRADE IN'!$F313))</f>
        <v>1799</v>
      </c>
      <c r="L313" s="46">
        <f>IF(VLOOKUP($C313,REV!$C:$AA,10,0)-'TRADE IN'!$F313=0,"",(VLOOKUP($C313,REV!$C:$AA,10,0)-'TRADE IN'!$F313))</f>
        <v>1799</v>
      </c>
      <c r="M313" s="46">
        <f>IF(VLOOKUP($C313,REV!$C:$AA,11,0)-'TRADE IN'!$F313=0,"",(VLOOKUP($C313,REV!$C:$AA,11,0)-'TRADE IN'!$F313))</f>
        <v>1799</v>
      </c>
      <c r="N313" s="46">
        <f>IF(VLOOKUP($C313,REV!$C:$AA,12,0)-'TRADE IN'!$F313=0,"",(VLOOKUP($C313,REV!$C:$AA,12,0)-'TRADE IN'!$F313))</f>
        <v>1799</v>
      </c>
      <c r="O313" s="46">
        <f>IF(VLOOKUP($C313,REV!$C:$AA,13,0)-'TRADE IN'!$F313=0,"",(VLOOKUP($C313,REV!$C:$AA,13,0)-'TRADE IN'!$F313))</f>
        <v>1749</v>
      </c>
      <c r="P313" s="46">
        <f>IF(VLOOKUP($C313,REV!$C:$AA,14,0)-'TRADE IN'!$F313=0,"",(VLOOKUP($C313,REV!$C:$AA,14,0)-'TRADE IN'!$F313))</f>
        <v>1699</v>
      </c>
      <c r="Q313" s="46">
        <f>IF(VLOOKUP($C313,REV!$C:$AA,15,0)-'TRADE IN'!$F313=0,"",(VLOOKUP($C313,REV!$C:$AA,15,0)-'TRADE IN'!$F313))</f>
        <v>999</v>
      </c>
      <c r="R313" s="46">
        <f>IF(VLOOKUP($C313,REV!$C:$AA,16,0)-'TRADE IN'!$F313=0,"",(VLOOKUP($C313,REV!$C:$AA,16,0)-'TRADE IN'!$F313))</f>
        <v>1749</v>
      </c>
      <c r="S313" s="46">
        <f>IF(VLOOKUP($C313,REV!$C:$AA,17,0)-'TRADE IN'!$F313=0,"",(VLOOKUP($C313,REV!$C:$AA,17,0)-'TRADE IN'!$F313))</f>
        <v>1699</v>
      </c>
      <c r="T313" s="46">
        <f>IF(VLOOKUP($C313,REV!$C:$AA,18,0)-'TRADE IN'!$F313=0,"",(VLOOKUP($C313,REV!$C:$AA,18,0)-'TRADE IN'!$F313))</f>
        <v>999</v>
      </c>
      <c r="U313" s="46">
        <f>IF(VLOOKUP($C313,REV!$C:$AA,19,0)-'TRADE IN'!$F313=0,"",(VLOOKUP($C313,REV!$C:$AA,19,0)-'TRADE IN'!$F313))</f>
        <v>999</v>
      </c>
      <c r="V313" s="46">
        <f>IF(VLOOKUP($C313,REV!$C:$AA,20,0)-'TRADE IN'!$F313=0,"",(VLOOKUP($C313,REV!$C:$AA,20,0)-'TRADE IN'!$F313))</f>
        <v>999</v>
      </c>
      <c r="W313" s="46">
        <f>IF(VLOOKUP($C313,REV!$C:$AA,21,0)-'TRADE IN'!$F313=0,"",(VLOOKUP($C313,REV!$C:$AA,21,0)-'TRADE IN'!$F313))</f>
        <v>999</v>
      </c>
      <c r="X313" s="46">
        <f>IF(VLOOKUP($C313,REV!$C:$AA,22,0)-'TRADE IN'!$F313=0,"",(VLOOKUP($C313,REV!$C:$AA,22,0)-'TRADE IN'!$F313))</f>
        <v>999</v>
      </c>
      <c r="Y313" s="46">
        <f>IF(VLOOKUP($C313,REV!$C:$AA,23,0)-'TRADE IN'!$F313=0,"",(VLOOKUP($C313,REV!$C:$AA,23,0)-'TRADE IN'!$F313))</f>
        <v>999</v>
      </c>
      <c r="Z313" s="46">
        <f>IF(VLOOKUP($C313,REV!$C:$AA,24,0)-'TRADE IN'!$F313=0,"",(VLOOKUP($C313,REV!$C:$AA,24,0)-'TRADE IN'!$F313))</f>
        <v>999</v>
      </c>
      <c r="AA313" s="46">
        <f>IF(VLOOKUP($C313,REV!$C:$AA,25,0)-'TRADE IN'!$F313=0,"",(VLOOKUP($C313,REV!$C:$AA,25,0)-'TRADE IN'!$F313))</f>
        <v>999</v>
      </c>
      <c r="AB313" s="45">
        <f>IF(VLOOKUP($C313,REV!$C:$AL,27,0)-'TRADE IN'!$F313=0,"",(VLOOKUP($C313,REV!$C:$AL,27,0)-'TRADE IN'!$F313))</f>
        <v>1799</v>
      </c>
      <c r="AC313" s="45">
        <f>IF(VLOOKUP($C313,REV!$C:$AL,28,0)-'TRADE IN'!$F313=0,"",(VLOOKUP($C313,REV!$C:$AL,28,0)-'TRADE IN'!$F313))</f>
        <v>1799</v>
      </c>
      <c r="AD313" s="45">
        <f>IF(VLOOKUP($C313,REV!$C:$AL,29,0)-'TRADE IN'!$F313=0,"",(VLOOKUP($C313,REV!$C:$AL,29,0)-'TRADE IN'!$F313))</f>
        <v>1799</v>
      </c>
      <c r="AE313" s="45">
        <f>IF(VLOOKUP($C313,REV!$C:$AL,30,0)-'TRADE IN'!$F313=0,"",(VLOOKUP($C313,REV!$C:$AL,30,0)-'TRADE IN'!$F313))</f>
        <v>1749</v>
      </c>
      <c r="AF313" s="45">
        <f>IF(VLOOKUP($C313,REV!$C:$AL,31,0)-'TRADE IN'!$F313=0,"",(VLOOKUP($C313,REV!$C:$AL,31,0)-'TRADE IN'!$F313))</f>
        <v>1699</v>
      </c>
      <c r="AG313" s="45">
        <f>IF(VLOOKUP($C313,REV!$C:$AL,31,0)-'TRADE IN'!$F313=0,"",(VLOOKUP($C313,REV!$C:$AL,31,0)-'TRADE IN'!$F313))</f>
        <v>1699</v>
      </c>
      <c r="AH313" s="45">
        <f>IF(VLOOKUP($C313,REV!$C:$AL,32,0)-'TRADE IN'!$F313=0,"",(VLOOKUP($C313,REV!$C:$AL,32,0)-'TRADE IN'!$F313))</f>
        <v>999</v>
      </c>
      <c r="AI313" s="45">
        <f>IF(VLOOKUP($C313,REV!$C:$AL,33,0)-'TRADE IN'!$F313=0,"",(VLOOKUP($C313,REV!$C:$AL,33,0)-'TRADE IN'!$F313))</f>
        <v>999</v>
      </c>
      <c r="AJ313" s="45">
        <f>IF(VLOOKUP($C313,REV!$C:$AL,34,0)-'TRADE IN'!$F313=0,"",(VLOOKUP($C313,REV!$C:$AL,34,0)-'TRADE IN'!$F313))</f>
        <v>999</v>
      </c>
      <c r="AK313" s="45">
        <f>IF(VLOOKUP($C313,REV!$C:$AL,35,0)-'TRADE IN'!$F313=0,"",(VLOOKUP($C313,REV!$C:$AL,35,0)-'TRADE IN'!$F313))</f>
        <v>999</v>
      </c>
      <c r="AL313" s="45">
        <f>IF(VLOOKUP($C313,REV!$C:$AL,36,0)-'TRADE IN'!$F313=0,"",(VLOOKUP($C313,REV!$C:$AL,36,0)-'TRADE IN'!$F313))</f>
        <v>999</v>
      </c>
      <c r="AM313" s="45"/>
      <c r="AN313" s="45"/>
      <c r="AO313" s="45"/>
      <c r="AP313" s="45"/>
      <c r="AQ313" s="45"/>
      <c r="AR313" s="45"/>
      <c r="AS313" s="45"/>
      <c r="AT313" s="45"/>
      <c r="AU313" s="45"/>
      <c r="AV313" s="47"/>
      <c r="AW313" s="48" t="str">
        <f>REV!AW313</f>
        <v>01.12.2026</v>
      </c>
      <c r="AX313" s="153" t="str">
        <f>VLOOKUP(C313,REV!C:AX,48,0)</f>
        <v>5G</v>
      </c>
    </row>
    <row r="314" spans="1:50" ht="22.5" customHeight="1">
      <c r="A314" s="57" t="s">
        <v>247</v>
      </c>
      <c r="B314" s="42" t="s">
        <v>64</v>
      </c>
      <c r="C314" s="43">
        <v>4017873</v>
      </c>
      <c r="D314" s="58" t="s">
        <v>486</v>
      </c>
      <c r="E314" s="58" t="s">
        <v>488</v>
      </c>
      <c r="F314" s="45">
        <v>300</v>
      </c>
      <c r="G314" s="45"/>
      <c r="H314" s="45"/>
      <c r="I314" s="45"/>
      <c r="J314" s="46">
        <f>IF(VLOOKUP($C314,REV!$C:$AA,8,0)-'TRADE IN'!$F314=0,"",(VLOOKUP($C314,REV!$C:$AA,8,0)-'TRADE IN'!$F314))</f>
        <v>1799</v>
      </c>
      <c r="K314" s="46">
        <f>IF(VLOOKUP($C314,REV!$C:$AA,9,0)-'TRADE IN'!$F314=0,"",(VLOOKUP($C314,REV!$C:$AA,9,0)-'TRADE IN'!$F314))</f>
        <v>1799</v>
      </c>
      <c r="L314" s="46">
        <f>IF(VLOOKUP($C314,REV!$C:$AA,10,0)-'TRADE IN'!$F314=0,"",(VLOOKUP($C314,REV!$C:$AA,10,0)-'TRADE IN'!$F314))</f>
        <v>1799</v>
      </c>
      <c r="M314" s="46">
        <f>IF(VLOOKUP($C314,REV!$C:$AA,11,0)-'TRADE IN'!$F314=0,"",(VLOOKUP($C314,REV!$C:$AA,11,0)-'TRADE IN'!$F314))</f>
        <v>1799</v>
      </c>
      <c r="N314" s="46">
        <f>IF(VLOOKUP($C314,REV!$C:$AA,12,0)-'TRADE IN'!$F314=0,"",(VLOOKUP($C314,REV!$C:$AA,12,0)-'TRADE IN'!$F314))</f>
        <v>1799</v>
      </c>
      <c r="O314" s="46">
        <f>IF(VLOOKUP($C314,REV!$C:$AA,13,0)-'TRADE IN'!$F314=0,"",(VLOOKUP($C314,REV!$C:$AA,13,0)-'TRADE IN'!$F314))</f>
        <v>1749</v>
      </c>
      <c r="P314" s="46">
        <f>IF(VLOOKUP($C314,REV!$C:$AA,14,0)-'TRADE IN'!$F314=0,"",(VLOOKUP($C314,REV!$C:$AA,14,0)-'TRADE IN'!$F314))</f>
        <v>1699</v>
      </c>
      <c r="Q314" s="46">
        <f>IF(VLOOKUP($C314,REV!$C:$AA,15,0)-'TRADE IN'!$F314=0,"",(VLOOKUP($C314,REV!$C:$AA,15,0)-'TRADE IN'!$F314))</f>
        <v>999</v>
      </c>
      <c r="R314" s="46">
        <f>IF(VLOOKUP($C314,REV!$C:$AA,16,0)-'TRADE IN'!$F314=0,"",(VLOOKUP($C314,REV!$C:$AA,16,0)-'TRADE IN'!$F314))</f>
        <v>1749</v>
      </c>
      <c r="S314" s="46">
        <f>IF(VLOOKUP($C314,REV!$C:$AA,17,0)-'TRADE IN'!$F314=0,"",(VLOOKUP($C314,REV!$C:$AA,17,0)-'TRADE IN'!$F314))</f>
        <v>1699</v>
      </c>
      <c r="T314" s="46">
        <f>IF(VLOOKUP($C314,REV!$C:$AA,18,0)-'TRADE IN'!$F314=0,"",(VLOOKUP($C314,REV!$C:$AA,18,0)-'TRADE IN'!$F314))</f>
        <v>999</v>
      </c>
      <c r="U314" s="46">
        <f>IF(VLOOKUP($C314,REV!$C:$AA,19,0)-'TRADE IN'!$F314=0,"",(VLOOKUP($C314,REV!$C:$AA,19,0)-'TRADE IN'!$F314))</f>
        <v>999</v>
      </c>
      <c r="V314" s="46">
        <f>IF(VLOOKUP($C314,REV!$C:$AA,20,0)-'TRADE IN'!$F314=0,"",(VLOOKUP($C314,REV!$C:$AA,20,0)-'TRADE IN'!$F314))</f>
        <v>999</v>
      </c>
      <c r="W314" s="46">
        <f>IF(VLOOKUP($C314,REV!$C:$AA,21,0)-'TRADE IN'!$F314=0,"",(VLOOKUP($C314,REV!$C:$AA,21,0)-'TRADE IN'!$F314))</f>
        <v>999</v>
      </c>
      <c r="X314" s="46">
        <f>IF(VLOOKUP($C314,REV!$C:$AA,22,0)-'TRADE IN'!$F314=0,"",(VLOOKUP($C314,REV!$C:$AA,22,0)-'TRADE IN'!$F314))</f>
        <v>999</v>
      </c>
      <c r="Y314" s="46">
        <f>IF(VLOOKUP($C314,REV!$C:$AA,23,0)-'TRADE IN'!$F314=0,"",(VLOOKUP($C314,REV!$C:$AA,23,0)-'TRADE IN'!$F314))</f>
        <v>999</v>
      </c>
      <c r="Z314" s="46">
        <f>IF(VLOOKUP($C314,REV!$C:$AA,24,0)-'TRADE IN'!$F314=0,"",(VLOOKUP($C314,REV!$C:$AA,24,0)-'TRADE IN'!$F314))</f>
        <v>999</v>
      </c>
      <c r="AA314" s="46">
        <f>IF(VLOOKUP($C314,REV!$C:$AA,25,0)-'TRADE IN'!$F314=0,"",(VLOOKUP($C314,REV!$C:$AA,25,0)-'TRADE IN'!$F314))</f>
        <v>999</v>
      </c>
      <c r="AB314" s="45">
        <f>IF(VLOOKUP($C314,REV!$C:$AL,27,0)-'TRADE IN'!$F314=0,"",(VLOOKUP($C314,REV!$C:$AL,27,0)-'TRADE IN'!$F314))</f>
        <v>1799</v>
      </c>
      <c r="AC314" s="45">
        <f>IF(VLOOKUP($C314,REV!$C:$AL,28,0)-'TRADE IN'!$F314=0,"",(VLOOKUP($C314,REV!$C:$AL,28,0)-'TRADE IN'!$F314))</f>
        <v>1799</v>
      </c>
      <c r="AD314" s="45">
        <f>IF(VLOOKUP($C314,REV!$C:$AL,29,0)-'TRADE IN'!$F314=0,"",(VLOOKUP($C314,REV!$C:$AL,29,0)-'TRADE IN'!$F314))</f>
        <v>1799</v>
      </c>
      <c r="AE314" s="45">
        <f>IF(VLOOKUP($C314,REV!$C:$AL,30,0)-'TRADE IN'!$F314=0,"",(VLOOKUP($C314,REV!$C:$AL,30,0)-'TRADE IN'!$F314))</f>
        <v>1749</v>
      </c>
      <c r="AF314" s="45">
        <f>IF(VLOOKUP($C314,REV!$C:$AL,31,0)-'TRADE IN'!$F314=0,"",(VLOOKUP($C314,REV!$C:$AL,31,0)-'TRADE IN'!$F314))</f>
        <v>1699</v>
      </c>
      <c r="AG314" s="45">
        <f>IF(VLOOKUP($C314,REV!$C:$AL,31,0)-'TRADE IN'!$F314=0,"",(VLOOKUP($C314,REV!$C:$AL,31,0)-'TRADE IN'!$F314))</f>
        <v>1699</v>
      </c>
      <c r="AH314" s="45">
        <f>IF(VLOOKUP($C314,REV!$C:$AL,32,0)-'TRADE IN'!$F314=0,"",(VLOOKUP($C314,REV!$C:$AL,32,0)-'TRADE IN'!$F314))</f>
        <v>999</v>
      </c>
      <c r="AI314" s="45">
        <f>IF(VLOOKUP($C314,REV!$C:$AL,33,0)-'TRADE IN'!$F314=0,"",(VLOOKUP($C314,REV!$C:$AL,33,0)-'TRADE IN'!$F314))</f>
        <v>999</v>
      </c>
      <c r="AJ314" s="45">
        <f>IF(VLOOKUP($C314,REV!$C:$AL,34,0)-'TRADE IN'!$F314=0,"",(VLOOKUP($C314,REV!$C:$AL,34,0)-'TRADE IN'!$F314))</f>
        <v>999</v>
      </c>
      <c r="AK314" s="45">
        <f>IF(VLOOKUP($C314,REV!$C:$AL,35,0)-'TRADE IN'!$F314=0,"",(VLOOKUP($C314,REV!$C:$AL,35,0)-'TRADE IN'!$F314))</f>
        <v>999</v>
      </c>
      <c r="AL314" s="45">
        <f>IF(VLOOKUP($C314,REV!$C:$AL,36,0)-'TRADE IN'!$F314=0,"",(VLOOKUP($C314,REV!$C:$AL,36,0)-'TRADE IN'!$F314))</f>
        <v>999</v>
      </c>
      <c r="AM314" s="45"/>
      <c r="AN314" s="45"/>
      <c r="AO314" s="45"/>
      <c r="AP314" s="45"/>
      <c r="AQ314" s="45"/>
      <c r="AR314" s="45"/>
      <c r="AS314" s="45"/>
      <c r="AT314" s="45"/>
      <c r="AU314" s="45"/>
      <c r="AV314" s="47"/>
      <c r="AW314" s="48" t="str">
        <f>REV!AW314</f>
        <v>01.12.2026</v>
      </c>
      <c r="AX314" s="153" t="str">
        <f>VLOOKUP(C314,REV!C:AX,48,0)</f>
        <v>5G</v>
      </c>
    </row>
    <row r="315" spans="1:50" ht="22.5" customHeight="1">
      <c r="A315" s="57" t="s">
        <v>247</v>
      </c>
      <c r="B315" s="42" t="s">
        <v>64</v>
      </c>
      <c r="C315" s="43">
        <v>4017838</v>
      </c>
      <c r="D315" s="58" t="s">
        <v>486</v>
      </c>
      <c r="E315" s="58" t="s">
        <v>489</v>
      </c>
      <c r="F315" s="45">
        <v>300</v>
      </c>
      <c r="G315" s="45"/>
      <c r="H315" s="45"/>
      <c r="I315" s="45"/>
      <c r="J315" s="46">
        <f>IF(VLOOKUP($C315,REV!$C:$AA,8,0)-'TRADE IN'!$F315=0,"",(VLOOKUP($C315,REV!$C:$AA,8,0)-'TRADE IN'!$F315))</f>
        <v>1799</v>
      </c>
      <c r="K315" s="46">
        <f>IF(VLOOKUP($C315,REV!$C:$AA,9,0)-'TRADE IN'!$F315=0,"",(VLOOKUP($C315,REV!$C:$AA,9,0)-'TRADE IN'!$F315))</f>
        <v>1799</v>
      </c>
      <c r="L315" s="46">
        <f>IF(VLOOKUP($C315,REV!$C:$AA,10,0)-'TRADE IN'!$F315=0,"",(VLOOKUP($C315,REV!$C:$AA,10,0)-'TRADE IN'!$F315))</f>
        <v>1799</v>
      </c>
      <c r="M315" s="46">
        <f>IF(VLOOKUP($C315,REV!$C:$AA,11,0)-'TRADE IN'!$F315=0,"",(VLOOKUP($C315,REV!$C:$AA,11,0)-'TRADE IN'!$F315))</f>
        <v>1799</v>
      </c>
      <c r="N315" s="46">
        <f>IF(VLOOKUP($C315,REV!$C:$AA,12,0)-'TRADE IN'!$F315=0,"",(VLOOKUP($C315,REV!$C:$AA,12,0)-'TRADE IN'!$F315))</f>
        <v>1799</v>
      </c>
      <c r="O315" s="46">
        <f>IF(VLOOKUP($C315,REV!$C:$AA,13,0)-'TRADE IN'!$F315=0,"",(VLOOKUP($C315,REV!$C:$AA,13,0)-'TRADE IN'!$F315))</f>
        <v>1749</v>
      </c>
      <c r="P315" s="46">
        <f>IF(VLOOKUP($C315,REV!$C:$AA,14,0)-'TRADE IN'!$F315=0,"",(VLOOKUP($C315,REV!$C:$AA,14,0)-'TRADE IN'!$F315))</f>
        <v>1699</v>
      </c>
      <c r="Q315" s="46">
        <f>IF(VLOOKUP($C315,REV!$C:$AA,15,0)-'TRADE IN'!$F315=0,"",(VLOOKUP($C315,REV!$C:$AA,15,0)-'TRADE IN'!$F315))</f>
        <v>999</v>
      </c>
      <c r="R315" s="46">
        <f>IF(VLOOKUP($C315,REV!$C:$AA,16,0)-'TRADE IN'!$F315=0,"",(VLOOKUP($C315,REV!$C:$AA,16,0)-'TRADE IN'!$F315))</f>
        <v>1749</v>
      </c>
      <c r="S315" s="46">
        <f>IF(VLOOKUP($C315,REV!$C:$AA,17,0)-'TRADE IN'!$F315=0,"",(VLOOKUP($C315,REV!$C:$AA,17,0)-'TRADE IN'!$F315))</f>
        <v>1699</v>
      </c>
      <c r="T315" s="46">
        <f>IF(VLOOKUP($C315,REV!$C:$AA,18,0)-'TRADE IN'!$F315=0,"",(VLOOKUP($C315,REV!$C:$AA,18,0)-'TRADE IN'!$F315))</f>
        <v>999</v>
      </c>
      <c r="U315" s="46">
        <f>IF(VLOOKUP($C315,REV!$C:$AA,19,0)-'TRADE IN'!$F315=0,"",(VLOOKUP($C315,REV!$C:$AA,19,0)-'TRADE IN'!$F315))</f>
        <v>999</v>
      </c>
      <c r="V315" s="46">
        <f>IF(VLOOKUP($C315,REV!$C:$AA,20,0)-'TRADE IN'!$F315=0,"",(VLOOKUP($C315,REV!$C:$AA,20,0)-'TRADE IN'!$F315))</f>
        <v>999</v>
      </c>
      <c r="W315" s="46">
        <f>IF(VLOOKUP($C315,REV!$C:$AA,21,0)-'TRADE IN'!$F315=0,"",(VLOOKUP($C315,REV!$C:$AA,21,0)-'TRADE IN'!$F315))</f>
        <v>999</v>
      </c>
      <c r="X315" s="46">
        <f>IF(VLOOKUP($C315,REV!$C:$AA,22,0)-'TRADE IN'!$F315=0,"",(VLOOKUP($C315,REV!$C:$AA,22,0)-'TRADE IN'!$F315))</f>
        <v>999</v>
      </c>
      <c r="Y315" s="46">
        <f>IF(VLOOKUP($C315,REV!$C:$AA,23,0)-'TRADE IN'!$F315=0,"",(VLOOKUP($C315,REV!$C:$AA,23,0)-'TRADE IN'!$F315))</f>
        <v>999</v>
      </c>
      <c r="Z315" s="46">
        <f>IF(VLOOKUP($C315,REV!$C:$AA,24,0)-'TRADE IN'!$F315=0,"",(VLOOKUP($C315,REV!$C:$AA,24,0)-'TRADE IN'!$F315))</f>
        <v>999</v>
      </c>
      <c r="AA315" s="46">
        <f>IF(VLOOKUP($C315,REV!$C:$AA,25,0)-'TRADE IN'!$F315=0,"",(VLOOKUP($C315,REV!$C:$AA,25,0)-'TRADE IN'!$F315))</f>
        <v>999</v>
      </c>
      <c r="AB315" s="45">
        <f>IF(VLOOKUP($C315,REV!$C:$AL,27,0)-'TRADE IN'!$F315=0,"",(VLOOKUP($C315,REV!$C:$AL,27,0)-'TRADE IN'!$F315))</f>
        <v>1799</v>
      </c>
      <c r="AC315" s="45">
        <f>IF(VLOOKUP($C315,REV!$C:$AL,28,0)-'TRADE IN'!$F315=0,"",(VLOOKUP($C315,REV!$C:$AL,28,0)-'TRADE IN'!$F315))</f>
        <v>1799</v>
      </c>
      <c r="AD315" s="45">
        <f>IF(VLOOKUP($C315,REV!$C:$AL,29,0)-'TRADE IN'!$F315=0,"",(VLOOKUP($C315,REV!$C:$AL,29,0)-'TRADE IN'!$F315))</f>
        <v>1799</v>
      </c>
      <c r="AE315" s="45">
        <f>IF(VLOOKUP($C315,REV!$C:$AL,30,0)-'TRADE IN'!$F315=0,"",(VLOOKUP($C315,REV!$C:$AL,30,0)-'TRADE IN'!$F315))</f>
        <v>1749</v>
      </c>
      <c r="AF315" s="45">
        <f>IF(VLOOKUP($C315,REV!$C:$AL,31,0)-'TRADE IN'!$F315=0,"",(VLOOKUP($C315,REV!$C:$AL,31,0)-'TRADE IN'!$F315))</f>
        <v>1699</v>
      </c>
      <c r="AG315" s="45">
        <f>IF(VLOOKUP($C315,REV!$C:$AL,31,0)-'TRADE IN'!$F315=0,"",(VLOOKUP($C315,REV!$C:$AL,31,0)-'TRADE IN'!$F315))</f>
        <v>1699</v>
      </c>
      <c r="AH315" s="45">
        <f>IF(VLOOKUP($C315,REV!$C:$AL,32,0)-'TRADE IN'!$F315=0,"",(VLOOKUP($C315,REV!$C:$AL,32,0)-'TRADE IN'!$F315))</f>
        <v>999</v>
      </c>
      <c r="AI315" s="45">
        <f>IF(VLOOKUP($C315,REV!$C:$AL,33,0)-'TRADE IN'!$F315=0,"",(VLOOKUP($C315,REV!$C:$AL,33,0)-'TRADE IN'!$F315))</f>
        <v>999</v>
      </c>
      <c r="AJ315" s="45">
        <f>IF(VLOOKUP($C315,REV!$C:$AL,34,0)-'TRADE IN'!$F315=0,"",(VLOOKUP($C315,REV!$C:$AL,34,0)-'TRADE IN'!$F315))</f>
        <v>999</v>
      </c>
      <c r="AK315" s="45">
        <f>IF(VLOOKUP($C315,REV!$C:$AL,35,0)-'TRADE IN'!$F315=0,"",(VLOOKUP($C315,REV!$C:$AL,35,0)-'TRADE IN'!$F315))</f>
        <v>999</v>
      </c>
      <c r="AL315" s="45">
        <f>IF(VLOOKUP($C315,REV!$C:$AL,36,0)-'TRADE IN'!$F315=0,"",(VLOOKUP($C315,REV!$C:$AL,36,0)-'TRADE IN'!$F315))</f>
        <v>999</v>
      </c>
      <c r="AM315" s="45"/>
      <c r="AN315" s="45"/>
      <c r="AO315" s="45"/>
      <c r="AP315" s="45"/>
      <c r="AQ315" s="45"/>
      <c r="AR315" s="45"/>
      <c r="AS315" s="45"/>
      <c r="AT315" s="45"/>
      <c r="AU315" s="45"/>
      <c r="AV315" s="47"/>
      <c r="AW315" s="48" t="str">
        <f>REV!AW315</f>
        <v>01.12.2026</v>
      </c>
      <c r="AX315" s="153" t="str">
        <f>VLOOKUP(C315,REV!C:AX,48,0)</f>
        <v>5G</v>
      </c>
    </row>
    <row r="316" spans="1:50" ht="22.5" customHeight="1">
      <c r="A316" s="57" t="s">
        <v>247</v>
      </c>
      <c r="B316" s="42" t="s">
        <v>64</v>
      </c>
      <c r="C316" s="43">
        <v>4017854</v>
      </c>
      <c r="D316" s="58" t="s">
        <v>486</v>
      </c>
      <c r="E316" s="58" t="s">
        <v>490</v>
      </c>
      <c r="F316" s="45">
        <v>300</v>
      </c>
      <c r="G316" s="45"/>
      <c r="H316" s="45"/>
      <c r="I316" s="45"/>
      <c r="J316" s="46">
        <f>IF(VLOOKUP($C316,REV!$C:$AA,8,0)-'TRADE IN'!$F316=0,"",(VLOOKUP($C316,REV!$C:$AA,8,0)-'TRADE IN'!$F316))</f>
        <v>1799</v>
      </c>
      <c r="K316" s="46">
        <f>IF(VLOOKUP($C316,REV!$C:$AA,9,0)-'TRADE IN'!$F316=0,"",(VLOOKUP($C316,REV!$C:$AA,9,0)-'TRADE IN'!$F316))</f>
        <v>1799</v>
      </c>
      <c r="L316" s="46">
        <f>IF(VLOOKUP($C316,REV!$C:$AA,10,0)-'TRADE IN'!$F316=0,"",(VLOOKUP($C316,REV!$C:$AA,10,0)-'TRADE IN'!$F316))</f>
        <v>1799</v>
      </c>
      <c r="M316" s="46">
        <f>IF(VLOOKUP($C316,REV!$C:$AA,11,0)-'TRADE IN'!$F316=0,"",(VLOOKUP($C316,REV!$C:$AA,11,0)-'TRADE IN'!$F316))</f>
        <v>1799</v>
      </c>
      <c r="N316" s="46">
        <f>IF(VLOOKUP($C316,REV!$C:$AA,12,0)-'TRADE IN'!$F316=0,"",(VLOOKUP($C316,REV!$C:$AA,12,0)-'TRADE IN'!$F316))</f>
        <v>1799</v>
      </c>
      <c r="O316" s="46">
        <f>IF(VLOOKUP($C316,REV!$C:$AA,13,0)-'TRADE IN'!$F316=0,"",(VLOOKUP($C316,REV!$C:$AA,13,0)-'TRADE IN'!$F316))</f>
        <v>1749</v>
      </c>
      <c r="P316" s="46">
        <f>IF(VLOOKUP($C316,REV!$C:$AA,14,0)-'TRADE IN'!$F316=0,"",(VLOOKUP($C316,REV!$C:$AA,14,0)-'TRADE IN'!$F316))</f>
        <v>1699</v>
      </c>
      <c r="Q316" s="46">
        <f>IF(VLOOKUP($C316,REV!$C:$AA,15,0)-'TRADE IN'!$F316=0,"",(VLOOKUP($C316,REV!$C:$AA,15,0)-'TRADE IN'!$F316))</f>
        <v>999</v>
      </c>
      <c r="R316" s="46">
        <f>IF(VLOOKUP($C316,REV!$C:$AA,16,0)-'TRADE IN'!$F316=0,"",(VLOOKUP($C316,REV!$C:$AA,16,0)-'TRADE IN'!$F316))</f>
        <v>1749</v>
      </c>
      <c r="S316" s="46">
        <f>IF(VLOOKUP($C316,REV!$C:$AA,17,0)-'TRADE IN'!$F316=0,"",(VLOOKUP($C316,REV!$C:$AA,17,0)-'TRADE IN'!$F316))</f>
        <v>1699</v>
      </c>
      <c r="T316" s="46">
        <f>IF(VLOOKUP($C316,REV!$C:$AA,18,0)-'TRADE IN'!$F316=0,"",(VLOOKUP($C316,REV!$C:$AA,18,0)-'TRADE IN'!$F316))</f>
        <v>999</v>
      </c>
      <c r="U316" s="46">
        <f>IF(VLOOKUP($C316,REV!$C:$AA,19,0)-'TRADE IN'!$F316=0,"",(VLOOKUP($C316,REV!$C:$AA,19,0)-'TRADE IN'!$F316))</f>
        <v>999</v>
      </c>
      <c r="V316" s="46">
        <f>IF(VLOOKUP($C316,REV!$C:$AA,20,0)-'TRADE IN'!$F316=0,"",(VLOOKUP($C316,REV!$C:$AA,20,0)-'TRADE IN'!$F316))</f>
        <v>999</v>
      </c>
      <c r="W316" s="46">
        <f>IF(VLOOKUP($C316,REV!$C:$AA,21,0)-'TRADE IN'!$F316=0,"",(VLOOKUP($C316,REV!$C:$AA,21,0)-'TRADE IN'!$F316))</f>
        <v>999</v>
      </c>
      <c r="X316" s="46">
        <f>IF(VLOOKUP($C316,REV!$C:$AA,22,0)-'TRADE IN'!$F316=0,"",(VLOOKUP($C316,REV!$C:$AA,22,0)-'TRADE IN'!$F316))</f>
        <v>999</v>
      </c>
      <c r="Y316" s="46">
        <f>IF(VLOOKUP($C316,REV!$C:$AA,23,0)-'TRADE IN'!$F316=0,"",(VLOOKUP($C316,REV!$C:$AA,23,0)-'TRADE IN'!$F316))</f>
        <v>999</v>
      </c>
      <c r="Z316" s="46">
        <f>IF(VLOOKUP($C316,REV!$C:$AA,24,0)-'TRADE IN'!$F316=0,"",(VLOOKUP($C316,REV!$C:$AA,24,0)-'TRADE IN'!$F316))</f>
        <v>999</v>
      </c>
      <c r="AA316" s="46">
        <f>IF(VLOOKUP($C316,REV!$C:$AA,25,0)-'TRADE IN'!$F316=0,"",(VLOOKUP($C316,REV!$C:$AA,25,0)-'TRADE IN'!$F316))</f>
        <v>999</v>
      </c>
      <c r="AB316" s="45">
        <f>IF(VLOOKUP($C316,REV!$C:$AL,27,0)-'TRADE IN'!$F316=0,"",(VLOOKUP($C316,REV!$C:$AL,27,0)-'TRADE IN'!$F316))</f>
        <v>1799</v>
      </c>
      <c r="AC316" s="45">
        <f>IF(VLOOKUP($C316,REV!$C:$AL,28,0)-'TRADE IN'!$F316=0,"",(VLOOKUP($C316,REV!$C:$AL,28,0)-'TRADE IN'!$F316))</f>
        <v>1799</v>
      </c>
      <c r="AD316" s="45">
        <f>IF(VLOOKUP($C316,REV!$C:$AL,29,0)-'TRADE IN'!$F316=0,"",(VLOOKUP($C316,REV!$C:$AL,29,0)-'TRADE IN'!$F316))</f>
        <v>1799</v>
      </c>
      <c r="AE316" s="45">
        <f>IF(VLOOKUP($C316,REV!$C:$AL,30,0)-'TRADE IN'!$F316=0,"",(VLOOKUP($C316,REV!$C:$AL,30,0)-'TRADE IN'!$F316))</f>
        <v>1749</v>
      </c>
      <c r="AF316" s="45">
        <f>IF(VLOOKUP($C316,REV!$C:$AL,31,0)-'TRADE IN'!$F316=0,"",(VLOOKUP($C316,REV!$C:$AL,31,0)-'TRADE IN'!$F316))</f>
        <v>1699</v>
      </c>
      <c r="AG316" s="45">
        <f>IF(VLOOKUP($C316,REV!$C:$AL,31,0)-'TRADE IN'!$F316=0,"",(VLOOKUP($C316,REV!$C:$AL,31,0)-'TRADE IN'!$F316))</f>
        <v>1699</v>
      </c>
      <c r="AH316" s="45">
        <f>IF(VLOOKUP($C316,REV!$C:$AL,32,0)-'TRADE IN'!$F316=0,"",(VLOOKUP($C316,REV!$C:$AL,32,0)-'TRADE IN'!$F316))</f>
        <v>999</v>
      </c>
      <c r="AI316" s="45">
        <f>IF(VLOOKUP($C316,REV!$C:$AL,33,0)-'TRADE IN'!$F316=0,"",(VLOOKUP($C316,REV!$C:$AL,33,0)-'TRADE IN'!$F316))</f>
        <v>999</v>
      </c>
      <c r="AJ316" s="45">
        <f>IF(VLOOKUP($C316,REV!$C:$AL,34,0)-'TRADE IN'!$F316=0,"",(VLOOKUP($C316,REV!$C:$AL,34,0)-'TRADE IN'!$F316))</f>
        <v>999</v>
      </c>
      <c r="AK316" s="45">
        <f>IF(VLOOKUP($C316,REV!$C:$AL,35,0)-'TRADE IN'!$F316=0,"",(VLOOKUP($C316,REV!$C:$AL,35,0)-'TRADE IN'!$F316))</f>
        <v>999</v>
      </c>
      <c r="AL316" s="45">
        <f>IF(VLOOKUP($C316,REV!$C:$AL,36,0)-'TRADE IN'!$F316=0,"",(VLOOKUP($C316,REV!$C:$AL,36,0)-'TRADE IN'!$F316))</f>
        <v>999</v>
      </c>
      <c r="AM316" s="45"/>
      <c r="AN316" s="45"/>
      <c r="AO316" s="45"/>
      <c r="AP316" s="45"/>
      <c r="AQ316" s="45"/>
      <c r="AR316" s="45"/>
      <c r="AS316" s="45"/>
      <c r="AT316" s="45"/>
      <c r="AU316" s="45"/>
      <c r="AV316" s="47"/>
      <c r="AW316" s="48" t="str">
        <f>REV!AW316</f>
        <v>01.12.2026</v>
      </c>
      <c r="AX316" s="153" t="str">
        <f>VLOOKUP(C316,REV!C:AX,48,0)</f>
        <v>5G</v>
      </c>
    </row>
    <row r="317" spans="1:50" ht="22.5" customHeight="1">
      <c r="A317" s="57" t="s">
        <v>247</v>
      </c>
      <c r="B317" s="42" t="s">
        <v>64</v>
      </c>
      <c r="C317" s="43">
        <v>4017850</v>
      </c>
      <c r="D317" s="58" t="s">
        <v>486</v>
      </c>
      <c r="E317" s="58" t="s">
        <v>491</v>
      </c>
      <c r="F317" s="45">
        <v>300</v>
      </c>
      <c r="G317" s="45"/>
      <c r="H317" s="45"/>
      <c r="I317" s="45"/>
      <c r="J317" s="46">
        <f>IF(VLOOKUP($C317,REV!$C:$AA,8,0)-'TRADE IN'!$F317=0,"",(VLOOKUP($C317,REV!$C:$AA,8,0)-'TRADE IN'!$F317))</f>
        <v>1799</v>
      </c>
      <c r="K317" s="46">
        <f>IF(VLOOKUP($C317,REV!$C:$AA,9,0)-'TRADE IN'!$F317=0,"",(VLOOKUP($C317,REV!$C:$AA,9,0)-'TRADE IN'!$F317))</f>
        <v>1799</v>
      </c>
      <c r="L317" s="46">
        <f>IF(VLOOKUP($C317,REV!$C:$AA,10,0)-'TRADE IN'!$F317=0,"",(VLOOKUP($C317,REV!$C:$AA,10,0)-'TRADE IN'!$F317))</f>
        <v>1799</v>
      </c>
      <c r="M317" s="46">
        <f>IF(VLOOKUP($C317,REV!$C:$AA,11,0)-'TRADE IN'!$F317=0,"",(VLOOKUP($C317,REV!$C:$AA,11,0)-'TRADE IN'!$F317))</f>
        <v>1799</v>
      </c>
      <c r="N317" s="46">
        <f>IF(VLOOKUP($C317,REV!$C:$AA,12,0)-'TRADE IN'!$F317=0,"",(VLOOKUP($C317,REV!$C:$AA,12,0)-'TRADE IN'!$F317))</f>
        <v>1799</v>
      </c>
      <c r="O317" s="46">
        <f>IF(VLOOKUP($C317,REV!$C:$AA,13,0)-'TRADE IN'!$F317=0,"",(VLOOKUP($C317,REV!$C:$AA,13,0)-'TRADE IN'!$F317))</f>
        <v>1749</v>
      </c>
      <c r="P317" s="46">
        <f>IF(VLOOKUP($C317,REV!$C:$AA,14,0)-'TRADE IN'!$F317=0,"",(VLOOKUP($C317,REV!$C:$AA,14,0)-'TRADE IN'!$F317))</f>
        <v>1699</v>
      </c>
      <c r="Q317" s="46">
        <f>IF(VLOOKUP($C317,REV!$C:$AA,15,0)-'TRADE IN'!$F317=0,"",(VLOOKUP($C317,REV!$C:$AA,15,0)-'TRADE IN'!$F317))</f>
        <v>999</v>
      </c>
      <c r="R317" s="46">
        <f>IF(VLOOKUP($C317,REV!$C:$AA,16,0)-'TRADE IN'!$F317=0,"",(VLOOKUP($C317,REV!$C:$AA,16,0)-'TRADE IN'!$F317))</f>
        <v>1749</v>
      </c>
      <c r="S317" s="46">
        <f>IF(VLOOKUP($C317,REV!$C:$AA,17,0)-'TRADE IN'!$F317=0,"",(VLOOKUP($C317,REV!$C:$AA,17,0)-'TRADE IN'!$F317))</f>
        <v>1699</v>
      </c>
      <c r="T317" s="46">
        <f>IF(VLOOKUP($C317,REV!$C:$AA,18,0)-'TRADE IN'!$F317=0,"",(VLOOKUP($C317,REV!$C:$AA,18,0)-'TRADE IN'!$F317))</f>
        <v>999</v>
      </c>
      <c r="U317" s="46">
        <f>IF(VLOOKUP($C317,REV!$C:$AA,19,0)-'TRADE IN'!$F317=0,"",(VLOOKUP($C317,REV!$C:$AA,19,0)-'TRADE IN'!$F317))</f>
        <v>999</v>
      </c>
      <c r="V317" s="46">
        <f>IF(VLOOKUP($C317,REV!$C:$AA,20,0)-'TRADE IN'!$F317=0,"",(VLOOKUP($C317,REV!$C:$AA,20,0)-'TRADE IN'!$F317))</f>
        <v>999</v>
      </c>
      <c r="W317" s="46">
        <f>IF(VLOOKUP($C317,REV!$C:$AA,21,0)-'TRADE IN'!$F317=0,"",(VLOOKUP($C317,REV!$C:$AA,21,0)-'TRADE IN'!$F317))</f>
        <v>999</v>
      </c>
      <c r="X317" s="46">
        <f>IF(VLOOKUP($C317,REV!$C:$AA,22,0)-'TRADE IN'!$F317=0,"",(VLOOKUP($C317,REV!$C:$AA,22,0)-'TRADE IN'!$F317))</f>
        <v>999</v>
      </c>
      <c r="Y317" s="46">
        <f>IF(VLOOKUP($C317,REV!$C:$AA,23,0)-'TRADE IN'!$F317=0,"",(VLOOKUP($C317,REV!$C:$AA,23,0)-'TRADE IN'!$F317))</f>
        <v>999</v>
      </c>
      <c r="Z317" s="46">
        <f>IF(VLOOKUP($C317,REV!$C:$AA,24,0)-'TRADE IN'!$F317=0,"",(VLOOKUP($C317,REV!$C:$AA,24,0)-'TRADE IN'!$F317))</f>
        <v>999</v>
      </c>
      <c r="AA317" s="46">
        <f>IF(VLOOKUP($C317,REV!$C:$AA,25,0)-'TRADE IN'!$F317=0,"",(VLOOKUP($C317,REV!$C:$AA,25,0)-'TRADE IN'!$F317))</f>
        <v>999</v>
      </c>
      <c r="AB317" s="45">
        <f>IF(VLOOKUP($C317,REV!$C:$AL,27,0)-'TRADE IN'!$F317=0,"",(VLOOKUP($C317,REV!$C:$AL,27,0)-'TRADE IN'!$F317))</f>
        <v>1799</v>
      </c>
      <c r="AC317" s="45">
        <f>IF(VLOOKUP($C317,REV!$C:$AL,28,0)-'TRADE IN'!$F317=0,"",(VLOOKUP($C317,REV!$C:$AL,28,0)-'TRADE IN'!$F317))</f>
        <v>1799</v>
      </c>
      <c r="AD317" s="45">
        <f>IF(VLOOKUP($C317,REV!$C:$AL,29,0)-'TRADE IN'!$F317=0,"",(VLOOKUP($C317,REV!$C:$AL,29,0)-'TRADE IN'!$F317))</f>
        <v>1799</v>
      </c>
      <c r="AE317" s="45">
        <f>IF(VLOOKUP($C317,REV!$C:$AL,30,0)-'TRADE IN'!$F317=0,"",(VLOOKUP($C317,REV!$C:$AL,30,0)-'TRADE IN'!$F317))</f>
        <v>1749</v>
      </c>
      <c r="AF317" s="45">
        <f>IF(VLOOKUP($C317,REV!$C:$AL,31,0)-'TRADE IN'!$F317=0,"",(VLOOKUP($C317,REV!$C:$AL,31,0)-'TRADE IN'!$F317))</f>
        <v>1699</v>
      </c>
      <c r="AG317" s="45">
        <f>IF(VLOOKUP($C317,REV!$C:$AL,31,0)-'TRADE IN'!$F317=0,"",(VLOOKUP($C317,REV!$C:$AL,31,0)-'TRADE IN'!$F317))</f>
        <v>1699</v>
      </c>
      <c r="AH317" s="45">
        <f>IF(VLOOKUP($C317,REV!$C:$AL,32,0)-'TRADE IN'!$F317=0,"",(VLOOKUP($C317,REV!$C:$AL,32,0)-'TRADE IN'!$F317))</f>
        <v>999</v>
      </c>
      <c r="AI317" s="45">
        <f>IF(VLOOKUP($C317,REV!$C:$AL,33,0)-'TRADE IN'!$F317=0,"",(VLOOKUP($C317,REV!$C:$AL,33,0)-'TRADE IN'!$F317))</f>
        <v>999</v>
      </c>
      <c r="AJ317" s="45">
        <f>IF(VLOOKUP($C317,REV!$C:$AL,34,0)-'TRADE IN'!$F317=0,"",(VLOOKUP($C317,REV!$C:$AL,34,0)-'TRADE IN'!$F317))</f>
        <v>999</v>
      </c>
      <c r="AK317" s="45">
        <f>IF(VLOOKUP($C317,REV!$C:$AL,35,0)-'TRADE IN'!$F317=0,"",(VLOOKUP($C317,REV!$C:$AL,35,0)-'TRADE IN'!$F317))</f>
        <v>999</v>
      </c>
      <c r="AL317" s="45">
        <f>IF(VLOOKUP($C317,REV!$C:$AL,36,0)-'TRADE IN'!$F317=0,"",(VLOOKUP($C317,REV!$C:$AL,36,0)-'TRADE IN'!$F317))</f>
        <v>999</v>
      </c>
      <c r="AM317" s="45"/>
      <c r="AN317" s="45"/>
      <c r="AO317" s="45"/>
      <c r="AP317" s="45"/>
      <c r="AQ317" s="45"/>
      <c r="AR317" s="45"/>
      <c r="AS317" s="45"/>
      <c r="AT317" s="45"/>
      <c r="AU317" s="45"/>
      <c r="AV317" s="47"/>
      <c r="AW317" s="48" t="str">
        <f>REV!AW317</f>
        <v>01.12.2026</v>
      </c>
      <c r="AX317" s="153" t="str">
        <f>VLOOKUP(C317,REV!C:AX,48,0)</f>
        <v>5G</v>
      </c>
    </row>
    <row r="318" spans="1:50" ht="22.5" customHeight="1">
      <c r="A318" s="57" t="s">
        <v>247</v>
      </c>
      <c r="B318" s="42" t="s">
        <v>64</v>
      </c>
      <c r="C318" s="43">
        <v>4017869</v>
      </c>
      <c r="D318" s="58" t="s">
        <v>486</v>
      </c>
      <c r="E318" s="58" t="s">
        <v>492</v>
      </c>
      <c r="F318" s="45">
        <v>300</v>
      </c>
      <c r="G318" s="45"/>
      <c r="H318" s="45"/>
      <c r="I318" s="45"/>
      <c r="J318" s="46">
        <f>IF(VLOOKUP($C318,REV!$C:$AA,8,0)-'TRADE IN'!$F318=0,"",(VLOOKUP($C318,REV!$C:$AA,8,0)-'TRADE IN'!$F318))</f>
        <v>1799</v>
      </c>
      <c r="K318" s="46">
        <f>IF(VLOOKUP($C318,REV!$C:$AA,9,0)-'TRADE IN'!$F318=0,"",(VLOOKUP($C318,REV!$C:$AA,9,0)-'TRADE IN'!$F318))</f>
        <v>1799</v>
      </c>
      <c r="L318" s="46">
        <f>IF(VLOOKUP($C318,REV!$C:$AA,10,0)-'TRADE IN'!$F318=0,"",(VLOOKUP($C318,REV!$C:$AA,10,0)-'TRADE IN'!$F318))</f>
        <v>1799</v>
      </c>
      <c r="M318" s="46">
        <f>IF(VLOOKUP($C318,REV!$C:$AA,11,0)-'TRADE IN'!$F318=0,"",(VLOOKUP($C318,REV!$C:$AA,11,0)-'TRADE IN'!$F318))</f>
        <v>1799</v>
      </c>
      <c r="N318" s="46">
        <f>IF(VLOOKUP($C318,REV!$C:$AA,12,0)-'TRADE IN'!$F318=0,"",(VLOOKUP($C318,REV!$C:$AA,12,0)-'TRADE IN'!$F318))</f>
        <v>1799</v>
      </c>
      <c r="O318" s="46">
        <f>IF(VLOOKUP($C318,REV!$C:$AA,13,0)-'TRADE IN'!$F318=0,"",(VLOOKUP($C318,REV!$C:$AA,13,0)-'TRADE IN'!$F318))</f>
        <v>1749</v>
      </c>
      <c r="P318" s="46">
        <f>IF(VLOOKUP($C318,REV!$C:$AA,14,0)-'TRADE IN'!$F318=0,"",(VLOOKUP($C318,REV!$C:$AA,14,0)-'TRADE IN'!$F318))</f>
        <v>1699</v>
      </c>
      <c r="Q318" s="46">
        <f>IF(VLOOKUP($C318,REV!$C:$AA,15,0)-'TRADE IN'!$F318=0,"",(VLOOKUP($C318,REV!$C:$AA,15,0)-'TRADE IN'!$F318))</f>
        <v>999</v>
      </c>
      <c r="R318" s="46">
        <f>IF(VLOOKUP($C318,REV!$C:$AA,16,0)-'TRADE IN'!$F318=0,"",(VLOOKUP($C318,REV!$C:$AA,16,0)-'TRADE IN'!$F318))</f>
        <v>1749</v>
      </c>
      <c r="S318" s="46">
        <f>IF(VLOOKUP($C318,REV!$C:$AA,17,0)-'TRADE IN'!$F318=0,"",(VLOOKUP($C318,REV!$C:$AA,17,0)-'TRADE IN'!$F318))</f>
        <v>1699</v>
      </c>
      <c r="T318" s="46">
        <f>IF(VLOOKUP($C318,REV!$C:$AA,18,0)-'TRADE IN'!$F318=0,"",(VLOOKUP($C318,REV!$C:$AA,18,0)-'TRADE IN'!$F318))</f>
        <v>999</v>
      </c>
      <c r="U318" s="46">
        <f>IF(VLOOKUP($C318,REV!$C:$AA,19,0)-'TRADE IN'!$F318=0,"",(VLOOKUP($C318,REV!$C:$AA,19,0)-'TRADE IN'!$F318))</f>
        <v>999</v>
      </c>
      <c r="V318" s="46">
        <f>IF(VLOOKUP($C318,REV!$C:$AA,20,0)-'TRADE IN'!$F318=0,"",(VLOOKUP($C318,REV!$C:$AA,20,0)-'TRADE IN'!$F318))</f>
        <v>999</v>
      </c>
      <c r="W318" s="46">
        <f>IF(VLOOKUP($C318,REV!$C:$AA,21,0)-'TRADE IN'!$F318=0,"",(VLOOKUP($C318,REV!$C:$AA,21,0)-'TRADE IN'!$F318))</f>
        <v>999</v>
      </c>
      <c r="X318" s="46">
        <f>IF(VLOOKUP($C318,REV!$C:$AA,22,0)-'TRADE IN'!$F318=0,"",(VLOOKUP($C318,REV!$C:$AA,22,0)-'TRADE IN'!$F318))</f>
        <v>999</v>
      </c>
      <c r="Y318" s="46">
        <f>IF(VLOOKUP($C318,REV!$C:$AA,23,0)-'TRADE IN'!$F318=0,"",(VLOOKUP($C318,REV!$C:$AA,23,0)-'TRADE IN'!$F318))</f>
        <v>999</v>
      </c>
      <c r="Z318" s="46">
        <f>IF(VLOOKUP($C318,REV!$C:$AA,24,0)-'TRADE IN'!$F318=0,"",(VLOOKUP($C318,REV!$C:$AA,24,0)-'TRADE IN'!$F318))</f>
        <v>999</v>
      </c>
      <c r="AA318" s="46">
        <f>IF(VLOOKUP($C318,REV!$C:$AA,25,0)-'TRADE IN'!$F318=0,"",(VLOOKUP($C318,REV!$C:$AA,25,0)-'TRADE IN'!$F318))</f>
        <v>999</v>
      </c>
      <c r="AB318" s="45">
        <f>IF(VLOOKUP($C318,REV!$C:$AL,27,0)-'TRADE IN'!$F318=0,"",(VLOOKUP($C318,REV!$C:$AL,27,0)-'TRADE IN'!$F318))</f>
        <v>1799</v>
      </c>
      <c r="AC318" s="45">
        <f>IF(VLOOKUP($C318,REV!$C:$AL,28,0)-'TRADE IN'!$F318=0,"",(VLOOKUP($C318,REV!$C:$AL,28,0)-'TRADE IN'!$F318))</f>
        <v>1799</v>
      </c>
      <c r="AD318" s="45">
        <f>IF(VLOOKUP($C318,REV!$C:$AL,29,0)-'TRADE IN'!$F318=0,"",(VLOOKUP($C318,REV!$C:$AL,29,0)-'TRADE IN'!$F318))</f>
        <v>1799</v>
      </c>
      <c r="AE318" s="45">
        <f>IF(VLOOKUP($C318,REV!$C:$AL,30,0)-'TRADE IN'!$F318=0,"",(VLOOKUP($C318,REV!$C:$AL,30,0)-'TRADE IN'!$F318))</f>
        <v>1749</v>
      </c>
      <c r="AF318" s="45">
        <f>IF(VLOOKUP($C318,REV!$C:$AL,31,0)-'TRADE IN'!$F318=0,"",(VLOOKUP($C318,REV!$C:$AL,31,0)-'TRADE IN'!$F318))</f>
        <v>1699</v>
      </c>
      <c r="AG318" s="45">
        <f>IF(VLOOKUP($C318,REV!$C:$AL,31,0)-'TRADE IN'!$F318=0,"",(VLOOKUP($C318,REV!$C:$AL,31,0)-'TRADE IN'!$F318))</f>
        <v>1699</v>
      </c>
      <c r="AH318" s="45">
        <f>IF(VLOOKUP($C318,REV!$C:$AL,32,0)-'TRADE IN'!$F318=0,"",(VLOOKUP($C318,REV!$C:$AL,32,0)-'TRADE IN'!$F318))</f>
        <v>999</v>
      </c>
      <c r="AI318" s="45">
        <f>IF(VLOOKUP($C318,REV!$C:$AL,33,0)-'TRADE IN'!$F318=0,"",(VLOOKUP($C318,REV!$C:$AL,33,0)-'TRADE IN'!$F318))</f>
        <v>999</v>
      </c>
      <c r="AJ318" s="45">
        <f>IF(VLOOKUP($C318,REV!$C:$AL,34,0)-'TRADE IN'!$F318=0,"",(VLOOKUP($C318,REV!$C:$AL,34,0)-'TRADE IN'!$F318))</f>
        <v>999</v>
      </c>
      <c r="AK318" s="45">
        <f>IF(VLOOKUP($C318,REV!$C:$AL,35,0)-'TRADE IN'!$F318=0,"",(VLOOKUP($C318,REV!$C:$AL,35,0)-'TRADE IN'!$F318))</f>
        <v>999</v>
      </c>
      <c r="AL318" s="45">
        <f>IF(VLOOKUP($C318,REV!$C:$AL,36,0)-'TRADE IN'!$F318=0,"",(VLOOKUP($C318,REV!$C:$AL,36,0)-'TRADE IN'!$F318))</f>
        <v>999</v>
      </c>
      <c r="AM318" s="45"/>
      <c r="AN318" s="45"/>
      <c r="AO318" s="45"/>
      <c r="AP318" s="45"/>
      <c r="AQ318" s="45"/>
      <c r="AR318" s="45"/>
      <c r="AS318" s="45"/>
      <c r="AT318" s="45"/>
      <c r="AU318" s="45"/>
      <c r="AV318" s="47"/>
      <c r="AW318" s="48" t="str">
        <f>REV!AW318</f>
        <v>01.12.2026</v>
      </c>
      <c r="AX318" s="153" t="str">
        <f>VLOOKUP(C318,REV!C:AX,48,0)</f>
        <v>5G</v>
      </c>
    </row>
    <row r="319" spans="1:50" ht="22.5" customHeight="1">
      <c r="A319" s="57" t="s">
        <v>247</v>
      </c>
      <c r="B319" s="42" t="s">
        <v>64</v>
      </c>
      <c r="C319" s="43">
        <v>4014478</v>
      </c>
      <c r="D319" s="58" t="s">
        <v>493</v>
      </c>
      <c r="E319" s="58" t="s">
        <v>494</v>
      </c>
      <c r="F319" s="45"/>
      <c r="G319" s="45"/>
      <c r="H319" s="45"/>
      <c r="I319" s="45"/>
      <c r="J319" s="46">
        <f>IF(VLOOKUP($C319,REV!$C:$AA,8,0)-'TRADE IN'!$F319=0,"",(VLOOKUP($C319,REV!$C:$AA,8,0)-'TRADE IN'!$F319))</f>
        <v>499</v>
      </c>
      <c r="K319" s="46">
        <f>IF(VLOOKUP($C319,REV!$C:$AA,9,0)-'TRADE IN'!$F319=0,"",(VLOOKUP($C319,REV!$C:$AA,9,0)-'TRADE IN'!$F319))</f>
        <v>499</v>
      </c>
      <c r="L319" s="46">
        <f>IF(VLOOKUP($C319,REV!$C:$AA,10,0)-'TRADE IN'!$F319=0,"",(VLOOKUP($C319,REV!$C:$AA,10,0)-'TRADE IN'!$F319))</f>
        <v>499</v>
      </c>
      <c r="M319" s="46">
        <f>IF(VLOOKUP($C319,REV!$C:$AA,11,0)-'TRADE IN'!$F319=0,"",(VLOOKUP($C319,REV!$C:$AA,11,0)-'TRADE IN'!$F319))</f>
        <v>499</v>
      </c>
      <c r="N319" s="46">
        <f>IF(VLOOKUP($C319,REV!$C:$AA,12,0)-'TRADE IN'!$F319=0,"",(VLOOKUP($C319,REV!$C:$AA,12,0)-'TRADE IN'!$F319))</f>
        <v>499</v>
      </c>
      <c r="O319" s="46">
        <f>IF(VLOOKUP($C319,REV!$C:$AA,13,0)-'TRADE IN'!$F319=0,"",(VLOOKUP($C319,REV!$C:$AA,13,0)-'TRADE IN'!$F319))</f>
        <v>449</v>
      </c>
      <c r="P319" s="46">
        <f>IF(VLOOKUP($C319,REV!$C:$AA,14,0)-'TRADE IN'!$F319=0,"",(VLOOKUP($C319,REV!$C:$AA,14,0)-'TRADE IN'!$F319))</f>
        <v>449</v>
      </c>
      <c r="Q319" s="46">
        <f>IF(VLOOKUP($C319,REV!$C:$AA,15,0)-'TRADE IN'!$F319=0,"",(VLOOKUP($C319,REV!$C:$AA,15,0)-'TRADE IN'!$F319))</f>
        <v>449</v>
      </c>
      <c r="R319" s="46">
        <f>IF(VLOOKUP($C319,REV!$C:$AA,16,0)-'TRADE IN'!$F319=0,"",(VLOOKUP($C319,REV!$C:$AA,16,0)-'TRADE IN'!$F319))</f>
        <v>449</v>
      </c>
      <c r="S319" s="46">
        <f>IF(VLOOKUP($C319,REV!$C:$AA,17,0)-'TRADE IN'!$F319=0,"",(VLOOKUP($C319,REV!$C:$AA,17,0)-'TRADE IN'!$F319))</f>
        <v>449</v>
      </c>
      <c r="T319" s="46">
        <f>IF(VLOOKUP($C319,REV!$C:$AA,18,0)-'TRADE IN'!$F319=0,"",(VLOOKUP($C319,REV!$C:$AA,18,0)-'TRADE IN'!$F319))</f>
        <v>449</v>
      </c>
      <c r="U319" s="46">
        <f>IF(VLOOKUP($C319,REV!$C:$AA,19,0)-'TRADE IN'!$F319=0,"",(VLOOKUP($C319,REV!$C:$AA,19,0)-'TRADE IN'!$F319))</f>
        <v>449</v>
      </c>
      <c r="V319" s="46">
        <f>IF(VLOOKUP($C319,REV!$C:$AA,20,0)-'TRADE IN'!$F319=0,"",(VLOOKUP($C319,REV!$C:$AA,20,0)-'TRADE IN'!$F319))</f>
        <v>449</v>
      </c>
      <c r="W319" s="46">
        <f>IF(VLOOKUP($C319,REV!$C:$AA,21,0)-'TRADE IN'!$F319=0,"",(VLOOKUP($C319,REV!$C:$AA,21,0)-'TRADE IN'!$F319))</f>
        <v>449</v>
      </c>
      <c r="X319" s="46">
        <f>IF(VLOOKUP($C319,REV!$C:$AA,22,0)-'TRADE IN'!$F319=0,"",(VLOOKUP($C319,REV!$C:$AA,22,0)-'TRADE IN'!$F319))</f>
        <v>449</v>
      </c>
      <c r="Y319" s="46">
        <f>IF(VLOOKUP($C319,REV!$C:$AA,23,0)-'TRADE IN'!$F319=0,"",(VLOOKUP($C319,REV!$C:$AA,23,0)-'TRADE IN'!$F319))</f>
        <v>449</v>
      </c>
      <c r="Z319" s="46">
        <f>IF(VLOOKUP($C319,REV!$C:$AA,24,0)-'TRADE IN'!$F319=0,"",(VLOOKUP($C319,REV!$C:$AA,24,0)-'TRADE IN'!$F319))</f>
        <v>449</v>
      </c>
      <c r="AA319" s="46">
        <f>IF(VLOOKUP($C319,REV!$C:$AA,25,0)-'TRADE IN'!$F319=0,"",(VLOOKUP($C319,REV!$C:$AA,25,0)-'TRADE IN'!$F319))</f>
        <v>449</v>
      </c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7"/>
      <c r="AW319" s="48" t="str">
        <f>REV!AW319</f>
        <v>01.12.2026</v>
      </c>
      <c r="AX319" s="153" t="str">
        <f>VLOOKUP(C319,REV!C:AX,48,0)</f>
        <v>5G</v>
      </c>
    </row>
    <row r="320" spans="1:50" ht="22.5" customHeight="1">
      <c r="A320" s="57" t="s">
        <v>247</v>
      </c>
      <c r="B320" s="42" t="s">
        <v>64</v>
      </c>
      <c r="C320" s="43">
        <v>4014480</v>
      </c>
      <c r="D320" s="58" t="s">
        <v>493</v>
      </c>
      <c r="E320" s="58" t="s">
        <v>495</v>
      </c>
      <c r="F320" s="45"/>
      <c r="G320" s="45"/>
      <c r="H320" s="45"/>
      <c r="I320" s="45"/>
      <c r="J320" s="46">
        <f>IF(VLOOKUP($C320,REV!$C:$AA,8,0)-'TRADE IN'!$F320=0,"",(VLOOKUP($C320,REV!$C:$AA,8,0)-'TRADE IN'!$F320))</f>
        <v>499</v>
      </c>
      <c r="K320" s="46">
        <f>IF(VLOOKUP($C320,REV!$C:$AA,9,0)-'TRADE IN'!$F320=0,"",(VLOOKUP($C320,REV!$C:$AA,9,0)-'TRADE IN'!$F320))</f>
        <v>499</v>
      </c>
      <c r="L320" s="46">
        <f>IF(VLOOKUP($C320,REV!$C:$AA,10,0)-'TRADE IN'!$F320=0,"",(VLOOKUP($C320,REV!$C:$AA,10,0)-'TRADE IN'!$F320))</f>
        <v>499</v>
      </c>
      <c r="M320" s="46">
        <f>IF(VLOOKUP($C320,REV!$C:$AA,11,0)-'TRADE IN'!$F320=0,"",(VLOOKUP($C320,REV!$C:$AA,11,0)-'TRADE IN'!$F320))</f>
        <v>499</v>
      </c>
      <c r="N320" s="46">
        <f>IF(VLOOKUP($C320,REV!$C:$AA,12,0)-'TRADE IN'!$F320=0,"",(VLOOKUP($C320,REV!$C:$AA,12,0)-'TRADE IN'!$F320))</f>
        <v>499</v>
      </c>
      <c r="O320" s="46">
        <f>IF(VLOOKUP($C320,REV!$C:$AA,13,0)-'TRADE IN'!$F320=0,"",(VLOOKUP($C320,REV!$C:$AA,13,0)-'TRADE IN'!$F320))</f>
        <v>449</v>
      </c>
      <c r="P320" s="46">
        <f>IF(VLOOKUP($C320,REV!$C:$AA,14,0)-'TRADE IN'!$F320=0,"",(VLOOKUP($C320,REV!$C:$AA,14,0)-'TRADE IN'!$F320))</f>
        <v>449</v>
      </c>
      <c r="Q320" s="46">
        <f>IF(VLOOKUP($C320,REV!$C:$AA,15,0)-'TRADE IN'!$F320=0,"",(VLOOKUP($C320,REV!$C:$AA,15,0)-'TRADE IN'!$F320))</f>
        <v>449</v>
      </c>
      <c r="R320" s="46">
        <f>IF(VLOOKUP($C320,REV!$C:$AA,16,0)-'TRADE IN'!$F320=0,"",(VLOOKUP($C320,REV!$C:$AA,16,0)-'TRADE IN'!$F320))</f>
        <v>449</v>
      </c>
      <c r="S320" s="46">
        <f>IF(VLOOKUP($C320,REV!$C:$AA,17,0)-'TRADE IN'!$F320=0,"",(VLOOKUP($C320,REV!$C:$AA,17,0)-'TRADE IN'!$F320))</f>
        <v>449</v>
      </c>
      <c r="T320" s="46">
        <f>IF(VLOOKUP($C320,REV!$C:$AA,18,0)-'TRADE IN'!$F320=0,"",(VLOOKUP($C320,REV!$C:$AA,18,0)-'TRADE IN'!$F320))</f>
        <v>449</v>
      </c>
      <c r="U320" s="46">
        <f>IF(VLOOKUP($C320,REV!$C:$AA,19,0)-'TRADE IN'!$F320=0,"",(VLOOKUP($C320,REV!$C:$AA,19,0)-'TRADE IN'!$F320))</f>
        <v>449</v>
      </c>
      <c r="V320" s="46">
        <f>IF(VLOOKUP($C320,REV!$C:$AA,20,0)-'TRADE IN'!$F320=0,"",(VLOOKUP($C320,REV!$C:$AA,20,0)-'TRADE IN'!$F320))</f>
        <v>449</v>
      </c>
      <c r="W320" s="46">
        <f>IF(VLOOKUP($C320,REV!$C:$AA,21,0)-'TRADE IN'!$F320=0,"",(VLOOKUP($C320,REV!$C:$AA,21,0)-'TRADE IN'!$F320))</f>
        <v>449</v>
      </c>
      <c r="X320" s="46">
        <f>IF(VLOOKUP($C320,REV!$C:$AA,22,0)-'TRADE IN'!$F320=0,"",(VLOOKUP($C320,REV!$C:$AA,22,0)-'TRADE IN'!$F320))</f>
        <v>449</v>
      </c>
      <c r="Y320" s="46">
        <f>IF(VLOOKUP($C320,REV!$C:$AA,23,0)-'TRADE IN'!$F320=0,"",(VLOOKUP($C320,REV!$C:$AA,23,0)-'TRADE IN'!$F320))</f>
        <v>449</v>
      </c>
      <c r="Z320" s="46">
        <f>IF(VLOOKUP($C320,REV!$C:$AA,24,0)-'TRADE IN'!$F320=0,"",(VLOOKUP($C320,REV!$C:$AA,24,0)-'TRADE IN'!$F320))</f>
        <v>449</v>
      </c>
      <c r="AA320" s="46">
        <f>IF(VLOOKUP($C320,REV!$C:$AA,25,0)-'TRADE IN'!$F320=0,"",(VLOOKUP($C320,REV!$C:$AA,25,0)-'TRADE IN'!$F320))</f>
        <v>449</v>
      </c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7"/>
      <c r="AW320" s="48" t="str">
        <f>REV!AW320</f>
        <v>01.12.2026</v>
      </c>
      <c r="AX320" s="153" t="str">
        <f>VLOOKUP(C320,REV!C:AX,48,0)</f>
        <v>5G</v>
      </c>
    </row>
    <row r="321" spans="1:50" ht="22.5" customHeight="1">
      <c r="A321" s="57" t="s">
        <v>247</v>
      </c>
      <c r="B321" s="42" t="s">
        <v>64</v>
      </c>
      <c r="C321" s="43">
        <v>4014519</v>
      </c>
      <c r="D321" s="58" t="s">
        <v>493</v>
      </c>
      <c r="E321" s="58" t="s">
        <v>496</v>
      </c>
      <c r="F321" s="45"/>
      <c r="G321" s="45"/>
      <c r="H321" s="45"/>
      <c r="I321" s="45"/>
      <c r="J321" s="46">
        <f>IF(VLOOKUP($C321,REV!$C:$AA,8,0)-'TRADE IN'!$F321=0,"",(VLOOKUP($C321,REV!$C:$AA,8,0)-'TRADE IN'!$F321))</f>
        <v>499</v>
      </c>
      <c r="K321" s="46">
        <f>IF(VLOOKUP($C321,REV!$C:$AA,9,0)-'TRADE IN'!$F321=0,"",(VLOOKUP($C321,REV!$C:$AA,9,0)-'TRADE IN'!$F321))</f>
        <v>499</v>
      </c>
      <c r="L321" s="46">
        <f>IF(VLOOKUP($C321,REV!$C:$AA,10,0)-'TRADE IN'!$F321=0,"",(VLOOKUP($C321,REV!$C:$AA,10,0)-'TRADE IN'!$F321))</f>
        <v>499</v>
      </c>
      <c r="M321" s="46">
        <f>IF(VLOOKUP($C321,REV!$C:$AA,11,0)-'TRADE IN'!$F321=0,"",(VLOOKUP($C321,REV!$C:$AA,11,0)-'TRADE IN'!$F321))</f>
        <v>499</v>
      </c>
      <c r="N321" s="46">
        <f>IF(VLOOKUP($C321,REV!$C:$AA,12,0)-'TRADE IN'!$F321=0,"",(VLOOKUP($C321,REV!$C:$AA,12,0)-'TRADE IN'!$F321))</f>
        <v>499</v>
      </c>
      <c r="O321" s="46">
        <f>IF(VLOOKUP($C321,REV!$C:$AA,13,0)-'TRADE IN'!$F321=0,"",(VLOOKUP($C321,REV!$C:$AA,13,0)-'TRADE IN'!$F321))</f>
        <v>449</v>
      </c>
      <c r="P321" s="46">
        <f>IF(VLOOKUP($C321,REV!$C:$AA,14,0)-'TRADE IN'!$F321=0,"",(VLOOKUP($C321,REV!$C:$AA,14,0)-'TRADE IN'!$F321))</f>
        <v>449</v>
      </c>
      <c r="Q321" s="46">
        <f>IF(VLOOKUP($C321,REV!$C:$AA,15,0)-'TRADE IN'!$F321=0,"",(VLOOKUP($C321,REV!$C:$AA,15,0)-'TRADE IN'!$F321))</f>
        <v>449</v>
      </c>
      <c r="R321" s="46">
        <f>IF(VLOOKUP($C321,REV!$C:$AA,16,0)-'TRADE IN'!$F321=0,"",(VLOOKUP($C321,REV!$C:$AA,16,0)-'TRADE IN'!$F321))</f>
        <v>449</v>
      </c>
      <c r="S321" s="46">
        <f>IF(VLOOKUP($C321,REV!$C:$AA,17,0)-'TRADE IN'!$F321=0,"",(VLOOKUP($C321,REV!$C:$AA,17,0)-'TRADE IN'!$F321))</f>
        <v>449</v>
      </c>
      <c r="T321" s="46">
        <f>IF(VLOOKUP($C321,REV!$C:$AA,18,0)-'TRADE IN'!$F321=0,"",(VLOOKUP($C321,REV!$C:$AA,18,0)-'TRADE IN'!$F321))</f>
        <v>449</v>
      </c>
      <c r="U321" s="46">
        <f>IF(VLOOKUP($C321,REV!$C:$AA,19,0)-'TRADE IN'!$F321=0,"",(VLOOKUP($C321,REV!$C:$AA,19,0)-'TRADE IN'!$F321))</f>
        <v>449</v>
      </c>
      <c r="V321" s="46">
        <f>IF(VLOOKUP($C321,REV!$C:$AA,20,0)-'TRADE IN'!$F321=0,"",(VLOOKUP($C321,REV!$C:$AA,20,0)-'TRADE IN'!$F321))</f>
        <v>449</v>
      </c>
      <c r="W321" s="46">
        <f>IF(VLOOKUP($C321,REV!$C:$AA,21,0)-'TRADE IN'!$F321=0,"",(VLOOKUP($C321,REV!$C:$AA,21,0)-'TRADE IN'!$F321))</f>
        <v>449</v>
      </c>
      <c r="X321" s="46">
        <f>IF(VLOOKUP($C321,REV!$C:$AA,22,0)-'TRADE IN'!$F321=0,"",(VLOOKUP($C321,REV!$C:$AA,22,0)-'TRADE IN'!$F321))</f>
        <v>449</v>
      </c>
      <c r="Y321" s="46">
        <f>IF(VLOOKUP($C321,REV!$C:$AA,23,0)-'TRADE IN'!$F321=0,"",(VLOOKUP($C321,REV!$C:$AA,23,0)-'TRADE IN'!$F321))</f>
        <v>449</v>
      </c>
      <c r="Z321" s="46">
        <f>IF(VLOOKUP($C321,REV!$C:$AA,24,0)-'TRADE IN'!$F321=0,"",(VLOOKUP($C321,REV!$C:$AA,24,0)-'TRADE IN'!$F321))</f>
        <v>449</v>
      </c>
      <c r="AA321" s="46">
        <f>IF(VLOOKUP($C321,REV!$C:$AA,25,0)-'TRADE IN'!$F321=0,"",(VLOOKUP($C321,REV!$C:$AA,25,0)-'TRADE IN'!$F321))</f>
        <v>449</v>
      </c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7"/>
      <c r="AW321" s="48" t="str">
        <f>REV!AW321</f>
        <v>01.12.2026</v>
      </c>
      <c r="AX321" s="153" t="str">
        <f>VLOOKUP(C321,REV!C:AX,48,0)</f>
        <v>5G</v>
      </c>
    </row>
    <row r="322" spans="1:50" ht="22.5" customHeight="1">
      <c r="A322" s="57" t="s">
        <v>247</v>
      </c>
      <c r="B322" s="42" t="s">
        <v>64</v>
      </c>
      <c r="C322" s="43">
        <v>4015472</v>
      </c>
      <c r="D322" s="58" t="s">
        <v>497</v>
      </c>
      <c r="E322" s="58" t="s">
        <v>498</v>
      </c>
      <c r="F322" s="45"/>
      <c r="G322" s="45"/>
      <c r="H322" s="45"/>
      <c r="I322" s="45"/>
      <c r="J322" s="46">
        <f>IF(VLOOKUP($C322,REV!$C:$AA,8,0)-'TRADE IN'!$F322=0,"",(VLOOKUP($C322,REV!$C:$AA,8,0)-'TRADE IN'!$F322))</f>
        <v>1699</v>
      </c>
      <c r="K322" s="46">
        <f>IF(VLOOKUP($C322,REV!$C:$AA,9,0)-'TRADE IN'!$F322=0,"",(VLOOKUP($C322,REV!$C:$AA,9,0)-'TRADE IN'!$F322))</f>
        <v>1699</v>
      </c>
      <c r="L322" s="46">
        <f>IF(VLOOKUP($C322,REV!$C:$AA,10,0)-'TRADE IN'!$F322=0,"",(VLOOKUP($C322,REV!$C:$AA,10,0)-'TRADE IN'!$F322))</f>
        <v>1699</v>
      </c>
      <c r="M322" s="46">
        <f>IF(VLOOKUP($C322,REV!$C:$AA,11,0)-'TRADE IN'!$F322=0,"",(VLOOKUP($C322,REV!$C:$AA,11,0)-'TRADE IN'!$F322))</f>
        <v>1699</v>
      </c>
      <c r="N322" s="46">
        <f>IF(VLOOKUP($C322,REV!$C:$AA,12,0)-'TRADE IN'!$F322=0,"",(VLOOKUP($C322,REV!$C:$AA,12,0)-'TRADE IN'!$F322))</f>
        <v>1699</v>
      </c>
      <c r="O322" s="46">
        <f>IF(VLOOKUP($C322,REV!$C:$AA,13,0)-'TRADE IN'!$F322=0,"",(VLOOKUP($C322,REV!$C:$AA,13,0)-'TRADE IN'!$F322))</f>
        <v>1649</v>
      </c>
      <c r="P322" s="46">
        <f>IF(VLOOKUP($C322,REV!$C:$AA,14,0)-'TRADE IN'!$F322=0,"",(VLOOKUP($C322,REV!$C:$AA,14,0)-'TRADE IN'!$F322))</f>
        <v>1499</v>
      </c>
      <c r="Q322" s="46">
        <f>IF(VLOOKUP($C322,REV!$C:$AA,15,0)-'TRADE IN'!$F322=0,"",(VLOOKUP($C322,REV!$C:$AA,15,0)-'TRADE IN'!$F322))</f>
        <v>1299</v>
      </c>
      <c r="R322" s="46">
        <f>IF(VLOOKUP($C322,REV!$C:$AA,16,0)-'TRADE IN'!$F322=0,"",(VLOOKUP($C322,REV!$C:$AA,16,0)-'TRADE IN'!$F322))</f>
        <v>1649</v>
      </c>
      <c r="S322" s="46">
        <f>IF(VLOOKUP($C322,REV!$C:$AA,17,0)-'TRADE IN'!$F322=0,"",(VLOOKUP($C322,REV!$C:$AA,17,0)-'TRADE IN'!$F322))</f>
        <v>1499</v>
      </c>
      <c r="T322" s="46">
        <f>IF(VLOOKUP($C322,REV!$C:$AA,18,0)-'TRADE IN'!$F322=0,"",(VLOOKUP($C322,REV!$C:$AA,18,0)-'TRADE IN'!$F322))</f>
        <v>1299</v>
      </c>
      <c r="U322" s="46">
        <f>IF(VLOOKUP($C322,REV!$C:$AA,19,0)-'TRADE IN'!$F322=0,"",(VLOOKUP($C322,REV!$C:$AA,19,0)-'TRADE IN'!$F322))</f>
        <v>1299</v>
      </c>
      <c r="V322" s="46">
        <f>IF(VLOOKUP($C322,REV!$C:$AA,20,0)-'TRADE IN'!$F322=0,"",(VLOOKUP($C322,REV!$C:$AA,20,0)-'TRADE IN'!$F322))</f>
        <v>1299</v>
      </c>
      <c r="W322" s="46">
        <f>IF(VLOOKUP($C322,REV!$C:$AA,21,0)-'TRADE IN'!$F322=0,"",(VLOOKUP($C322,REV!$C:$AA,21,0)-'TRADE IN'!$F322))</f>
        <v>1299</v>
      </c>
      <c r="X322" s="46">
        <f>IF(VLOOKUP($C322,REV!$C:$AA,22,0)-'TRADE IN'!$F322=0,"",(VLOOKUP($C322,REV!$C:$AA,22,0)-'TRADE IN'!$F322))</f>
        <v>1199</v>
      </c>
      <c r="Y322" s="46">
        <f>IF(VLOOKUP($C322,REV!$C:$AA,23,0)-'TRADE IN'!$F322=0,"",(VLOOKUP($C322,REV!$C:$AA,23,0)-'TRADE IN'!$F322))</f>
        <v>999</v>
      </c>
      <c r="Z322" s="46">
        <f>IF(VLOOKUP($C322,REV!$C:$AA,24,0)-'TRADE IN'!$F322=0,"",(VLOOKUP($C322,REV!$C:$AA,24,0)-'TRADE IN'!$F322))</f>
        <v>999</v>
      </c>
      <c r="AA322" s="46">
        <f>IF(VLOOKUP($C322,REV!$C:$AA,25,0)-'TRADE IN'!$F322=0,"",(VLOOKUP($C322,REV!$C:$AA,25,0)-'TRADE IN'!$F322))</f>
        <v>949</v>
      </c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7"/>
      <c r="AW322" s="48" t="str">
        <f>REV!AW322</f>
        <v>01.12.2026</v>
      </c>
      <c r="AX322" s="153" t="str">
        <f>VLOOKUP(C322,REV!C:AX,48,0)</f>
        <v>5G</v>
      </c>
    </row>
    <row r="323" spans="1:50" ht="22.5" customHeight="1">
      <c r="A323" s="57" t="s">
        <v>247</v>
      </c>
      <c r="B323" s="42" t="s">
        <v>64</v>
      </c>
      <c r="C323" s="43">
        <v>4015478</v>
      </c>
      <c r="D323" s="58" t="s">
        <v>497</v>
      </c>
      <c r="E323" s="58" t="s">
        <v>499</v>
      </c>
      <c r="F323" s="45"/>
      <c r="G323" s="45"/>
      <c r="H323" s="45"/>
      <c r="I323" s="45"/>
      <c r="J323" s="46">
        <f>IF(VLOOKUP($C323,REV!$C:$AA,8,0)-'TRADE IN'!$F323=0,"",(VLOOKUP($C323,REV!$C:$AA,8,0)-'TRADE IN'!$F323))</f>
        <v>1699</v>
      </c>
      <c r="K323" s="46">
        <f>IF(VLOOKUP($C323,REV!$C:$AA,9,0)-'TRADE IN'!$F323=0,"",(VLOOKUP($C323,REV!$C:$AA,9,0)-'TRADE IN'!$F323))</f>
        <v>1699</v>
      </c>
      <c r="L323" s="46">
        <f>IF(VLOOKUP($C323,REV!$C:$AA,10,0)-'TRADE IN'!$F323=0,"",(VLOOKUP($C323,REV!$C:$AA,10,0)-'TRADE IN'!$F323))</f>
        <v>1699</v>
      </c>
      <c r="M323" s="46">
        <f>IF(VLOOKUP($C323,REV!$C:$AA,11,0)-'TRADE IN'!$F323=0,"",(VLOOKUP($C323,REV!$C:$AA,11,0)-'TRADE IN'!$F323))</f>
        <v>1699</v>
      </c>
      <c r="N323" s="46">
        <f>IF(VLOOKUP($C323,REV!$C:$AA,12,0)-'TRADE IN'!$F323=0,"",(VLOOKUP($C323,REV!$C:$AA,12,0)-'TRADE IN'!$F323))</f>
        <v>1699</v>
      </c>
      <c r="O323" s="46">
        <f>IF(VLOOKUP($C323,REV!$C:$AA,13,0)-'TRADE IN'!$F323=0,"",(VLOOKUP($C323,REV!$C:$AA,13,0)-'TRADE IN'!$F323))</f>
        <v>1649</v>
      </c>
      <c r="P323" s="46">
        <f>IF(VLOOKUP($C323,REV!$C:$AA,14,0)-'TRADE IN'!$F323=0,"",(VLOOKUP($C323,REV!$C:$AA,14,0)-'TRADE IN'!$F323))</f>
        <v>1499</v>
      </c>
      <c r="Q323" s="46">
        <f>IF(VLOOKUP($C323,REV!$C:$AA,15,0)-'TRADE IN'!$F323=0,"",(VLOOKUP($C323,REV!$C:$AA,15,0)-'TRADE IN'!$F323))</f>
        <v>1299</v>
      </c>
      <c r="R323" s="46">
        <f>IF(VLOOKUP($C323,REV!$C:$AA,16,0)-'TRADE IN'!$F323=0,"",(VLOOKUP($C323,REV!$C:$AA,16,0)-'TRADE IN'!$F323))</f>
        <v>1649</v>
      </c>
      <c r="S323" s="46">
        <f>IF(VLOOKUP($C323,REV!$C:$AA,17,0)-'TRADE IN'!$F323=0,"",(VLOOKUP($C323,REV!$C:$AA,17,0)-'TRADE IN'!$F323))</f>
        <v>1499</v>
      </c>
      <c r="T323" s="46">
        <f>IF(VLOOKUP($C323,REV!$C:$AA,18,0)-'TRADE IN'!$F323=0,"",(VLOOKUP($C323,REV!$C:$AA,18,0)-'TRADE IN'!$F323))</f>
        <v>1299</v>
      </c>
      <c r="U323" s="46">
        <f>IF(VLOOKUP($C323,REV!$C:$AA,19,0)-'TRADE IN'!$F323=0,"",(VLOOKUP($C323,REV!$C:$AA,19,0)-'TRADE IN'!$F323))</f>
        <v>1299</v>
      </c>
      <c r="V323" s="46">
        <f>IF(VLOOKUP($C323,REV!$C:$AA,20,0)-'TRADE IN'!$F323=0,"",(VLOOKUP($C323,REV!$C:$AA,20,0)-'TRADE IN'!$F323))</f>
        <v>1299</v>
      </c>
      <c r="W323" s="46">
        <f>IF(VLOOKUP($C323,REV!$C:$AA,21,0)-'TRADE IN'!$F323=0,"",(VLOOKUP($C323,REV!$C:$AA,21,0)-'TRADE IN'!$F323))</f>
        <v>1299</v>
      </c>
      <c r="X323" s="46">
        <f>IF(VLOOKUP($C323,REV!$C:$AA,22,0)-'TRADE IN'!$F323=0,"",(VLOOKUP($C323,REV!$C:$AA,22,0)-'TRADE IN'!$F323))</f>
        <v>1199</v>
      </c>
      <c r="Y323" s="46">
        <f>IF(VLOOKUP($C323,REV!$C:$AA,23,0)-'TRADE IN'!$F323=0,"",(VLOOKUP($C323,REV!$C:$AA,23,0)-'TRADE IN'!$F323))</f>
        <v>999</v>
      </c>
      <c r="Z323" s="46">
        <f>IF(VLOOKUP($C323,REV!$C:$AA,24,0)-'TRADE IN'!$F323=0,"",(VLOOKUP($C323,REV!$C:$AA,24,0)-'TRADE IN'!$F323))</f>
        <v>999</v>
      </c>
      <c r="AA323" s="46">
        <f>IF(VLOOKUP($C323,REV!$C:$AA,25,0)-'TRADE IN'!$F323=0,"",(VLOOKUP($C323,REV!$C:$AA,25,0)-'TRADE IN'!$F323))</f>
        <v>949</v>
      </c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7"/>
      <c r="AW323" s="48" t="str">
        <f>REV!AW323</f>
        <v>01.12.2026</v>
      </c>
      <c r="AX323" s="153" t="str">
        <f>VLOOKUP(C323,REV!C:AX,48,0)</f>
        <v>5G</v>
      </c>
    </row>
    <row r="324" spans="1:50" ht="22.5" customHeight="1">
      <c r="A324" s="57" t="s">
        <v>247</v>
      </c>
      <c r="B324" s="42" t="s">
        <v>64</v>
      </c>
      <c r="C324" s="43">
        <v>4015481</v>
      </c>
      <c r="D324" s="58" t="s">
        <v>497</v>
      </c>
      <c r="E324" s="58" t="s">
        <v>500</v>
      </c>
      <c r="F324" s="45"/>
      <c r="G324" s="45"/>
      <c r="H324" s="45"/>
      <c r="I324" s="45"/>
      <c r="J324" s="46">
        <f>IF(VLOOKUP($C324,REV!$C:$AA,8,0)-'TRADE IN'!$F324=0,"",(VLOOKUP($C324,REV!$C:$AA,8,0)-'TRADE IN'!$F324))</f>
        <v>1699</v>
      </c>
      <c r="K324" s="46">
        <f>IF(VLOOKUP($C324,REV!$C:$AA,9,0)-'TRADE IN'!$F324=0,"",(VLOOKUP($C324,REV!$C:$AA,9,0)-'TRADE IN'!$F324))</f>
        <v>1699</v>
      </c>
      <c r="L324" s="46">
        <f>IF(VLOOKUP($C324,REV!$C:$AA,10,0)-'TRADE IN'!$F324=0,"",(VLOOKUP($C324,REV!$C:$AA,10,0)-'TRADE IN'!$F324))</f>
        <v>1699</v>
      </c>
      <c r="M324" s="46">
        <f>IF(VLOOKUP($C324,REV!$C:$AA,11,0)-'TRADE IN'!$F324=0,"",(VLOOKUP($C324,REV!$C:$AA,11,0)-'TRADE IN'!$F324))</f>
        <v>1699</v>
      </c>
      <c r="N324" s="46">
        <f>IF(VLOOKUP($C324,REV!$C:$AA,12,0)-'TRADE IN'!$F324=0,"",(VLOOKUP($C324,REV!$C:$AA,12,0)-'TRADE IN'!$F324))</f>
        <v>1699</v>
      </c>
      <c r="O324" s="46">
        <f>IF(VLOOKUP($C324,REV!$C:$AA,13,0)-'TRADE IN'!$F324=0,"",(VLOOKUP($C324,REV!$C:$AA,13,0)-'TRADE IN'!$F324))</f>
        <v>1649</v>
      </c>
      <c r="P324" s="46">
        <f>IF(VLOOKUP($C324,REV!$C:$AA,14,0)-'TRADE IN'!$F324=0,"",(VLOOKUP($C324,REV!$C:$AA,14,0)-'TRADE IN'!$F324))</f>
        <v>1499</v>
      </c>
      <c r="Q324" s="46">
        <f>IF(VLOOKUP($C324,REV!$C:$AA,15,0)-'TRADE IN'!$F324=0,"",(VLOOKUP($C324,REV!$C:$AA,15,0)-'TRADE IN'!$F324))</f>
        <v>1299</v>
      </c>
      <c r="R324" s="46">
        <f>IF(VLOOKUP($C324,REV!$C:$AA,16,0)-'TRADE IN'!$F324=0,"",(VLOOKUP($C324,REV!$C:$AA,16,0)-'TRADE IN'!$F324))</f>
        <v>1649</v>
      </c>
      <c r="S324" s="46">
        <f>IF(VLOOKUP($C324,REV!$C:$AA,17,0)-'TRADE IN'!$F324=0,"",(VLOOKUP($C324,REV!$C:$AA,17,0)-'TRADE IN'!$F324))</f>
        <v>1499</v>
      </c>
      <c r="T324" s="46">
        <f>IF(VLOOKUP($C324,REV!$C:$AA,18,0)-'TRADE IN'!$F324=0,"",(VLOOKUP($C324,REV!$C:$AA,18,0)-'TRADE IN'!$F324))</f>
        <v>1299</v>
      </c>
      <c r="U324" s="46">
        <f>IF(VLOOKUP($C324,REV!$C:$AA,19,0)-'TRADE IN'!$F324=0,"",(VLOOKUP($C324,REV!$C:$AA,19,0)-'TRADE IN'!$F324))</f>
        <v>1299</v>
      </c>
      <c r="V324" s="46">
        <f>IF(VLOOKUP($C324,REV!$C:$AA,20,0)-'TRADE IN'!$F324=0,"",(VLOOKUP($C324,REV!$C:$AA,20,0)-'TRADE IN'!$F324))</f>
        <v>1299</v>
      </c>
      <c r="W324" s="46">
        <f>IF(VLOOKUP($C324,REV!$C:$AA,21,0)-'TRADE IN'!$F324=0,"",(VLOOKUP($C324,REV!$C:$AA,21,0)-'TRADE IN'!$F324))</f>
        <v>1299</v>
      </c>
      <c r="X324" s="46">
        <f>IF(VLOOKUP($C324,REV!$C:$AA,22,0)-'TRADE IN'!$F324=0,"",(VLOOKUP($C324,REV!$C:$AA,22,0)-'TRADE IN'!$F324))</f>
        <v>1199</v>
      </c>
      <c r="Y324" s="46">
        <f>IF(VLOOKUP($C324,REV!$C:$AA,23,0)-'TRADE IN'!$F324=0,"",(VLOOKUP($C324,REV!$C:$AA,23,0)-'TRADE IN'!$F324))</f>
        <v>999</v>
      </c>
      <c r="Z324" s="46">
        <f>IF(VLOOKUP($C324,REV!$C:$AA,24,0)-'TRADE IN'!$F324=0,"",(VLOOKUP($C324,REV!$C:$AA,24,0)-'TRADE IN'!$F324))</f>
        <v>999</v>
      </c>
      <c r="AA324" s="46">
        <f>IF(VLOOKUP($C324,REV!$C:$AA,25,0)-'TRADE IN'!$F324=0,"",(VLOOKUP($C324,REV!$C:$AA,25,0)-'TRADE IN'!$F324))</f>
        <v>949</v>
      </c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7"/>
      <c r="AW324" s="48" t="str">
        <f>REV!AW324</f>
        <v>01.12.2026</v>
      </c>
      <c r="AX324" s="153" t="str">
        <f>VLOOKUP(C324,REV!C:AX,48,0)</f>
        <v>5G</v>
      </c>
    </row>
    <row r="325" spans="1:50" ht="22.5" customHeight="1">
      <c r="A325" s="57" t="s">
        <v>247</v>
      </c>
      <c r="B325" s="42" t="s">
        <v>64</v>
      </c>
      <c r="C325" s="43">
        <v>4015914</v>
      </c>
      <c r="D325" s="58" t="s">
        <v>497</v>
      </c>
      <c r="E325" s="58" t="s">
        <v>501</v>
      </c>
      <c r="F325" s="45"/>
      <c r="G325" s="45"/>
      <c r="H325" s="45"/>
      <c r="I325" s="45"/>
      <c r="J325" s="46">
        <f>IF(VLOOKUP($C325,REV!$C:$AA,8,0)-'TRADE IN'!$F325=0,"",(VLOOKUP($C325,REV!$C:$AA,8,0)-'TRADE IN'!$F325))</f>
        <v>1699</v>
      </c>
      <c r="K325" s="46">
        <f>IF(VLOOKUP($C325,REV!$C:$AA,9,0)-'TRADE IN'!$F325=0,"",(VLOOKUP($C325,REV!$C:$AA,9,0)-'TRADE IN'!$F325))</f>
        <v>1699</v>
      </c>
      <c r="L325" s="46">
        <f>IF(VLOOKUP($C325,REV!$C:$AA,10,0)-'TRADE IN'!$F325=0,"",(VLOOKUP($C325,REV!$C:$AA,10,0)-'TRADE IN'!$F325))</f>
        <v>1699</v>
      </c>
      <c r="M325" s="46">
        <f>IF(VLOOKUP($C325,REV!$C:$AA,11,0)-'TRADE IN'!$F325=0,"",(VLOOKUP($C325,REV!$C:$AA,11,0)-'TRADE IN'!$F325))</f>
        <v>1699</v>
      </c>
      <c r="N325" s="46">
        <f>IF(VLOOKUP($C325,REV!$C:$AA,12,0)-'TRADE IN'!$F325=0,"",(VLOOKUP($C325,REV!$C:$AA,12,0)-'TRADE IN'!$F325))</f>
        <v>1699</v>
      </c>
      <c r="O325" s="46">
        <f>IF(VLOOKUP($C325,REV!$C:$AA,13,0)-'TRADE IN'!$F325=0,"",(VLOOKUP($C325,REV!$C:$AA,13,0)-'TRADE IN'!$F325))</f>
        <v>1649</v>
      </c>
      <c r="P325" s="46">
        <f>IF(VLOOKUP($C325,REV!$C:$AA,14,0)-'TRADE IN'!$F325=0,"",(VLOOKUP($C325,REV!$C:$AA,14,0)-'TRADE IN'!$F325))</f>
        <v>1499</v>
      </c>
      <c r="Q325" s="46">
        <f>IF(VLOOKUP($C325,REV!$C:$AA,15,0)-'TRADE IN'!$F325=0,"",(VLOOKUP($C325,REV!$C:$AA,15,0)-'TRADE IN'!$F325))</f>
        <v>1299</v>
      </c>
      <c r="R325" s="46">
        <f>IF(VLOOKUP($C325,REV!$C:$AA,16,0)-'TRADE IN'!$F325=0,"",(VLOOKUP($C325,REV!$C:$AA,16,0)-'TRADE IN'!$F325))</f>
        <v>1649</v>
      </c>
      <c r="S325" s="46">
        <f>IF(VLOOKUP($C325,REV!$C:$AA,17,0)-'TRADE IN'!$F325=0,"",(VLOOKUP($C325,REV!$C:$AA,17,0)-'TRADE IN'!$F325))</f>
        <v>1499</v>
      </c>
      <c r="T325" s="46">
        <f>IF(VLOOKUP($C325,REV!$C:$AA,18,0)-'TRADE IN'!$F325=0,"",(VLOOKUP($C325,REV!$C:$AA,18,0)-'TRADE IN'!$F325))</f>
        <v>1299</v>
      </c>
      <c r="U325" s="46">
        <f>IF(VLOOKUP($C325,REV!$C:$AA,19,0)-'TRADE IN'!$F325=0,"",(VLOOKUP($C325,REV!$C:$AA,19,0)-'TRADE IN'!$F325))</f>
        <v>1299</v>
      </c>
      <c r="V325" s="46">
        <f>IF(VLOOKUP($C325,REV!$C:$AA,20,0)-'TRADE IN'!$F325=0,"",(VLOOKUP($C325,REV!$C:$AA,20,0)-'TRADE IN'!$F325))</f>
        <v>1299</v>
      </c>
      <c r="W325" s="46">
        <f>IF(VLOOKUP($C325,REV!$C:$AA,21,0)-'TRADE IN'!$F325=0,"",(VLOOKUP($C325,REV!$C:$AA,21,0)-'TRADE IN'!$F325))</f>
        <v>1299</v>
      </c>
      <c r="X325" s="46">
        <f>IF(VLOOKUP($C325,REV!$C:$AA,22,0)-'TRADE IN'!$F325=0,"",(VLOOKUP($C325,REV!$C:$AA,22,0)-'TRADE IN'!$F325))</f>
        <v>1199</v>
      </c>
      <c r="Y325" s="46">
        <f>IF(VLOOKUP($C325,REV!$C:$AA,23,0)-'TRADE IN'!$F325=0,"",(VLOOKUP($C325,REV!$C:$AA,23,0)-'TRADE IN'!$F325))</f>
        <v>999</v>
      </c>
      <c r="Z325" s="46">
        <f>IF(VLOOKUP($C325,REV!$C:$AA,24,0)-'TRADE IN'!$F325=0,"",(VLOOKUP($C325,REV!$C:$AA,24,0)-'TRADE IN'!$F325))</f>
        <v>999</v>
      </c>
      <c r="AA325" s="46">
        <f>IF(VLOOKUP($C325,REV!$C:$AA,25,0)-'TRADE IN'!$F325=0,"",(VLOOKUP($C325,REV!$C:$AA,25,0)-'TRADE IN'!$F325))</f>
        <v>949</v>
      </c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7"/>
      <c r="AW325" s="48" t="str">
        <f>REV!AW325</f>
        <v>01.12.2026</v>
      </c>
      <c r="AX325" s="153" t="str">
        <f>VLOOKUP(C325,REV!C:AX,48,0)</f>
        <v>5G</v>
      </c>
    </row>
    <row r="326" spans="1:50" ht="22.5" customHeight="1">
      <c r="A326" s="57" t="s">
        <v>247</v>
      </c>
      <c r="B326" s="42" t="s">
        <v>64</v>
      </c>
      <c r="C326" s="43">
        <v>4015938</v>
      </c>
      <c r="D326" s="58" t="s">
        <v>502</v>
      </c>
      <c r="E326" s="58" t="s">
        <v>503</v>
      </c>
      <c r="F326" s="45"/>
      <c r="G326" s="45"/>
      <c r="H326" s="45"/>
      <c r="I326" s="45"/>
      <c r="J326" s="46">
        <f>IF(VLOOKUP($C326,REV!$C:$AA,8,0)-'TRADE IN'!$F326=0,"",(VLOOKUP($C326,REV!$C:$AA,8,0)-'TRADE IN'!$F326))</f>
        <v>1899</v>
      </c>
      <c r="K326" s="46">
        <f>IF(VLOOKUP($C326,REV!$C:$AA,9,0)-'TRADE IN'!$F326=0,"",(VLOOKUP($C326,REV!$C:$AA,9,0)-'TRADE IN'!$F326))</f>
        <v>1799</v>
      </c>
      <c r="L326" s="46">
        <f>IF(VLOOKUP($C326,REV!$C:$AA,10,0)-'TRADE IN'!$F326=0,"",(VLOOKUP($C326,REV!$C:$AA,10,0)-'TRADE IN'!$F326))</f>
        <v>1799</v>
      </c>
      <c r="M326" s="46">
        <f>IF(VLOOKUP($C326,REV!$C:$AA,11,0)-'TRADE IN'!$F326=0,"",(VLOOKUP($C326,REV!$C:$AA,11,0)-'TRADE IN'!$F326))</f>
        <v>1899</v>
      </c>
      <c r="N326" s="46">
        <f>IF(VLOOKUP($C326,REV!$C:$AA,12,0)-'TRADE IN'!$F326=0,"",(VLOOKUP($C326,REV!$C:$AA,12,0)-'TRADE IN'!$F326))</f>
        <v>1799</v>
      </c>
      <c r="O326" s="46">
        <f>IF(VLOOKUP($C326,REV!$C:$AA,13,0)-'TRADE IN'!$F326=0,"",(VLOOKUP($C326,REV!$C:$AA,13,0)-'TRADE IN'!$F326))</f>
        <v>1749</v>
      </c>
      <c r="P326" s="46">
        <f>IF(VLOOKUP($C326,REV!$C:$AA,14,0)-'TRADE IN'!$F326=0,"",(VLOOKUP($C326,REV!$C:$AA,14,0)-'TRADE IN'!$F326))</f>
        <v>1699</v>
      </c>
      <c r="Q326" s="46">
        <f>IF(VLOOKUP($C326,REV!$C:$AA,15,0)-'TRADE IN'!$F326=0,"",(VLOOKUP($C326,REV!$C:$AA,15,0)-'TRADE IN'!$F326))</f>
        <v>1299</v>
      </c>
      <c r="R326" s="46">
        <f>IF(VLOOKUP($C326,REV!$C:$AA,16,0)-'TRADE IN'!$F326=0,"",(VLOOKUP($C326,REV!$C:$AA,16,0)-'TRADE IN'!$F326))</f>
        <v>1749</v>
      </c>
      <c r="S326" s="46">
        <f>IF(VLOOKUP($C326,REV!$C:$AA,17,0)-'TRADE IN'!$F326=0,"",(VLOOKUP($C326,REV!$C:$AA,17,0)-'TRADE IN'!$F326))</f>
        <v>1699</v>
      </c>
      <c r="T326" s="46">
        <f>IF(VLOOKUP($C326,REV!$C:$AA,18,0)-'TRADE IN'!$F326=0,"",(VLOOKUP($C326,REV!$C:$AA,18,0)-'TRADE IN'!$F326))</f>
        <v>1299</v>
      </c>
      <c r="U326" s="46">
        <f>IF(VLOOKUP($C326,REV!$C:$AA,19,0)-'TRADE IN'!$F326=0,"",(VLOOKUP($C326,REV!$C:$AA,19,0)-'TRADE IN'!$F326))</f>
        <v>1299</v>
      </c>
      <c r="V326" s="46">
        <f>IF(VLOOKUP($C326,REV!$C:$AA,20,0)-'TRADE IN'!$F326=0,"",(VLOOKUP($C326,REV!$C:$AA,20,0)-'TRADE IN'!$F326))</f>
        <v>1299</v>
      </c>
      <c r="W326" s="46">
        <f>IF(VLOOKUP($C326,REV!$C:$AA,21,0)-'TRADE IN'!$F326=0,"",(VLOOKUP($C326,REV!$C:$AA,21,0)-'TRADE IN'!$F326))</f>
        <v>1299</v>
      </c>
      <c r="X326" s="46">
        <f>IF(VLOOKUP($C326,REV!$C:$AA,22,0)-'TRADE IN'!$F326=0,"",(VLOOKUP($C326,REV!$C:$AA,22,0)-'TRADE IN'!$F326))</f>
        <v>1299</v>
      </c>
      <c r="Y326" s="46">
        <f>IF(VLOOKUP($C326,REV!$C:$AA,23,0)-'TRADE IN'!$F326=0,"",(VLOOKUP($C326,REV!$C:$AA,23,0)-'TRADE IN'!$F326))</f>
        <v>1199</v>
      </c>
      <c r="Z326" s="46">
        <f>IF(VLOOKUP($C326,REV!$C:$AA,24,0)-'TRADE IN'!$F326=0,"",(VLOOKUP($C326,REV!$C:$AA,24,0)-'TRADE IN'!$F326))</f>
        <v>1199</v>
      </c>
      <c r="AA326" s="46">
        <f>IF(VLOOKUP($C326,REV!$C:$AA,25,0)-'TRADE IN'!$F326=0,"",(VLOOKUP($C326,REV!$C:$AA,25,0)-'TRADE IN'!$F326))</f>
        <v>1199</v>
      </c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7"/>
      <c r="AW326" s="48" t="str">
        <f>REV!AW326</f>
        <v>01.12.2026</v>
      </c>
      <c r="AX326" s="153" t="str">
        <f>VLOOKUP(C326,REV!C:AX,48,0)</f>
        <v>5G</v>
      </c>
    </row>
    <row r="327" spans="1:50" ht="22.5" customHeight="1">
      <c r="A327" s="57" t="s">
        <v>247</v>
      </c>
      <c r="B327" s="42" t="s">
        <v>64</v>
      </c>
      <c r="C327" s="43">
        <v>4016161</v>
      </c>
      <c r="D327" s="58" t="s">
        <v>502</v>
      </c>
      <c r="E327" s="58" t="s">
        <v>504</v>
      </c>
      <c r="F327" s="45"/>
      <c r="G327" s="45"/>
      <c r="H327" s="45"/>
      <c r="I327" s="45"/>
      <c r="J327" s="46">
        <f>IF(VLOOKUP($C327,REV!$C:$AA,8,0)-'TRADE IN'!$F327=0,"",(VLOOKUP($C327,REV!$C:$AA,8,0)-'TRADE IN'!$F327))</f>
        <v>1899</v>
      </c>
      <c r="K327" s="46">
        <f>IF(VLOOKUP($C327,REV!$C:$AA,9,0)-'TRADE IN'!$F327=0,"",(VLOOKUP($C327,REV!$C:$AA,9,0)-'TRADE IN'!$F327))</f>
        <v>1799</v>
      </c>
      <c r="L327" s="46">
        <f>IF(VLOOKUP($C327,REV!$C:$AA,10,0)-'TRADE IN'!$F327=0,"",(VLOOKUP($C327,REV!$C:$AA,10,0)-'TRADE IN'!$F327))</f>
        <v>1799</v>
      </c>
      <c r="M327" s="46">
        <f>IF(VLOOKUP($C327,REV!$C:$AA,11,0)-'TRADE IN'!$F327=0,"",(VLOOKUP($C327,REV!$C:$AA,11,0)-'TRADE IN'!$F327))</f>
        <v>1899</v>
      </c>
      <c r="N327" s="46">
        <f>IF(VLOOKUP($C327,REV!$C:$AA,12,0)-'TRADE IN'!$F327=0,"",(VLOOKUP($C327,REV!$C:$AA,12,0)-'TRADE IN'!$F327))</f>
        <v>1799</v>
      </c>
      <c r="O327" s="46">
        <f>IF(VLOOKUP($C327,REV!$C:$AA,13,0)-'TRADE IN'!$F327=0,"",(VLOOKUP($C327,REV!$C:$AA,13,0)-'TRADE IN'!$F327))</f>
        <v>1749</v>
      </c>
      <c r="P327" s="46">
        <f>IF(VLOOKUP($C327,REV!$C:$AA,14,0)-'TRADE IN'!$F327=0,"",(VLOOKUP($C327,REV!$C:$AA,14,0)-'TRADE IN'!$F327))</f>
        <v>1699</v>
      </c>
      <c r="Q327" s="46">
        <f>IF(VLOOKUP($C327,REV!$C:$AA,15,0)-'TRADE IN'!$F327=0,"",(VLOOKUP($C327,REV!$C:$AA,15,0)-'TRADE IN'!$F327))</f>
        <v>1299</v>
      </c>
      <c r="R327" s="46">
        <f>IF(VLOOKUP($C327,REV!$C:$AA,16,0)-'TRADE IN'!$F327=0,"",(VLOOKUP($C327,REV!$C:$AA,16,0)-'TRADE IN'!$F327))</f>
        <v>1749</v>
      </c>
      <c r="S327" s="46">
        <f>IF(VLOOKUP($C327,REV!$C:$AA,17,0)-'TRADE IN'!$F327=0,"",(VLOOKUP($C327,REV!$C:$AA,17,0)-'TRADE IN'!$F327))</f>
        <v>1699</v>
      </c>
      <c r="T327" s="46">
        <f>IF(VLOOKUP($C327,REV!$C:$AA,18,0)-'TRADE IN'!$F327=0,"",(VLOOKUP($C327,REV!$C:$AA,18,0)-'TRADE IN'!$F327))</f>
        <v>1299</v>
      </c>
      <c r="U327" s="46">
        <f>IF(VLOOKUP($C327,REV!$C:$AA,19,0)-'TRADE IN'!$F327=0,"",(VLOOKUP($C327,REV!$C:$AA,19,0)-'TRADE IN'!$F327))</f>
        <v>1299</v>
      </c>
      <c r="V327" s="46">
        <f>IF(VLOOKUP($C327,REV!$C:$AA,20,0)-'TRADE IN'!$F327=0,"",(VLOOKUP($C327,REV!$C:$AA,20,0)-'TRADE IN'!$F327))</f>
        <v>1299</v>
      </c>
      <c r="W327" s="46">
        <f>IF(VLOOKUP($C327,REV!$C:$AA,21,0)-'TRADE IN'!$F327=0,"",(VLOOKUP($C327,REV!$C:$AA,21,0)-'TRADE IN'!$F327))</f>
        <v>1299</v>
      </c>
      <c r="X327" s="46">
        <f>IF(VLOOKUP($C327,REV!$C:$AA,22,0)-'TRADE IN'!$F327=0,"",(VLOOKUP($C327,REV!$C:$AA,22,0)-'TRADE IN'!$F327))</f>
        <v>1299</v>
      </c>
      <c r="Y327" s="46">
        <f>IF(VLOOKUP($C327,REV!$C:$AA,23,0)-'TRADE IN'!$F327=0,"",(VLOOKUP($C327,REV!$C:$AA,23,0)-'TRADE IN'!$F327))</f>
        <v>1199</v>
      </c>
      <c r="Z327" s="46">
        <f>IF(VLOOKUP($C327,REV!$C:$AA,24,0)-'TRADE IN'!$F327=0,"",(VLOOKUP($C327,REV!$C:$AA,24,0)-'TRADE IN'!$F327))</f>
        <v>1199</v>
      </c>
      <c r="AA327" s="46">
        <f>IF(VLOOKUP($C327,REV!$C:$AA,25,0)-'TRADE IN'!$F327=0,"",(VLOOKUP($C327,REV!$C:$AA,25,0)-'TRADE IN'!$F327))</f>
        <v>1199</v>
      </c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7"/>
      <c r="AW327" s="48" t="str">
        <f>REV!AW327</f>
        <v>01.12.2026</v>
      </c>
      <c r="AX327" s="153" t="str">
        <f>VLOOKUP(C327,REV!C:AX,48,0)</f>
        <v>5G</v>
      </c>
    </row>
    <row r="328" spans="1:50" ht="22.5" customHeight="1">
      <c r="A328" s="57" t="s">
        <v>247</v>
      </c>
      <c r="B328" s="42" t="s">
        <v>64</v>
      </c>
      <c r="C328" s="43">
        <v>4015933</v>
      </c>
      <c r="D328" s="58" t="s">
        <v>502</v>
      </c>
      <c r="E328" s="58" t="s">
        <v>505</v>
      </c>
      <c r="F328" s="45"/>
      <c r="G328" s="45"/>
      <c r="H328" s="45"/>
      <c r="I328" s="45"/>
      <c r="J328" s="46">
        <f>IF(VLOOKUP($C328,REV!$C:$AA,8,0)-'TRADE IN'!$F328=0,"",(VLOOKUP($C328,REV!$C:$AA,8,0)-'TRADE IN'!$F328))</f>
        <v>1899</v>
      </c>
      <c r="K328" s="46">
        <f>IF(VLOOKUP($C328,REV!$C:$AA,9,0)-'TRADE IN'!$F328=0,"",(VLOOKUP($C328,REV!$C:$AA,9,0)-'TRADE IN'!$F328))</f>
        <v>1799</v>
      </c>
      <c r="L328" s="46">
        <f>IF(VLOOKUP($C328,REV!$C:$AA,10,0)-'TRADE IN'!$F328=0,"",(VLOOKUP($C328,REV!$C:$AA,10,0)-'TRADE IN'!$F328))</f>
        <v>1799</v>
      </c>
      <c r="M328" s="46">
        <f>IF(VLOOKUP($C328,REV!$C:$AA,11,0)-'TRADE IN'!$F328=0,"",(VLOOKUP($C328,REV!$C:$AA,11,0)-'TRADE IN'!$F328))</f>
        <v>1899</v>
      </c>
      <c r="N328" s="46">
        <f>IF(VLOOKUP($C328,REV!$C:$AA,12,0)-'TRADE IN'!$F328=0,"",(VLOOKUP($C328,REV!$C:$AA,12,0)-'TRADE IN'!$F328))</f>
        <v>1799</v>
      </c>
      <c r="O328" s="46">
        <f>IF(VLOOKUP($C328,REV!$C:$AA,13,0)-'TRADE IN'!$F328=0,"",(VLOOKUP($C328,REV!$C:$AA,13,0)-'TRADE IN'!$F328))</f>
        <v>1749</v>
      </c>
      <c r="P328" s="46">
        <f>IF(VLOOKUP($C328,REV!$C:$AA,14,0)-'TRADE IN'!$F328=0,"",(VLOOKUP($C328,REV!$C:$AA,14,0)-'TRADE IN'!$F328))</f>
        <v>1699</v>
      </c>
      <c r="Q328" s="46">
        <f>IF(VLOOKUP($C328,REV!$C:$AA,15,0)-'TRADE IN'!$F328=0,"",(VLOOKUP($C328,REV!$C:$AA,15,0)-'TRADE IN'!$F328))</f>
        <v>1299</v>
      </c>
      <c r="R328" s="46">
        <f>IF(VLOOKUP($C328,REV!$C:$AA,16,0)-'TRADE IN'!$F328=0,"",(VLOOKUP($C328,REV!$C:$AA,16,0)-'TRADE IN'!$F328))</f>
        <v>1749</v>
      </c>
      <c r="S328" s="46">
        <f>IF(VLOOKUP($C328,REV!$C:$AA,17,0)-'TRADE IN'!$F328=0,"",(VLOOKUP($C328,REV!$C:$AA,17,0)-'TRADE IN'!$F328))</f>
        <v>1699</v>
      </c>
      <c r="T328" s="46">
        <f>IF(VLOOKUP($C328,REV!$C:$AA,18,0)-'TRADE IN'!$F328=0,"",(VLOOKUP($C328,REV!$C:$AA,18,0)-'TRADE IN'!$F328))</f>
        <v>1299</v>
      </c>
      <c r="U328" s="46">
        <f>IF(VLOOKUP($C328,REV!$C:$AA,19,0)-'TRADE IN'!$F328=0,"",(VLOOKUP($C328,REV!$C:$AA,19,0)-'TRADE IN'!$F328))</f>
        <v>1299</v>
      </c>
      <c r="V328" s="46">
        <f>IF(VLOOKUP($C328,REV!$C:$AA,20,0)-'TRADE IN'!$F328=0,"",(VLOOKUP($C328,REV!$C:$AA,20,0)-'TRADE IN'!$F328))</f>
        <v>1299</v>
      </c>
      <c r="W328" s="46">
        <f>IF(VLOOKUP($C328,REV!$C:$AA,21,0)-'TRADE IN'!$F328=0,"",(VLOOKUP($C328,REV!$C:$AA,21,0)-'TRADE IN'!$F328))</f>
        <v>1299</v>
      </c>
      <c r="X328" s="46">
        <f>IF(VLOOKUP($C328,REV!$C:$AA,22,0)-'TRADE IN'!$F328=0,"",(VLOOKUP($C328,REV!$C:$AA,22,0)-'TRADE IN'!$F328))</f>
        <v>1299</v>
      </c>
      <c r="Y328" s="46">
        <f>IF(VLOOKUP($C328,REV!$C:$AA,23,0)-'TRADE IN'!$F328=0,"",(VLOOKUP($C328,REV!$C:$AA,23,0)-'TRADE IN'!$F328))</f>
        <v>1199</v>
      </c>
      <c r="Z328" s="46">
        <f>IF(VLOOKUP($C328,REV!$C:$AA,24,0)-'TRADE IN'!$F328=0,"",(VLOOKUP($C328,REV!$C:$AA,24,0)-'TRADE IN'!$F328))</f>
        <v>1199</v>
      </c>
      <c r="AA328" s="46">
        <f>IF(VLOOKUP($C328,REV!$C:$AA,25,0)-'TRADE IN'!$F328=0,"",(VLOOKUP($C328,REV!$C:$AA,25,0)-'TRADE IN'!$F328))</f>
        <v>1199</v>
      </c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7"/>
      <c r="AW328" s="48" t="str">
        <f>REV!AW328</f>
        <v>01.12.2026</v>
      </c>
      <c r="AX328" s="153" t="str">
        <f>VLOOKUP(C328,REV!C:AX,48,0)</f>
        <v>5G</v>
      </c>
    </row>
    <row r="329" spans="1:50" ht="22.5" customHeight="1">
      <c r="A329" s="57" t="s">
        <v>247</v>
      </c>
      <c r="B329" s="42" t="s">
        <v>64</v>
      </c>
      <c r="C329" s="43">
        <v>4016156</v>
      </c>
      <c r="D329" s="58" t="s">
        <v>502</v>
      </c>
      <c r="E329" s="58" t="s">
        <v>506</v>
      </c>
      <c r="F329" s="45"/>
      <c r="G329" s="45"/>
      <c r="H329" s="45"/>
      <c r="I329" s="45"/>
      <c r="J329" s="46">
        <f>IF(VLOOKUP($C329,REV!$C:$AA,8,0)-'TRADE IN'!$F329=0,"",(VLOOKUP($C329,REV!$C:$AA,8,0)-'TRADE IN'!$F329))</f>
        <v>1899</v>
      </c>
      <c r="K329" s="46">
        <f>IF(VLOOKUP($C329,REV!$C:$AA,9,0)-'TRADE IN'!$F329=0,"",(VLOOKUP($C329,REV!$C:$AA,9,0)-'TRADE IN'!$F329))</f>
        <v>1799</v>
      </c>
      <c r="L329" s="46">
        <f>IF(VLOOKUP($C329,REV!$C:$AA,10,0)-'TRADE IN'!$F329=0,"",(VLOOKUP($C329,REV!$C:$AA,10,0)-'TRADE IN'!$F329))</f>
        <v>1799</v>
      </c>
      <c r="M329" s="46">
        <f>IF(VLOOKUP($C329,REV!$C:$AA,11,0)-'TRADE IN'!$F329=0,"",(VLOOKUP($C329,REV!$C:$AA,11,0)-'TRADE IN'!$F329))</f>
        <v>1899</v>
      </c>
      <c r="N329" s="46">
        <f>IF(VLOOKUP($C329,REV!$C:$AA,12,0)-'TRADE IN'!$F329=0,"",(VLOOKUP($C329,REV!$C:$AA,12,0)-'TRADE IN'!$F329))</f>
        <v>1799</v>
      </c>
      <c r="O329" s="46">
        <f>IF(VLOOKUP($C329,REV!$C:$AA,13,0)-'TRADE IN'!$F329=0,"",(VLOOKUP($C329,REV!$C:$AA,13,0)-'TRADE IN'!$F329))</f>
        <v>1749</v>
      </c>
      <c r="P329" s="46">
        <f>IF(VLOOKUP($C329,REV!$C:$AA,14,0)-'TRADE IN'!$F329=0,"",(VLOOKUP($C329,REV!$C:$AA,14,0)-'TRADE IN'!$F329))</f>
        <v>1699</v>
      </c>
      <c r="Q329" s="46">
        <f>IF(VLOOKUP($C329,REV!$C:$AA,15,0)-'TRADE IN'!$F329=0,"",(VLOOKUP($C329,REV!$C:$AA,15,0)-'TRADE IN'!$F329))</f>
        <v>1299</v>
      </c>
      <c r="R329" s="46">
        <f>IF(VLOOKUP($C329,REV!$C:$AA,16,0)-'TRADE IN'!$F329=0,"",(VLOOKUP($C329,REV!$C:$AA,16,0)-'TRADE IN'!$F329))</f>
        <v>1749</v>
      </c>
      <c r="S329" s="46">
        <f>IF(VLOOKUP($C329,REV!$C:$AA,17,0)-'TRADE IN'!$F329=0,"",(VLOOKUP($C329,REV!$C:$AA,17,0)-'TRADE IN'!$F329))</f>
        <v>1699</v>
      </c>
      <c r="T329" s="46">
        <f>IF(VLOOKUP($C329,REV!$C:$AA,18,0)-'TRADE IN'!$F329=0,"",(VLOOKUP($C329,REV!$C:$AA,18,0)-'TRADE IN'!$F329))</f>
        <v>1299</v>
      </c>
      <c r="U329" s="46">
        <f>IF(VLOOKUP($C329,REV!$C:$AA,19,0)-'TRADE IN'!$F329=0,"",(VLOOKUP($C329,REV!$C:$AA,19,0)-'TRADE IN'!$F329))</f>
        <v>1299</v>
      </c>
      <c r="V329" s="46">
        <f>IF(VLOOKUP($C329,REV!$C:$AA,20,0)-'TRADE IN'!$F329=0,"",(VLOOKUP($C329,REV!$C:$AA,20,0)-'TRADE IN'!$F329))</f>
        <v>1299</v>
      </c>
      <c r="W329" s="46">
        <f>IF(VLOOKUP($C329,REV!$C:$AA,21,0)-'TRADE IN'!$F329=0,"",(VLOOKUP($C329,REV!$C:$AA,21,0)-'TRADE IN'!$F329))</f>
        <v>1299</v>
      </c>
      <c r="X329" s="46">
        <f>IF(VLOOKUP($C329,REV!$C:$AA,22,0)-'TRADE IN'!$F329=0,"",(VLOOKUP($C329,REV!$C:$AA,22,0)-'TRADE IN'!$F329))</f>
        <v>1299</v>
      </c>
      <c r="Y329" s="46">
        <f>IF(VLOOKUP($C329,REV!$C:$AA,23,0)-'TRADE IN'!$F329=0,"",(VLOOKUP($C329,REV!$C:$AA,23,0)-'TRADE IN'!$F329))</f>
        <v>1199</v>
      </c>
      <c r="Z329" s="46">
        <f>IF(VLOOKUP($C329,REV!$C:$AA,24,0)-'TRADE IN'!$F329=0,"",(VLOOKUP($C329,REV!$C:$AA,24,0)-'TRADE IN'!$F329))</f>
        <v>1199</v>
      </c>
      <c r="AA329" s="46">
        <f>IF(VLOOKUP($C329,REV!$C:$AA,25,0)-'TRADE IN'!$F329=0,"",(VLOOKUP($C329,REV!$C:$AA,25,0)-'TRADE IN'!$F329))</f>
        <v>1199</v>
      </c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7"/>
      <c r="AW329" s="48" t="str">
        <f>REV!AW329</f>
        <v>01.12.2026</v>
      </c>
      <c r="AX329" s="153" t="str">
        <f>VLOOKUP(C329,REV!C:AX,48,0)</f>
        <v>5G</v>
      </c>
    </row>
    <row r="330" spans="1:50" ht="22.5" customHeight="1">
      <c r="A330" s="57" t="s">
        <v>247</v>
      </c>
      <c r="B330" s="42" t="s">
        <v>64</v>
      </c>
      <c r="C330" s="43">
        <v>4016157</v>
      </c>
      <c r="D330" s="58" t="s">
        <v>502</v>
      </c>
      <c r="E330" s="58" t="s">
        <v>507</v>
      </c>
      <c r="F330" s="45"/>
      <c r="G330" s="45"/>
      <c r="H330" s="45"/>
      <c r="I330" s="45"/>
      <c r="J330" s="46">
        <f>IF(VLOOKUP($C330,REV!$C:$AA,8,0)-'TRADE IN'!$F330=0,"",(VLOOKUP($C330,REV!$C:$AA,8,0)-'TRADE IN'!$F330))</f>
        <v>1899</v>
      </c>
      <c r="K330" s="46">
        <f>IF(VLOOKUP($C330,REV!$C:$AA,9,0)-'TRADE IN'!$F330=0,"",(VLOOKUP($C330,REV!$C:$AA,9,0)-'TRADE IN'!$F330))</f>
        <v>1799</v>
      </c>
      <c r="L330" s="46">
        <f>IF(VLOOKUP($C330,REV!$C:$AA,10,0)-'TRADE IN'!$F330=0,"",(VLOOKUP($C330,REV!$C:$AA,10,0)-'TRADE IN'!$F330))</f>
        <v>1799</v>
      </c>
      <c r="M330" s="46">
        <f>IF(VLOOKUP($C330,REV!$C:$AA,11,0)-'TRADE IN'!$F330=0,"",(VLOOKUP($C330,REV!$C:$AA,11,0)-'TRADE IN'!$F330))</f>
        <v>1899</v>
      </c>
      <c r="N330" s="46">
        <f>IF(VLOOKUP($C330,REV!$C:$AA,12,0)-'TRADE IN'!$F330=0,"",(VLOOKUP($C330,REV!$C:$AA,12,0)-'TRADE IN'!$F330))</f>
        <v>1799</v>
      </c>
      <c r="O330" s="46">
        <f>IF(VLOOKUP($C330,REV!$C:$AA,13,0)-'TRADE IN'!$F330=0,"",(VLOOKUP($C330,REV!$C:$AA,13,0)-'TRADE IN'!$F330))</f>
        <v>1749</v>
      </c>
      <c r="P330" s="46">
        <f>IF(VLOOKUP($C330,REV!$C:$AA,14,0)-'TRADE IN'!$F330=0,"",(VLOOKUP($C330,REV!$C:$AA,14,0)-'TRADE IN'!$F330))</f>
        <v>1699</v>
      </c>
      <c r="Q330" s="46">
        <f>IF(VLOOKUP($C330,REV!$C:$AA,15,0)-'TRADE IN'!$F330=0,"",(VLOOKUP($C330,REV!$C:$AA,15,0)-'TRADE IN'!$F330))</f>
        <v>1299</v>
      </c>
      <c r="R330" s="46">
        <f>IF(VLOOKUP($C330,REV!$C:$AA,16,0)-'TRADE IN'!$F330=0,"",(VLOOKUP($C330,REV!$C:$AA,16,0)-'TRADE IN'!$F330))</f>
        <v>1749</v>
      </c>
      <c r="S330" s="46">
        <f>IF(VLOOKUP($C330,REV!$C:$AA,17,0)-'TRADE IN'!$F330=0,"",(VLOOKUP($C330,REV!$C:$AA,17,0)-'TRADE IN'!$F330))</f>
        <v>1699</v>
      </c>
      <c r="T330" s="46">
        <f>IF(VLOOKUP($C330,REV!$C:$AA,18,0)-'TRADE IN'!$F330=0,"",(VLOOKUP($C330,REV!$C:$AA,18,0)-'TRADE IN'!$F330))</f>
        <v>1299</v>
      </c>
      <c r="U330" s="46">
        <f>IF(VLOOKUP($C330,REV!$C:$AA,19,0)-'TRADE IN'!$F330=0,"",(VLOOKUP($C330,REV!$C:$AA,19,0)-'TRADE IN'!$F330))</f>
        <v>1299</v>
      </c>
      <c r="V330" s="46">
        <f>IF(VLOOKUP($C330,REV!$C:$AA,20,0)-'TRADE IN'!$F330=0,"",(VLOOKUP($C330,REV!$C:$AA,20,0)-'TRADE IN'!$F330))</f>
        <v>1299</v>
      </c>
      <c r="W330" s="46">
        <f>IF(VLOOKUP($C330,REV!$C:$AA,21,0)-'TRADE IN'!$F330=0,"",(VLOOKUP($C330,REV!$C:$AA,21,0)-'TRADE IN'!$F330))</f>
        <v>1299</v>
      </c>
      <c r="X330" s="46">
        <f>IF(VLOOKUP($C330,REV!$C:$AA,22,0)-'TRADE IN'!$F330=0,"",(VLOOKUP($C330,REV!$C:$AA,22,0)-'TRADE IN'!$F330))</f>
        <v>1299</v>
      </c>
      <c r="Y330" s="46">
        <f>IF(VLOOKUP($C330,REV!$C:$AA,23,0)-'TRADE IN'!$F330=0,"",(VLOOKUP($C330,REV!$C:$AA,23,0)-'TRADE IN'!$F330))</f>
        <v>1199</v>
      </c>
      <c r="Z330" s="46">
        <f>IF(VLOOKUP($C330,REV!$C:$AA,24,0)-'TRADE IN'!$F330=0,"",(VLOOKUP($C330,REV!$C:$AA,24,0)-'TRADE IN'!$F330))</f>
        <v>1199</v>
      </c>
      <c r="AA330" s="46">
        <f>IF(VLOOKUP($C330,REV!$C:$AA,25,0)-'TRADE IN'!$F330=0,"",(VLOOKUP($C330,REV!$C:$AA,25,0)-'TRADE IN'!$F330))</f>
        <v>1199</v>
      </c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7"/>
      <c r="AW330" s="48" t="str">
        <f>REV!AW330</f>
        <v>01.12.2026</v>
      </c>
      <c r="AX330" s="153" t="str">
        <f>VLOOKUP(C330,REV!C:AX,48,0)</f>
        <v>5G</v>
      </c>
    </row>
    <row r="331" spans="1:50" ht="22.5" customHeight="1">
      <c r="A331" s="57" t="s">
        <v>247</v>
      </c>
      <c r="B331" s="42" t="s">
        <v>64</v>
      </c>
      <c r="C331" s="43">
        <v>4016985</v>
      </c>
      <c r="D331" s="58" t="s">
        <v>508</v>
      </c>
      <c r="E331" s="58" t="s">
        <v>509</v>
      </c>
      <c r="F331" s="45"/>
      <c r="G331" s="45"/>
      <c r="H331" s="45"/>
      <c r="I331" s="45"/>
      <c r="J331" s="46">
        <f>IF(VLOOKUP($C331,REV!$C:$AA,8,0)-'TRADE IN'!$F331=0,"",(VLOOKUP($C331,REV!$C:$AA,8,0)-'TRADE IN'!$F331))</f>
        <v>2599</v>
      </c>
      <c r="K331" s="46">
        <f>IF(VLOOKUP($C331,REV!$C:$AA,9,0)-'TRADE IN'!$F331=0,"",(VLOOKUP($C331,REV!$C:$AA,9,0)-'TRADE IN'!$F331))</f>
        <v>1899</v>
      </c>
      <c r="L331" s="46">
        <f>IF(VLOOKUP($C331,REV!$C:$AA,10,0)-'TRADE IN'!$F331=0,"",(VLOOKUP($C331,REV!$C:$AA,10,0)-'TRADE IN'!$F331))</f>
        <v>1899</v>
      </c>
      <c r="M331" s="46">
        <f>IF(VLOOKUP($C331,REV!$C:$AA,11,0)-'TRADE IN'!$F331=0,"",(VLOOKUP($C331,REV!$C:$AA,11,0)-'TRADE IN'!$F331))</f>
        <v>2599</v>
      </c>
      <c r="N331" s="46">
        <f>IF(VLOOKUP($C331,REV!$C:$AA,12,0)-'TRADE IN'!$F331=0,"",(VLOOKUP($C331,REV!$C:$AA,12,0)-'TRADE IN'!$F331))</f>
        <v>1899</v>
      </c>
      <c r="O331" s="46">
        <f>IF(VLOOKUP($C331,REV!$C:$AA,13,0)-'TRADE IN'!$F331=0,"",(VLOOKUP($C331,REV!$C:$AA,13,0)-'TRADE IN'!$F331))</f>
        <v>1599</v>
      </c>
      <c r="P331" s="46">
        <f>IF(VLOOKUP($C331,REV!$C:$AA,14,0)-'TRADE IN'!$F331=0,"",(VLOOKUP($C331,REV!$C:$AA,14,0)-'TRADE IN'!$F331))</f>
        <v>1499</v>
      </c>
      <c r="Q331" s="46">
        <f>IF(VLOOKUP($C331,REV!$C:$AA,15,0)-'TRADE IN'!$F331=0,"",(VLOOKUP($C331,REV!$C:$AA,15,0)-'TRADE IN'!$F331))</f>
        <v>1499</v>
      </c>
      <c r="R331" s="46">
        <f>IF(VLOOKUP($C331,REV!$C:$AA,16,0)-'TRADE IN'!$F331=0,"",(VLOOKUP($C331,REV!$C:$AA,16,0)-'TRADE IN'!$F331))</f>
        <v>1799</v>
      </c>
      <c r="S331" s="46">
        <f>IF(VLOOKUP($C331,REV!$C:$AA,17,0)-'TRADE IN'!$F331=0,"",(VLOOKUP($C331,REV!$C:$AA,17,0)-'TRADE IN'!$F331))</f>
        <v>1499</v>
      </c>
      <c r="T331" s="46">
        <f>IF(VLOOKUP($C331,REV!$C:$AA,18,0)-'TRADE IN'!$F331=0,"",(VLOOKUP($C331,REV!$C:$AA,18,0)-'TRADE IN'!$F331))</f>
        <v>1499</v>
      </c>
      <c r="U331" s="46">
        <f>IF(VLOOKUP($C331,REV!$C:$AA,19,0)-'TRADE IN'!$F331=0,"",(VLOOKUP($C331,REV!$C:$AA,19,0)-'TRADE IN'!$F331))</f>
        <v>1499</v>
      </c>
      <c r="V331" s="46">
        <f>IF(VLOOKUP($C331,REV!$C:$AA,20,0)-'TRADE IN'!$F331=0,"",(VLOOKUP($C331,REV!$C:$AA,20,0)-'TRADE IN'!$F331))</f>
        <v>1499</v>
      </c>
      <c r="W331" s="46">
        <f>IF(VLOOKUP($C331,REV!$C:$AA,21,0)-'TRADE IN'!$F331=0,"",(VLOOKUP($C331,REV!$C:$AA,21,0)-'TRADE IN'!$F331))</f>
        <v>1499</v>
      </c>
      <c r="X331" s="46">
        <f>IF(VLOOKUP($C331,REV!$C:$AA,22,0)-'TRADE IN'!$F331=0,"",(VLOOKUP($C331,REV!$C:$AA,22,0)-'TRADE IN'!$F331))</f>
        <v>1399</v>
      </c>
      <c r="Y331" s="46">
        <f>IF(VLOOKUP($C331,REV!$C:$AA,23,0)-'TRADE IN'!$F331=0,"",(VLOOKUP($C331,REV!$C:$AA,23,0)-'TRADE IN'!$F331))</f>
        <v>1399</v>
      </c>
      <c r="Z331" s="46">
        <f>IF(VLOOKUP($C331,REV!$C:$AA,24,0)-'TRADE IN'!$F331=0,"",(VLOOKUP($C331,REV!$C:$AA,24,0)-'TRADE IN'!$F331))</f>
        <v>1399</v>
      </c>
      <c r="AA331" s="46">
        <f>IF(VLOOKUP($C331,REV!$C:$AA,25,0)-'TRADE IN'!$F331=0,"",(VLOOKUP($C331,REV!$C:$AA,25,0)-'TRADE IN'!$F331))</f>
        <v>1399</v>
      </c>
      <c r="AB331" s="45">
        <f>IF(VLOOKUP($C331,REV!$C:$AL,27,0)-'TRADE IN'!$F331=0,"",(VLOOKUP($C331,REV!$C:$AL,27,0)-'TRADE IN'!$F331))</f>
        <v>1899</v>
      </c>
      <c r="AC331" s="45">
        <f>IF(VLOOKUP($C331,REV!$C:$AL,28,0)-'TRADE IN'!$F331=0,"",(VLOOKUP($C331,REV!$C:$AL,28,0)-'TRADE IN'!$F331))</f>
        <v>1899</v>
      </c>
      <c r="AD331" s="45">
        <f>IF(VLOOKUP($C331,REV!$C:$AL,29,0)-'TRADE IN'!$F331=0,"",(VLOOKUP($C331,REV!$C:$AL,29,0)-'TRADE IN'!$F331))</f>
        <v>1799</v>
      </c>
      <c r="AE331" s="45">
        <f>IF(VLOOKUP($C331,REV!$C:$AL,30,0)-'TRADE IN'!$F331=0,"",(VLOOKUP($C331,REV!$C:$AL,30,0)-'TRADE IN'!$F331))</f>
        <v>1499</v>
      </c>
      <c r="AF331" s="45">
        <f>IF(VLOOKUP($C331,REV!$C:$AL,31,0)-'TRADE IN'!$F331=0,"",(VLOOKUP($C331,REV!$C:$AL,31,0)-'TRADE IN'!$F331))</f>
        <v>1499</v>
      </c>
      <c r="AG331" s="45">
        <f>IF(VLOOKUP($C331,REV!$C:$AL,31,0)-'TRADE IN'!$F331=0,"",(VLOOKUP($C331,REV!$C:$AL,31,0)-'TRADE IN'!$F331))</f>
        <v>1499</v>
      </c>
      <c r="AH331" s="45">
        <f>IF(VLOOKUP($C331,REV!$C:$AL,32,0)-'TRADE IN'!$F331=0,"",(VLOOKUP($C331,REV!$C:$AL,32,0)-'TRADE IN'!$F331))</f>
        <v>1499</v>
      </c>
      <c r="AI331" s="45">
        <f>IF(VLOOKUP($C331,REV!$C:$AL,33,0)-'TRADE IN'!$F331=0,"",(VLOOKUP($C331,REV!$C:$AL,33,0)-'TRADE IN'!$F331))</f>
        <v>1499</v>
      </c>
      <c r="AJ331" s="45">
        <f>IF(VLOOKUP($C331,REV!$C:$AL,34,0)-'TRADE IN'!$F331=0,"",(VLOOKUP($C331,REV!$C:$AL,34,0)-'TRADE IN'!$F331))</f>
        <v>1499</v>
      </c>
      <c r="AK331" s="45">
        <f>IF(VLOOKUP($C331,REV!$C:$AL,35,0)-'TRADE IN'!$F331=0,"",(VLOOKUP($C331,REV!$C:$AL,35,0)-'TRADE IN'!$F331))</f>
        <v>1499</v>
      </c>
      <c r="AL331" s="45">
        <f>IF(VLOOKUP($C331,REV!$C:$AL,36,0)-'TRADE IN'!$F331=0,"",(VLOOKUP($C331,REV!$C:$AL,36,0)-'TRADE IN'!$F331))</f>
        <v>1399</v>
      </c>
      <c r="AM331" s="45"/>
      <c r="AN331" s="45"/>
      <c r="AO331" s="45"/>
      <c r="AP331" s="45"/>
      <c r="AQ331" s="45"/>
      <c r="AR331" s="45"/>
      <c r="AS331" s="45"/>
      <c r="AT331" s="45"/>
      <c r="AU331" s="45"/>
      <c r="AV331" s="47"/>
      <c r="AW331" s="48" t="str">
        <f>REV!AW331</f>
        <v>01.12.2026</v>
      </c>
      <c r="AX331" s="153" t="str">
        <f>VLOOKUP(C331,REV!C:AX,48,0)</f>
        <v>5G</v>
      </c>
    </row>
    <row r="332" spans="1:50" ht="22.5" customHeight="1">
      <c r="A332" s="57" t="s">
        <v>247</v>
      </c>
      <c r="B332" s="42" t="s">
        <v>64</v>
      </c>
      <c r="C332" s="43">
        <v>4016999</v>
      </c>
      <c r="D332" s="58" t="s">
        <v>508</v>
      </c>
      <c r="E332" s="58" t="s">
        <v>510</v>
      </c>
      <c r="F332" s="45"/>
      <c r="G332" s="45"/>
      <c r="H332" s="45"/>
      <c r="I332" s="45"/>
      <c r="J332" s="46">
        <f>IF(VLOOKUP($C332,REV!$C:$AA,8,0)-'TRADE IN'!$F332=0,"",(VLOOKUP($C332,REV!$C:$AA,8,0)-'TRADE IN'!$F332))</f>
        <v>2599</v>
      </c>
      <c r="K332" s="46">
        <f>IF(VLOOKUP($C332,REV!$C:$AA,9,0)-'TRADE IN'!$F332=0,"",(VLOOKUP($C332,REV!$C:$AA,9,0)-'TRADE IN'!$F332))</f>
        <v>1899</v>
      </c>
      <c r="L332" s="46">
        <f>IF(VLOOKUP($C332,REV!$C:$AA,10,0)-'TRADE IN'!$F332=0,"",(VLOOKUP($C332,REV!$C:$AA,10,0)-'TRADE IN'!$F332))</f>
        <v>1899</v>
      </c>
      <c r="M332" s="46">
        <f>IF(VLOOKUP($C332,REV!$C:$AA,11,0)-'TRADE IN'!$F332=0,"",(VLOOKUP($C332,REV!$C:$AA,11,0)-'TRADE IN'!$F332))</f>
        <v>2599</v>
      </c>
      <c r="N332" s="46">
        <f>IF(VLOOKUP($C332,REV!$C:$AA,12,0)-'TRADE IN'!$F332=0,"",(VLOOKUP($C332,REV!$C:$AA,12,0)-'TRADE IN'!$F332))</f>
        <v>1899</v>
      </c>
      <c r="O332" s="46">
        <f>IF(VLOOKUP($C332,REV!$C:$AA,13,0)-'TRADE IN'!$F332=0,"",(VLOOKUP($C332,REV!$C:$AA,13,0)-'TRADE IN'!$F332))</f>
        <v>1599</v>
      </c>
      <c r="P332" s="46">
        <f>IF(VLOOKUP($C332,REV!$C:$AA,14,0)-'TRADE IN'!$F332=0,"",(VLOOKUP($C332,REV!$C:$AA,14,0)-'TRADE IN'!$F332))</f>
        <v>1499</v>
      </c>
      <c r="Q332" s="46">
        <f>IF(VLOOKUP($C332,REV!$C:$AA,15,0)-'TRADE IN'!$F332=0,"",(VLOOKUP($C332,REV!$C:$AA,15,0)-'TRADE IN'!$F332))</f>
        <v>1499</v>
      </c>
      <c r="R332" s="46">
        <f>IF(VLOOKUP($C332,REV!$C:$AA,16,0)-'TRADE IN'!$F332=0,"",(VLOOKUP($C332,REV!$C:$AA,16,0)-'TRADE IN'!$F332))</f>
        <v>1799</v>
      </c>
      <c r="S332" s="46">
        <f>IF(VLOOKUP($C332,REV!$C:$AA,17,0)-'TRADE IN'!$F332=0,"",(VLOOKUP($C332,REV!$C:$AA,17,0)-'TRADE IN'!$F332))</f>
        <v>1499</v>
      </c>
      <c r="T332" s="46">
        <f>IF(VLOOKUP($C332,REV!$C:$AA,18,0)-'TRADE IN'!$F332=0,"",(VLOOKUP($C332,REV!$C:$AA,18,0)-'TRADE IN'!$F332))</f>
        <v>1499</v>
      </c>
      <c r="U332" s="46">
        <f>IF(VLOOKUP($C332,REV!$C:$AA,19,0)-'TRADE IN'!$F332=0,"",(VLOOKUP($C332,REV!$C:$AA,19,0)-'TRADE IN'!$F332))</f>
        <v>1499</v>
      </c>
      <c r="V332" s="46">
        <f>IF(VLOOKUP($C332,REV!$C:$AA,20,0)-'TRADE IN'!$F332=0,"",(VLOOKUP($C332,REV!$C:$AA,20,0)-'TRADE IN'!$F332))</f>
        <v>1499</v>
      </c>
      <c r="W332" s="46">
        <f>IF(VLOOKUP($C332,REV!$C:$AA,21,0)-'TRADE IN'!$F332=0,"",(VLOOKUP($C332,REV!$C:$AA,21,0)-'TRADE IN'!$F332))</f>
        <v>1499</v>
      </c>
      <c r="X332" s="46">
        <f>IF(VLOOKUP($C332,REV!$C:$AA,22,0)-'TRADE IN'!$F332=0,"",(VLOOKUP($C332,REV!$C:$AA,22,0)-'TRADE IN'!$F332))</f>
        <v>1399</v>
      </c>
      <c r="Y332" s="46">
        <f>IF(VLOOKUP($C332,REV!$C:$AA,23,0)-'TRADE IN'!$F332=0,"",(VLOOKUP($C332,REV!$C:$AA,23,0)-'TRADE IN'!$F332))</f>
        <v>1399</v>
      </c>
      <c r="Z332" s="46">
        <f>IF(VLOOKUP($C332,REV!$C:$AA,24,0)-'TRADE IN'!$F332=0,"",(VLOOKUP($C332,REV!$C:$AA,24,0)-'TRADE IN'!$F332))</f>
        <v>1399</v>
      </c>
      <c r="AA332" s="46">
        <f>IF(VLOOKUP($C332,REV!$C:$AA,25,0)-'TRADE IN'!$F332=0,"",(VLOOKUP($C332,REV!$C:$AA,25,0)-'TRADE IN'!$F332))</f>
        <v>1399</v>
      </c>
      <c r="AB332" s="45">
        <f>IF(VLOOKUP($C332,REV!$C:$AL,27,0)-'TRADE IN'!$F332=0,"",(VLOOKUP($C332,REV!$C:$AL,27,0)-'TRADE IN'!$F332))</f>
        <v>1899</v>
      </c>
      <c r="AC332" s="45">
        <f>IF(VLOOKUP($C332,REV!$C:$AL,28,0)-'TRADE IN'!$F332=0,"",(VLOOKUP($C332,REV!$C:$AL,28,0)-'TRADE IN'!$F332))</f>
        <v>1899</v>
      </c>
      <c r="AD332" s="45">
        <f>IF(VLOOKUP($C332,REV!$C:$AL,29,0)-'TRADE IN'!$F332=0,"",(VLOOKUP($C332,REV!$C:$AL,29,0)-'TRADE IN'!$F332))</f>
        <v>1799</v>
      </c>
      <c r="AE332" s="45">
        <f>IF(VLOOKUP($C332,REV!$C:$AL,30,0)-'TRADE IN'!$F332=0,"",(VLOOKUP($C332,REV!$C:$AL,30,0)-'TRADE IN'!$F332))</f>
        <v>1499</v>
      </c>
      <c r="AF332" s="45">
        <f>IF(VLOOKUP($C332,REV!$C:$AL,31,0)-'TRADE IN'!$F332=0,"",(VLOOKUP($C332,REV!$C:$AL,31,0)-'TRADE IN'!$F332))</f>
        <v>1499</v>
      </c>
      <c r="AG332" s="45">
        <f>IF(VLOOKUP($C332,REV!$C:$AL,31,0)-'TRADE IN'!$F332=0,"",(VLOOKUP($C332,REV!$C:$AL,31,0)-'TRADE IN'!$F332))</f>
        <v>1499</v>
      </c>
      <c r="AH332" s="45">
        <f>IF(VLOOKUP($C332,REV!$C:$AL,32,0)-'TRADE IN'!$F332=0,"",(VLOOKUP($C332,REV!$C:$AL,32,0)-'TRADE IN'!$F332))</f>
        <v>1499</v>
      </c>
      <c r="AI332" s="45">
        <f>IF(VLOOKUP($C332,REV!$C:$AL,33,0)-'TRADE IN'!$F332=0,"",(VLOOKUP($C332,REV!$C:$AL,33,0)-'TRADE IN'!$F332))</f>
        <v>1499</v>
      </c>
      <c r="AJ332" s="45">
        <f>IF(VLOOKUP($C332,REV!$C:$AL,34,0)-'TRADE IN'!$F332=0,"",(VLOOKUP($C332,REV!$C:$AL,34,0)-'TRADE IN'!$F332))</f>
        <v>1499</v>
      </c>
      <c r="AK332" s="45">
        <f>IF(VLOOKUP($C332,REV!$C:$AL,35,0)-'TRADE IN'!$F332=0,"",(VLOOKUP($C332,REV!$C:$AL,35,0)-'TRADE IN'!$F332))</f>
        <v>1499</v>
      </c>
      <c r="AL332" s="45">
        <f>IF(VLOOKUP($C332,REV!$C:$AL,36,0)-'TRADE IN'!$F332=0,"",(VLOOKUP($C332,REV!$C:$AL,36,0)-'TRADE IN'!$F332))</f>
        <v>1399</v>
      </c>
      <c r="AM332" s="45"/>
      <c r="AN332" s="45"/>
      <c r="AO332" s="45"/>
      <c r="AP332" s="45"/>
      <c r="AQ332" s="45"/>
      <c r="AR332" s="45"/>
      <c r="AS332" s="45"/>
      <c r="AT332" s="45"/>
      <c r="AU332" s="45"/>
      <c r="AV332" s="47"/>
      <c r="AW332" s="48" t="str">
        <f>REV!AW332</f>
        <v>01.12.2026</v>
      </c>
      <c r="AX332" s="153" t="str">
        <f>VLOOKUP(C332,REV!C:AX,48,0)</f>
        <v>5G</v>
      </c>
    </row>
    <row r="333" spans="1:50" ht="22.5" customHeight="1">
      <c r="A333" s="57" t="s">
        <v>247</v>
      </c>
      <c r="B333" s="42" t="s">
        <v>64</v>
      </c>
      <c r="C333" s="43">
        <v>4017065</v>
      </c>
      <c r="D333" s="58" t="s">
        <v>508</v>
      </c>
      <c r="E333" s="58" t="s">
        <v>511</v>
      </c>
      <c r="F333" s="45"/>
      <c r="G333" s="45"/>
      <c r="H333" s="45"/>
      <c r="I333" s="45"/>
      <c r="J333" s="46">
        <f>IF(VLOOKUP($C333,REV!$C:$AA,8,0)-'TRADE IN'!$F333=0,"",(VLOOKUP($C333,REV!$C:$AA,8,0)-'TRADE IN'!$F333))</f>
        <v>2599</v>
      </c>
      <c r="K333" s="46">
        <f>IF(VLOOKUP($C333,REV!$C:$AA,9,0)-'TRADE IN'!$F333=0,"",(VLOOKUP($C333,REV!$C:$AA,9,0)-'TRADE IN'!$F333))</f>
        <v>1899</v>
      </c>
      <c r="L333" s="46">
        <f>IF(VLOOKUP($C333,REV!$C:$AA,10,0)-'TRADE IN'!$F333=0,"",(VLOOKUP($C333,REV!$C:$AA,10,0)-'TRADE IN'!$F333))</f>
        <v>1899</v>
      </c>
      <c r="M333" s="46">
        <f>IF(VLOOKUP($C333,REV!$C:$AA,11,0)-'TRADE IN'!$F333=0,"",(VLOOKUP($C333,REV!$C:$AA,11,0)-'TRADE IN'!$F333))</f>
        <v>2599</v>
      </c>
      <c r="N333" s="46">
        <f>IF(VLOOKUP($C333,REV!$C:$AA,12,0)-'TRADE IN'!$F333=0,"",(VLOOKUP($C333,REV!$C:$AA,12,0)-'TRADE IN'!$F333))</f>
        <v>1899</v>
      </c>
      <c r="O333" s="46">
        <f>IF(VLOOKUP($C333,REV!$C:$AA,13,0)-'TRADE IN'!$F333=0,"",(VLOOKUP($C333,REV!$C:$AA,13,0)-'TRADE IN'!$F333))</f>
        <v>1599</v>
      </c>
      <c r="P333" s="46">
        <f>IF(VLOOKUP($C333,REV!$C:$AA,14,0)-'TRADE IN'!$F333=0,"",(VLOOKUP($C333,REV!$C:$AA,14,0)-'TRADE IN'!$F333))</f>
        <v>1499</v>
      </c>
      <c r="Q333" s="46">
        <f>IF(VLOOKUP($C333,REV!$C:$AA,15,0)-'TRADE IN'!$F333=0,"",(VLOOKUP($C333,REV!$C:$AA,15,0)-'TRADE IN'!$F333))</f>
        <v>1499</v>
      </c>
      <c r="R333" s="46">
        <f>IF(VLOOKUP($C333,REV!$C:$AA,16,0)-'TRADE IN'!$F333=0,"",(VLOOKUP($C333,REV!$C:$AA,16,0)-'TRADE IN'!$F333))</f>
        <v>1799</v>
      </c>
      <c r="S333" s="46">
        <f>IF(VLOOKUP($C333,REV!$C:$AA,17,0)-'TRADE IN'!$F333=0,"",(VLOOKUP($C333,REV!$C:$AA,17,0)-'TRADE IN'!$F333))</f>
        <v>1499</v>
      </c>
      <c r="T333" s="46">
        <f>IF(VLOOKUP($C333,REV!$C:$AA,18,0)-'TRADE IN'!$F333=0,"",(VLOOKUP($C333,REV!$C:$AA,18,0)-'TRADE IN'!$F333))</f>
        <v>1499</v>
      </c>
      <c r="U333" s="46">
        <f>IF(VLOOKUP($C333,REV!$C:$AA,19,0)-'TRADE IN'!$F333=0,"",(VLOOKUP($C333,REV!$C:$AA,19,0)-'TRADE IN'!$F333))</f>
        <v>1499</v>
      </c>
      <c r="V333" s="46">
        <f>IF(VLOOKUP($C333,REV!$C:$AA,20,0)-'TRADE IN'!$F333=0,"",(VLOOKUP($C333,REV!$C:$AA,20,0)-'TRADE IN'!$F333))</f>
        <v>1499</v>
      </c>
      <c r="W333" s="46">
        <f>IF(VLOOKUP($C333,REV!$C:$AA,21,0)-'TRADE IN'!$F333=0,"",(VLOOKUP($C333,REV!$C:$AA,21,0)-'TRADE IN'!$F333))</f>
        <v>1499</v>
      </c>
      <c r="X333" s="46">
        <f>IF(VLOOKUP($C333,REV!$C:$AA,22,0)-'TRADE IN'!$F333=0,"",(VLOOKUP($C333,REV!$C:$AA,22,0)-'TRADE IN'!$F333))</f>
        <v>1399</v>
      </c>
      <c r="Y333" s="46">
        <f>IF(VLOOKUP($C333,REV!$C:$AA,23,0)-'TRADE IN'!$F333=0,"",(VLOOKUP($C333,REV!$C:$AA,23,0)-'TRADE IN'!$F333))</f>
        <v>1399</v>
      </c>
      <c r="Z333" s="46">
        <f>IF(VLOOKUP($C333,REV!$C:$AA,24,0)-'TRADE IN'!$F333=0,"",(VLOOKUP($C333,REV!$C:$AA,24,0)-'TRADE IN'!$F333))</f>
        <v>1399</v>
      </c>
      <c r="AA333" s="46">
        <f>IF(VLOOKUP($C333,REV!$C:$AA,25,0)-'TRADE IN'!$F333=0,"",(VLOOKUP($C333,REV!$C:$AA,25,0)-'TRADE IN'!$F333))</f>
        <v>1399</v>
      </c>
      <c r="AB333" s="45">
        <f>IF(VLOOKUP($C333,REV!$C:$AL,27,0)-'TRADE IN'!$F333=0,"",(VLOOKUP($C333,REV!$C:$AL,27,0)-'TRADE IN'!$F333))</f>
        <v>1899</v>
      </c>
      <c r="AC333" s="45">
        <f>IF(VLOOKUP($C333,REV!$C:$AL,28,0)-'TRADE IN'!$F333=0,"",(VLOOKUP($C333,REV!$C:$AL,28,0)-'TRADE IN'!$F333))</f>
        <v>1899</v>
      </c>
      <c r="AD333" s="45">
        <f>IF(VLOOKUP($C333,REV!$C:$AL,29,0)-'TRADE IN'!$F333=0,"",(VLOOKUP($C333,REV!$C:$AL,29,0)-'TRADE IN'!$F333))</f>
        <v>1799</v>
      </c>
      <c r="AE333" s="45">
        <f>IF(VLOOKUP($C333,REV!$C:$AL,30,0)-'TRADE IN'!$F333=0,"",(VLOOKUP($C333,REV!$C:$AL,30,0)-'TRADE IN'!$F333))</f>
        <v>1499</v>
      </c>
      <c r="AF333" s="45">
        <f>IF(VLOOKUP($C333,REV!$C:$AL,31,0)-'TRADE IN'!$F333=0,"",(VLOOKUP($C333,REV!$C:$AL,31,0)-'TRADE IN'!$F333))</f>
        <v>1499</v>
      </c>
      <c r="AG333" s="45">
        <f>IF(VLOOKUP($C333,REV!$C:$AL,31,0)-'TRADE IN'!$F333=0,"",(VLOOKUP($C333,REV!$C:$AL,31,0)-'TRADE IN'!$F333))</f>
        <v>1499</v>
      </c>
      <c r="AH333" s="45">
        <f>IF(VLOOKUP($C333,REV!$C:$AL,32,0)-'TRADE IN'!$F333=0,"",(VLOOKUP($C333,REV!$C:$AL,32,0)-'TRADE IN'!$F333))</f>
        <v>1499</v>
      </c>
      <c r="AI333" s="45">
        <f>IF(VLOOKUP($C333,REV!$C:$AL,33,0)-'TRADE IN'!$F333=0,"",(VLOOKUP($C333,REV!$C:$AL,33,0)-'TRADE IN'!$F333))</f>
        <v>1499</v>
      </c>
      <c r="AJ333" s="45">
        <f>IF(VLOOKUP($C333,REV!$C:$AL,34,0)-'TRADE IN'!$F333=0,"",(VLOOKUP($C333,REV!$C:$AL,34,0)-'TRADE IN'!$F333))</f>
        <v>1499</v>
      </c>
      <c r="AK333" s="45">
        <f>IF(VLOOKUP($C333,REV!$C:$AL,35,0)-'TRADE IN'!$F333=0,"",(VLOOKUP($C333,REV!$C:$AL,35,0)-'TRADE IN'!$F333))</f>
        <v>1499</v>
      </c>
      <c r="AL333" s="45">
        <f>IF(VLOOKUP($C333,REV!$C:$AL,36,0)-'TRADE IN'!$F333=0,"",(VLOOKUP($C333,REV!$C:$AL,36,0)-'TRADE IN'!$F333))</f>
        <v>1399</v>
      </c>
      <c r="AM333" s="45"/>
      <c r="AN333" s="45"/>
      <c r="AO333" s="45"/>
      <c r="AP333" s="45"/>
      <c r="AQ333" s="45"/>
      <c r="AR333" s="45"/>
      <c r="AS333" s="45"/>
      <c r="AT333" s="45"/>
      <c r="AU333" s="45"/>
      <c r="AV333" s="47"/>
      <c r="AW333" s="48" t="str">
        <f>REV!AW333</f>
        <v>01.12.2026</v>
      </c>
      <c r="AX333" s="153" t="str">
        <f>VLOOKUP(C333,REV!C:AX,48,0)</f>
        <v>5G</v>
      </c>
    </row>
    <row r="334" spans="1:50" ht="22.5" customHeight="1">
      <c r="A334" s="57" t="s">
        <v>247</v>
      </c>
      <c r="B334" s="42" t="s">
        <v>64</v>
      </c>
      <c r="C334" s="43">
        <v>4016977</v>
      </c>
      <c r="D334" s="58" t="s">
        <v>508</v>
      </c>
      <c r="E334" s="58" t="s">
        <v>512</v>
      </c>
      <c r="F334" s="45"/>
      <c r="G334" s="45"/>
      <c r="H334" s="45"/>
      <c r="I334" s="45"/>
      <c r="J334" s="46">
        <f>IF(VLOOKUP($C334,REV!$C:$AA,8,0)-'TRADE IN'!$F334=0,"",(VLOOKUP($C334,REV!$C:$AA,8,0)-'TRADE IN'!$F334))</f>
        <v>2599</v>
      </c>
      <c r="K334" s="46">
        <f>IF(VLOOKUP($C334,REV!$C:$AA,9,0)-'TRADE IN'!$F334=0,"",(VLOOKUP($C334,REV!$C:$AA,9,0)-'TRADE IN'!$F334))</f>
        <v>1899</v>
      </c>
      <c r="L334" s="46">
        <f>IF(VLOOKUP($C334,REV!$C:$AA,10,0)-'TRADE IN'!$F334=0,"",(VLOOKUP($C334,REV!$C:$AA,10,0)-'TRADE IN'!$F334))</f>
        <v>1899</v>
      </c>
      <c r="M334" s="46">
        <f>IF(VLOOKUP($C334,REV!$C:$AA,11,0)-'TRADE IN'!$F334=0,"",(VLOOKUP($C334,REV!$C:$AA,11,0)-'TRADE IN'!$F334))</f>
        <v>2599</v>
      </c>
      <c r="N334" s="46">
        <f>IF(VLOOKUP($C334,REV!$C:$AA,12,0)-'TRADE IN'!$F334=0,"",(VLOOKUP($C334,REV!$C:$AA,12,0)-'TRADE IN'!$F334))</f>
        <v>1899</v>
      </c>
      <c r="O334" s="46">
        <f>IF(VLOOKUP($C334,REV!$C:$AA,13,0)-'TRADE IN'!$F334=0,"",(VLOOKUP($C334,REV!$C:$AA,13,0)-'TRADE IN'!$F334))</f>
        <v>1599</v>
      </c>
      <c r="P334" s="46">
        <f>IF(VLOOKUP($C334,REV!$C:$AA,14,0)-'TRADE IN'!$F334=0,"",(VLOOKUP($C334,REV!$C:$AA,14,0)-'TRADE IN'!$F334))</f>
        <v>1499</v>
      </c>
      <c r="Q334" s="46">
        <f>IF(VLOOKUP($C334,REV!$C:$AA,15,0)-'TRADE IN'!$F334=0,"",(VLOOKUP($C334,REV!$C:$AA,15,0)-'TRADE IN'!$F334))</f>
        <v>1499</v>
      </c>
      <c r="R334" s="46">
        <f>IF(VLOOKUP($C334,REV!$C:$AA,16,0)-'TRADE IN'!$F334=0,"",(VLOOKUP($C334,REV!$C:$AA,16,0)-'TRADE IN'!$F334))</f>
        <v>1799</v>
      </c>
      <c r="S334" s="46">
        <f>IF(VLOOKUP($C334,REV!$C:$AA,17,0)-'TRADE IN'!$F334=0,"",(VLOOKUP($C334,REV!$C:$AA,17,0)-'TRADE IN'!$F334))</f>
        <v>1499</v>
      </c>
      <c r="T334" s="46">
        <f>IF(VLOOKUP($C334,REV!$C:$AA,18,0)-'TRADE IN'!$F334=0,"",(VLOOKUP($C334,REV!$C:$AA,18,0)-'TRADE IN'!$F334))</f>
        <v>1499</v>
      </c>
      <c r="U334" s="46">
        <f>IF(VLOOKUP($C334,REV!$C:$AA,19,0)-'TRADE IN'!$F334=0,"",(VLOOKUP($C334,REV!$C:$AA,19,0)-'TRADE IN'!$F334))</f>
        <v>1499</v>
      </c>
      <c r="V334" s="46">
        <f>IF(VLOOKUP($C334,REV!$C:$AA,20,0)-'TRADE IN'!$F334=0,"",(VLOOKUP($C334,REV!$C:$AA,20,0)-'TRADE IN'!$F334))</f>
        <v>1499</v>
      </c>
      <c r="W334" s="46">
        <f>IF(VLOOKUP($C334,REV!$C:$AA,21,0)-'TRADE IN'!$F334=0,"",(VLOOKUP($C334,REV!$C:$AA,21,0)-'TRADE IN'!$F334))</f>
        <v>1499</v>
      </c>
      <c r="X334" s="46">
        <f>IF(VLOOKUP($C334,REV!$C:$AA,22,0)-'TRADE IN'!$F334=0,"",(VLOOKUP($C334,REV!$C:$AA,22,0)-'TRADE IN'!$F334))</f>
        <v>1399</v>
      </c>
      <c r="Y334" s="46">
        <f>IF(VLOOKUP($C334,REV!$C:$AA,23,0)-'TRADE IN'!$F334=0,"",(VLOOKUP($C334,REV!$C:$AA,23,0)-'TRADE IN'!$F334))</f>
        <v>1399</v>
      </c>
      <c r="Z334" s="46">
        <f>IF(VLOOKUP($C334,REV!$C:$AA,24,0)-'TRADE IN'!$F334=0,"",(VLOOKUP($C334,REV!$C:$AA,24,0)-'TRADE IN'!$F334))</f>
        <v>1399</v>
      </c>
      <c r="AA334" s="46">
        <f>IF(VLOOKUP($C334,REV!$C:$AA,25,0)-'TRADE IN'!$F334=0,"",(VLOOKUP($C334,REV!$C:$AA,25,0)-'TRADE IN'!$F334))</f>
        <v>1399</v>
      </c>
      <c r="AB334" s="45">
        <f>IF(VLOOKUP($C334,REV!$C:$AL,27,0)-'TRADE IN'!$F334=0,"",(VLOOKUP($C334,REV!$C:$AL,27,0)-'TRADE IN'!$F334))</f>
        <v>1899</v>
      </c>
      <c r="AC334" s="45">
        <f>IF(VLOOKUP($C334,REV!$C:$AL,28,0)-'TRADE IN'!$F334=0,"",(VLOOKUP($C334,REV!$C:$AL,28,0)-'TRADE IN'!$F334))</f>
        <v>1899</v>
      </c>
      <c r="AD334" s="45">
        <f>IF(VLOOKUP($C334,REV!$C:$AL,29,0)-'TRADE IN'!$F334=0,"",(VLOOKUP($C334,REV!$C:$AL,29,0)-'TRADE IN'!$F334))</f>
        <v>1799</v>
      </c>
      <c r="AE334" s="45">
        <f>IF(VLOOKUP($C334,REV!$C:$AL,30,0)-'TRADE IN'!$F334=0,"",(VLOOKUP($C334,REV!$C:$AL,30,0)-'TRADE IN'!$F334))</f>
        <v>1499</v>
      </c>
      <c r="AF334" s="45">
        <f>IF(VLOOKUP($C334,REV!$C:$AL,31,0)-'TRADE IN'!$F334=0,"",(VLOOKUP($C334,REV!$C:$AL,31,0)-'TRADE IN'!$F334))</f>
        <v>1499</v>
      </c>
      <c r="AG334" s="45">
        <f>IF(VLOOKUP($C334,REV!$C:$AL,31,0)-'TRADE IN'!$F334=0,"",(VLOOKUP($C334,REV!$C:$AL,31,0)-'TRADE IN'!$F334))</f>
        <v>1499</v>
      </c>
      <c r="AH334" s="45">
        <f>IF(VLOOKUP($C334,REV!$C:$AL,32,0)-'TRADE IN'!$F334=0,"",(VLOOKUP($C334,REV!$C:$AL,32,0)-'TRADE IN'!$F334))</f>
        <v>1499</v>
      </c>
      <c r="AI334" s="45">
        <f>IF(VLOOKUP($C334,REV!$C:$AL,33,0)-'TRADE IN'!$F334=0,"",(VLOOKUP($C334,REV!$C:$AL,33,0)-'TRADE IN'!$F334))</f>
        <v>1499</v>
      </c>
      <c r="AJ334" s="45">
        <f>IF(VLOOKUP($C334,REV!$C:$AL,34,0)-'TRADE IN'!$F334=0,"",(VLOOKUP($C334,REV!$C:$AL,34,0)-'TRADE IN'!$F334))</f>
        <v>1499</v>
      </c>
      <c r="AK334" s="45">
        <f>IF(VLOOKUP($C334,REV!$C:$AL,35,0)-'TRADE IN'!$F334=0,"",(VLOOKUP($C334,REV!$C:$AL,35,0)-'TRADE IN'!$F334))</f>
        <v>1499</v>
      </c>
      <c r="AL334" s="45">
        <f>IF(VLOOKUP($C334,REV!$C:$AL,36,0)-'TRADE IN'!$F334=0,"",(VLOOKUP($C334,REV!$C:$AL,36,0)-'TRADE IN'!$F334))</f>
        <v>1399</v>
      </c>
      <c r="AM334" s="45"/>
      <c r="AN334" s="45"/>
      <c r="AO334" s="45"/>
      <c r="AP334" s="45"/>
      <c r="AQ334" s="45"/>
      <c r="AR334" s="45"/>
      <c r="AS334" s="45"/>
      <c r="AT334" s="45"/>
      <c r="AU334" s="45"/>
      <c r="AV334" s="47"/>
      <c r="AW334" s="48" t="str">
        <f>REV!AW334</f>
        <v>01.12.2026</v>
      </c>
      <c r="AX334" s="153" t="str">
        <f>VLOOKUP(C334,REV!C:AX,48,0)</f>
        <v>5G</v>
      </c>
    </row>
    <row r="335" spans="1:50" ht="22.5" customHeight="1">
      <c r="A335" s="57" t="s">
        <v>247</v>
      </c>
      <c r="B335" s="42" t="s">
        <v>64</v>
      </c>
      <c r="C335" s="43">
        <v>4017064</v>
      </c>
      <c r="D335" s="58" t="s">
        <v>508</v>
      </c>
      <c r="E335" s="58" t="s">
        <v>514</v>
      </c>
      <c r="F335" s="45"/>
      <c r="G335" s="45"/>
      <c r="H335" s="45"/>
      <c r="I335" s="45"/>
      <c r="J335" s="46">
        <f>IF(VLOOKUP($C335,REV!$C:$AA,8,0)-'TRADE IN'!$F335=0,"",(VLOOKUP($C335,REV!$C:$AA,8,0)-'TRADE IN'!$F335))</f>
        <v>2599</v>
      </c>
      <c r="K335" s="46">
        <f>IF(VLOOKUP($C335,REV!$C:$AA,9,0)-'TRADE IN'!$F335=0,"",(VLOOKUP($C335,REV!$C:$AA,9,0)-'TRADE IN'!$F335))</f>
        <v>1899</v>
      </c>
      <c r="L335" s="46">
        <f>IF(VLOOKUP($C335,REV!$C:$AA,10,0)-'TRADE IN'!$F335=0,"",(VLOOKUP($C335,REV!$C:$AA,10,0)-'TRADE IN'!$F335))</f>
        <v>1899</v>
      </c>
      <c r="M335" s="46">
        <f>IF(VLOOKUP($C335,REV!$C:$AA,11,0)-'TRADE IN'!$F335=0,"",(VLOOKUP($C335,REV!$C:$AA,11,0)-'TRADE IN'!$F335))</f>
        <v>2599</v>
      </c>
      <c r="N335" s="46">
        <f>IF(VLOOKUP($C335,REV!$C:$AA,12,0)-'TRADE IN'!$F335=0,"",(VLOOKUP($C335,REV!$C:$AA,12,0)-'TRADE IN'!$F335))</f>
        <v>1899</v>
      </c>
      <c r="O335" s="46">
        <f>IF(VLOOKUP($C335,REV!$C:$AA,13,0)-'TRADE IN'!$F335=0,"",(VLOOKUP($C335,REV!$C:$AA,13,0)-'TRADE IN'!$F335))</f>
        <v>1599</v>
      </c>
      <c r="P335" s="46">
        <f>IF(VLOOKUP($C335,REV!$C:$AA,14,0)-'TRADE IN'!$F335=0,"",(VLOOKUP($C335,REV!$C:$AA,14,0)-'TRADE IN'!$F335))</f>
        <v>1499</v>
      </c>
      <c r="Q335" s="46">
        <f>IF(VLOOKUP($C335,REV!$C:$AA,15,0)-'TRADE IN'!$F335=0,"",(VLOOKUP($C335,REV!$C:$AA,15,0)-'TRADE IN'!$F335))</f>
        <v>1499</v>
      </c>
      <c r="R335" s="46">
        <f>IF(VLOOKUP($C335,REV!$C:$AA,16,0)-'TRADE IN'!$F335=0,"",(VLOOKUP($C335,REV!$C:$AA,16,0)-'TRADE IN'!$F335))</f>
        <v>1799</v>
      </c>
      <c r="S335" s="46">
        <f>IF(VLOOKUP($C335,REV!$C:$AA,17,0)-'TRADE IN'!$F335=0,"",(VLOOKUP($C335,REV!$C:$AA,17,0)-'TRADE IN'!$F335))</f>
        <v>1499</v>
      </c>
      <c r="T335" s="46">
        <f>IF(VLOOKUP($C335,REV!$C:$AA,18,0)-'TRADE IN'!$F335=0,"",(VLOOKUP($C335,REV!$C:$AA,18,0)-'TRADE IN'!$F335))</f>
        <v>1499</v>
      </c>
      <c r="U335" s="46">
        <f>IF(VLOOKUP($C335,REV!$C:$AA,19,0)-'TRADE IN'!$F335=0,"",(VLOOKUP($C335,REV!$C:$AA,19,0)-'TRADE IN'!$F335))</f>
        <v>1499</v>
      </c>
      <c r="V335" s="46">
        <f>IF(VLOOKUP($C335,REV!$C:$AA,20,0)-'TRADE IN'!$F335=0,"",(VLOOKUP($C335,REV!$C:$AA,20,0)-'TRADE IN'!$F335))</f>
        <v>1499</v>
      </c>
      <c r="W335" s="46">
        <f>IF(VLOOKUP($C335,REV!$C:$AA,21,0)-'TRADE IN'!$F335=0,"",(VLOOKUP($C335,REV!$C:$AA,21,0)-'TRADE IN'!$F335))</f>
        <v>1499</v>
      </c>
      <c r="X335" s="46">
        <f>IF(VLOOKUP($C335,REV!$C:$AA,22,0)-'TRADE IN'!$F335=0,"",(VLOOKUP($C335,REV!$C:$AA,22,0)-'TRADE IN'!$F335))</f>
        <v>1399</v>
      </c>
      <c r="Y335" s="46">
        <f>IF(VLOOKUP($C335,REV!$C:$AA,23,0)-'TRADE IN'!$F335=0,"",(VLOOKUP($C335,REV!$C:$AA,23,0)-'TRADE IN'!$F335))</f>
        <v>1399</v>
      </c>
      <c r="Z335" s="46">
        <f>IF(VLOOKUP($C335,REV!$C:$AA,24,0)-'TRADE IN'!$F335=0,"",(VLOOKUP($C335,REV!$C:$AA,24,0)-'TRADE IN'!$F335))</f>
        <v>1399</v>
      </c>
      <c r="AA335" s="46">
        <f>IF(VLOOKUP($C335,REV!$C:$AA,25,0)-'TRADE IN'!$F335=0,"",(VLOOKUP($C335,REV!$C:$AA,25,0)-'TRADE IN'!$F335))</f>
        <v>1399</v>
      </c>
      <c r="AB335" s="45">
        <f>IF(VLOOKUP($C335,REV!$C:$AL,27,0)-'TRADE IN'!$F335=0,"",(VLOOKUP($C335,REV!$C:$AL,27,0)-'TRADE IN'!$F335))</f>
        <v>1899</v>
      </c>
      <c r="AC335" s="45">
        <f>IF(VLOOKUP($C335,REV!$C:$AL,28,0)-'TRADE IN'!$F335=0,"",(VLOOKUP($C335,REV!$C:$AL,28,0)-'TRADE IN'!$F335))</f>
        <v>1899</v>
      </c>
      <c r="AD335" s="45">
        <f>IF(VLOOKUP($C335,REV!$C:$AL,29,0)-'TRADE IN'!$F335=0,"",(VLOOKUP($C335,REV!$C:$AL,29,0)-'TRADE IN'!$F335))</f>
        <v>1799</v>
      </c>
      <c r="AE335" s="45">
        <f>IF(VLOOKUP($C335,REV!$C:$AL,30,0)-'TRADE IN'!$F335=0,"",(VLOOKUP($C335,REV!$C:$AL,30,0)-'TRADE IN'!$F335))</f>
        <v>1499</v>
      </c>
      <c r="AF335" s="45">
        <f>IF(VLOOKUP($C335,REV!$C:$AL,31,0)-'TRADE IN'!$F335=0,"",(VLOOKUP($C335,REV!$C:$AL,31,0)-'TRADE IN'!$F335))</f>
        <v>1499</v>
      </c>
      <c r="AG335" s="45">
        <f>IF(VLOOKUP($C335,REV!$C:$AL,31,0)-'TRADE IN'!$F335=0,"",(VLOOKUP($C335,REV!$C:$AL,31,0)-'TRADE IN'!$F335))</f>
        <v>1499</v>
      </c>
      <c r="AH335" s="45">
        <f>IF(VLOOKUP($C335,REV!$C:$AL,32,0)-'TRADE IN'!$F335=0,"",(VLOOKUP($C335,REV!$C:$AL,32,0)-'TRADE IN'!$F335))</f>
        <v>1499</v>
      </c>
      <c r="AI335" s="45">
        <f>IF(VLOOKUP($C335,REV!$C:$AL,33,0)-'TRADE IN'!$F335=0,"",(VLOOKUP($C335,REV!$C:$AL,33,0)-'TRADE IN'!$F335))</f>
        <v>1499</v>
      </c>
      <c r="AJ335" s="45">
        <f>IF(VLOOKUP($C335,REV!$C:$AL,34,0)-'TRADE IN'!$F335=0,"",(VLOOKUP($C335,REV!$C:$AL,34,0)-'TRADE IN'!$F335))</f>
        <v>1499</v>
      </c>
      <c r="AK335" s="45">
        <f>IF(VLOOKUP($C335,REV!$C:$AL,35,0)-'TRADE IN'!$F335=0,"",(VLOOKUP($C335,REV!$C:$AL,35,0)-'TRADE IN'!$F335))</f>
        <v>1499</v>
      </c>
      <c r="AL335" s="45">
        <f>IF(VLOOKUP($C335,REV!$C:$AL,36,0)-'TRADE IN'!$F335=0,"",(VLOOKUP($C335,REV!$C:$AL,36,0)-'TRADE IN'!$F335))</f>
        <v>1399</v>
      </c>
      <c r="AM335" s="45"/>
      <c r="AN335" s="45"/>
      <c r="AO335" s="45"/>
      <c r="AP335" s="45"/>
      <c r="AQ335" s="45"/>
      <c r="AR335" s="45"/>
      <c r="AS335" s="45"/>
      <c r="AT335" s="45"/>
      <c r="AU335" s="45"/>
      <c r="AV335" s="47"/>
      <c r="AW335" s="48" t="str">
        <f>REV!AW335</f>
        <v>01.12.2026</v>
      </c>
      <c r="AX335" s="153" t="str">
        <f>VLOOKUP(C335,REV!C:AX,48,0)</f>
        <v>5G</v>
      </c>
    </row>
    <row r="336" spans="1:50" ht="22.5" customHeight="1">
      <c r="A336" s="57" t="s">
        <v>247</v>
      </c>
      <c r="B336" s="42" t="s">
        <v>64</v>
      </c>
      <c r="C336" s="43">
        <v>4016993</v>
      </c>
      <c r="D336" s="58" t="s">
        <v>508</v>
      </c>
      <c r="E336" s="58" t="s">
        <v>513</v>
      </c>
      <c r="F336" s="45"/>
      <c r="G336" s="45"/>
      <c r="H336" s="45"/>
      <c r="I336" s="45"/>
      <c r="J336" s="46">
        <f>IF(VLOOKUP($C336,REV!$C:$AA,8,0)-'TRADE IN'!$F336=0,"",(VLOOKUP($C336,REV!$C:$AA,8,0)-'TRADE IN'!$F336))</f>
        <v>2599</v>
      </c>
      <c r="K336" s="46">
        <f>IF(VLOOKUP($C336,REV!$C:$AA,9,0)-'TRADE IN'!$F336=0,"",(VLOOKUP($C336,REV!$C:$AA,9,0)-'TRADE IN'!$F336))</f>
        <v>1899</v>
      </c>
      <c r="L336" s="46">
        <f>IF(VLOOKUP($C336,REV!$C:$AA,10,0)-'TRADE IN'!$F336=0,"",(VLOOKUP($C336,REV!$C:$AA,10,0)-'TRADE IN'!$F336))</f>
        <v>1899</v>
      </c>
      <c r="M336" s="46">
        <f>IF(VLOOKUP($C336,REV!$C:$AA,11,0)-'TRADE IN'!$F336=0,"",(VLOOKUP($C336,REV!$C:$AA,11,0)-'TRADE IN'!$F336))</f>
        <v>2599</v>
      </c>
      <c r="N336" s="46">
        <f>IF(VLOOKUP($C336,REV!$C:$AA,12,0)-'TRADE IN'!$F336=0,"",(VLOOKUP($C336,REV!$C:$AA,12,0)-'TRADE IN'!$F336))</f>
        <v>1899</v>
      </c>
      <c r="O336" s="46">
        <f>IF(VLOOKUP($C336,REV!$C:$AA,13,0)-'TRADE IN'!$F336=0,"",(VLOOKUP($C336,REV!$C:$AA,13,0)-'TRADE IN'!$F336))</f>
        <v>1599</v>
      </c>
      <c r="P336" s="46">
        <f>IF(VLOOKUP($C336,REV!$C:$AA,14,0)-'TRADE IN'!$F336=0,"",(VLOOKUP($C336,REV!$C:$AA,14,0)-'TRADE IN'!$F336))</f>
        <v>1499</v>
      </c>
      <c r="Q336" s="46">
        <f>IF(VLOOKUP($C336,REV!$C:$AA,15,0)-'TRADE IN'!$F336=0,"",(VLOOKUP($C336,REV!$C:$AA,15,0)-'TRADE IN'!$F336))</f>
        <v>1499</v>
      </c>
      <c r="R336" s="46">
        <f>IF(VLOOKUP($C336,REV!$C:$AA,16,0)-'TRADE IN'!$F336=0,"",(VLOOKUP($C336,REV!$C:$AA,16,0)-'TRADE IN'!$F336))</f>
        <v>1799</v>
      </c>
      <c r="S336" s="46">
        <f>IF(VLOOKUP($C336,REV!$C:$AA,17,0)-'TRADE IN'!$F336=0,"",(VLOOKUP($C336,REV!$C:$AA,17,0)-'TRADE IN'!$F336))</f>
        <v>1499</v>
      </c>
      <c r="T336" s="46">
        <f>IF(VLOOKUP($C336,REV!$C:$AA,18,0)-'TRADE IN'!$F336=0,"",(VLOOKUP($C336,REV!$C:$AA,18,0)-'TRADE IN'!$F336))</f>
        <v>1499</v>
      </c>
      <c r="U336" s="46">
        <f>IF(VLOOKUP($C336,REV!$C:$AA,19,0)-'TRADE IN'!$F336=0,"",(VLOOKUP($C336,REV!$C:$AA,19,0)-'TRADE IN'!$F336))</f>
        <v>1499</v>
      </c>
      <c r="V336" s="46">
        <f>IF(VLOOKUP($C336,REV!$C:$AA,20,0)-'TRADE IN'!$F336=0,"",(VLOOKUP($C336,REV!$C:$AA,20,0)-'TRADE IN'!$F336))</f>
        <v>1499</v>
      </c>
      <c r="W336" s="46">
        <f>IF(VLOOKUP($C336,REV!$C:$AA,21,0)-'TRADE IN'!$F336=0,"",(VLOOKUP($C336,REV!$C:$AA,21,0)-'TRADE IN'!$F336))</f>
        <v>1499</v>
      </c>
      <c r="X336" s="46">
        <f>IF(VLOOKUP($C336,REV!$C:$AA,22,0)-'TRADE IN'!$F336=0,"",(VLOOKUP($C336,REV!$C:$AA,22,0)-'TRADE IN'!$F336))</f>
        <v>1399</v>
      </c>
      <c r="Y336" s="46">
        <f>IF(VLOOKUP($C336,REV!$C:$AA,23,0)-'TRADE IN'!$F336=0,"",(VLOOKUP($C336,REV!$C:$AA,23,0)-'TRADE IN'!$F336))</f>
        <v>1399</v>
      </c>
      <c r="Z336" s="46">
        <f>IF(VLOOKUP($C336,REV!$C:$AA,24,0)-'TRADE IN'!$F336=0,"",(VLOOKUP($C336,REV!$C:$AA,24,0)-'TRADE IN'!$F336))</f>
        <v>1399</v>
      </c>
      <c r="AA336" s="46">
        <f>IF(VLOOKUP($C336,REV!$C:$AA,25,0)-'TRADE IN'!$F336=0,"",(VLOOKUP($C336,REV!$C:$AA,25,0)-'TRADE IN'!$F336))</f>
        <v>1399</v>
      </c>
      <c r="AB336" s="45">
        <f>IF(VLOOKUP($C336,REV!$C:$AL,27,0)-'TRADE IN'!$F336=0,"",(VLOOKUP($C336,REV!$C:$AL,27,0)-'TRADE IN'!$F336))</f>
        <v>1899</v>
      </c>
      <c r="AC336" s="45">
        <f>IF(VLOOKUP($C336,REV!$C:$AL,28,0)-'TRADE IN'!$F336=0,"",(VLOOKUP($C336,REV!$C:$AL,28,0)-'TRADE IN'!$F336))</f>
        <v>1899</v>
      </c>
      <c r="AD336" s="45">
        <f>IF(VLOOKUP($C336,REV!$C:$AL,29,0)-'TRADE IN'!$F336=0,"",(VLOOKUP($C336,REV!$C:$AL,29,0)-'TRADE IN'!$F336))</f>
        <v>1799</v>
      </c>
      <c r="AE336" s="45">
        <f>IF(VLOOKUP($C336,REV!$C:$AL,30,0)-'TRADE IN'!$F336=0,"",(VLOOKUP($C336,REV!$C:$AL,30,0)-'TRADE IN'!$F336))</f>
        <v>1499</v>
      </c>
      <c r="AF336" s="45">
        <f>IF(VLOOKUP($C336,REV!$C:$AL,31,0)-'TRADE IN'!$F336=0,"",(VLOOKUP($C336,REV!$C:$AL,31,0)-'TRADE IN'!$F336))</f>
        <v>1499</v>
      </c>
      <c r="AG336" s="45">
        <f>IF(VLOOKUP($C336,REV!$C:$AL,31,0)-'TRADE IN'!$F336=0,"",(VLOOKUP($C336,REV!$C:$AL,31,0)-'TRADE IN'!$F336))</f>
        <v>1499</v>
      </c>
      <c r="AH336" s="45">
        <f>IF(VLOOKUP($C336,REV!$C:$AL,32,0)-'TRADE IN'!$F336=0,"",(VLOOKUP($C336,REV!$C:$AL,32,0)-'TRADE IN'!$F336))</f>
        <v>1499</v>
      </c>
      <c r="AI336" s="45">
        <f>IF(VLOOKUP($C336,REV!$C:$AL,33,0)-'TRADE IN'!$F336=0,"",(VLOOKUP($C336,REV!$C:$AL,33,0)-'TRADE IN'!$F336))</f>
        <v>1499</v>
      </c>
      <c r="AJ336" s="45">
        <f>IF(VLOOKUP($C336,REV!$C:$AL,34,0)-'TRADE IN'!$F336=0,"",(VLOOKUP($C336,REV!$C:$AL,34,0)-'TRADE IN'!$F336))</f>
        <v>1499</v>
      </c>
      <c r="AK336" s="45">
        <f>IF(VLOOKUP($C336,REV!$C:$AL,35,0)-'TRADE IN'!$F336=0,"",(VLOOKUP($C336,REV!$C:$AL,35,0)-'TRADE IN'!$F336))</f>
        <v>1499</v>
      </c>
      <c r="AL336" s="45">
        <f>IF(VLOOKUP($C336,REV!$C:$AL,36,0)-'TRADE IN'!$F336=0,"",(VLOOKUP($C336,REV!$C:$AL,36,0)-'TRADE IN'!$F336))</f>
        <v>1399</v>
      </c>
      <c r="AM336" s="45"/>
      <c r="AN336" s="45"/>
      <c r="AO336" s="45"/>
      <c r="AP336" s="45"/>
      <c r="AQ336" s="45"/>
      <c r="AR336" s="45"/>
      <c r="AS336" s="45"/>
      <c r="AT336" s="45"/>
      <c r="AU336" s="45"/>
      <c r="AV336" s="47"/>
      <c r="AW336" s="48" t="str">
        <f>REV!AW336</f>
        <v>01.12.2026</v>
      </c>
      <c r="AX336" s="153" t="str">
        <f>VLOOKUP(C336,REV!C:AX,48,0)</f>
        <v>5G</v>
      </c>
    </row>
    <row r="337" spans="1:50" ht="22.5" customHeight="1">
      <c r="A337" s="57" t="s">
        <v>247</v>
      </c>
      <c r="B337" s="42" t="s">
        <v>64</v>
      </c>
      <c r="C337" s="43">
        <v>4017855</v>
      </c>
      <c r="D337" s="58" t="s">
        <v>515</v>
      </c>
      <c r="E337" s="58" t="s">
        <v>516</v>
      </c>
      <c r="F337" s="45">
        <v>300</v>
      </c>
      <c r="G337" s="45"/>
      <c r="H337" s="45"/>
      <c r="I337" s="45"/>
      <c r="J337" s="46">
        <f>IF(VLOOKUP($C337,REV!$C:$AA,8,0)-'TRADE IN'!$F337=0,"",(VLOOKUP($C337,REV!$C:$AA,8,0)-'TRADE IN'!$F337))</f>
        <v>2399</v>
      </c>
      <c r="K337" s="46">
        <f>IF(VLOOKUP($C337,REV!$C:$AA,9,0)-'TRADE IN'!$F337=0,"",(VLOOKUP($C337,REV!$C:$AA,9,0)-'TRADE IN'!$F337))</f>
        <v>2399</v>
      </c>
      <c r="L337" s="46">
        <f>IF(VLOOKUP($C337,REV!$C:$AA,10,0)-'TRADE IN'!$F337=0,"",(VLOOKUP($C337,REV!$C:$AA,10,0)-'TRADE IN'!$F337))</f>
        <v>2399</v>
      </c>
      <c r="M337" s="46">
        <f>IF(VLOOKUP($C337,REV!$C:$AA,11,0)-'TRADE IN'!$F337=0,"",(VLOOKUP($C337,REV!$C:$AA,11,0)-'TRADE IN'!$F337))</f>
        <v>2399</v>
      </c>
      <c r="N337" s="46">
        <f>IF(VLOOKUP($C337,REV!$C:$AA,12,0)-'TRADE IN'!$F337=0,"",(VLOOKUP($C337,REV!$C:$AA,12,0)-'TRADE IN'!$F337))</f>
        <v>2399</v>
      </c>
      <c r="O337" s="46">
        <f>IF(VLOOKUP($C337,REV!$C:$AA,13,0)-'TRADE IN'!$F337=0,"",(VLOOKUP($C337,REV!$C:$AA,13,0)-'TRADE IN'!$F337))</f>
        <v>2349</v>
      </c>
      <c r="P337" s="46">
        <f>IF(VLOOKUP($C337,REV!$C:$AA,14,0)-'TRADE IN'!$F337=0,"",(VLOOKUP($C337,REV!$C:$AA,14,0)-'TRADE IN'!$F337))</f>
        <v>2299</v>
      </c>
      <c r="Q337" s="46">
        <f>IF(VLOOKUP($C337,REV!$C:$AA,15,0)-'TRADE IN'!$F337=0,"",(VLOOKUP($C337,REV!$C:$AA,15,0)-'TRADE IN'!$F337))</f>
        <v>1499</v>
      </c>
      <c r="R337" s="46">
        <f>IF(VLOOKUP($C337,REV!$C:$AA,16,0)-'TRADE IN'!$F337=0,"",(VLOOKUP($C337,REV!$C:$AA,16,0)-'TRADE IN'!$F337))</f>
        <v>2349</v>
      </c>
      <c r="S337" s="46">
        <f>IF(VLOOKUP($C337,REV!$C:$AA,17,0)-'TRADE IN'!$F337=0,"",(VLOOKUP($C337,REV!$C:$AA,17,0)-'TRADE IN'!$F337))</f>
        <v>2299</v>
      </c>
      <c r="T337" s="46">
        <f>IF(VLOOKUP($C337,REV!$C:$AA,18,0)-'TRADE IN'!$F337=0,"",(VLOOKUP($C337,REV!$C:$AA,18,0)-'TRADE IN'!$F337))</f>
        <v>1499</v>
      </c>
      <c r="U337" s="46">
        <f>IF(VLOOKUP($C337,REV!$C:$AA,19,0)-'TRADE IN'!$F337=0,"",(VLOOKUP($C337,REV!$C:$AA,19,0)-'TRADE IN'!$F337))</f>
        <v>1499</v>
      </c>
      <c r="V337" s="46">
        <f>IF(VLOOKUP($C337,REV!$C:$AA,20,0)-'TRADE IN'!$F337=0,"",(VLOOKUP($C337,REV!$C:$AA,20,0)-'TRADE IN'!$F337))</f>
        <v>1499</v>
      </c>
      <c r="W337" s="46">
        <f>IF(VLOOKUP($C337,REV!$C:$AA,21,0)-'TRADE IN'!$F337=0,"",(VLOOKUP($C337,REV!$C:$AA,21,0)-'TRADE IN'!$F337))</f>
        <v>1499</v>
      </c>
      <c r="X337" s="46">
        <f>IF(VLOOKUP($C337,REV!$C:$AA,22,0)-'TRADE IN'!$F337=0,"",(VLOOKUP($C337,REV!$C:$AA,22,0)-'TRADE IN'!$F337))</f>
        <v>1499</v>
      </c>
      <c r="Y337" s="46">
        <f>IF(VLOOKUP($C337,REV!$C:$AA,23,0)-'TRADE IN'!$F337=0,"",(VLOOKUP($C337,REV!$C:$AA,23,0)-'TRADE IN'!$F337))</f>
        <v>1499</v>
      </c>
      <c r="Z337" s="46">
        <f>IF(VLOOKUP($C337,REV!$C:$AA,24,0)-'TRADE IN'!$F337=0,"",(VLOOKUP($C337,REV!$C:$AA,24,0)-'TRADE IN'!$F337))</f>
        <v>1499</v>
      </c>
      <c r="AA337" s="46">
        <f>IF(VLOOKUP($C337,REV!$C:$AA,25,0)-'TRADE IN'!$F337=0,"",(VLOOKUP($C337,REV!$C:$AA,25,0)-'TRADE IN'!$F337))</f>
        <v>1499</v>
      </c>
      <c r="AB337" s="45">
        <f>IF(VLOOKUP($C337,REV!$C:$AL,27,0)-'TRADE IN'!$F337=0,"",(VLOOKUP($C337,REV!$C:$AL,27,0)-'TRADE IN'!$F337))</f>
        <v>2399</v>
      </c>
      <c r="AC337" s="45">
        <f>IF(VLOOKUP($C337,REV!$C:$AL,28,0)-'TRADE IN'!$F337=0,"",(VLOOKUP($C337,REV!$C:$AL,28,0)-'TRADE IN'!$F337))</f>
        <v>2399</v>
      </c>
      <c r="AD337" s="45">
        <f>IF(VLOOKUP($C337,REV!$C:$AL,29,0)-'TRADE IN'!$F337=0,"",(VLOOKUP($C337,REV!$C:$AL,29,0)-'TRADE IN'!$F337))</f>
        <v>2399</v>
      </c>
      <c r="AE337" s="45">
        <f>IF(VLOOKUP($C337,REV!$C:$AL,30,0)-'TRADE IN'!$F337=0,"",(VLOOKUP($C337,REV!$C:$AL,30,0)-'TRADE IN'!$F337))</f>
        <v>2349</v>
      </c>
      <c r="AF337" s="45">
        <f>IF(VLOOKUP($C337,REV!$C:$AL,31,0)-'TRADE IN'!$F337=0,"",(VLOOKUP($C337,REV!$C:$AL,31,0)-'TRADE IN'!$F337))</f>
        <v>2299</v>
      </c>
      <c r="AG337" s="45">
        <f>IF(VLOOKUP($C337,REV!$C:$AL,31,0)-'TRADE IN'!$F337=0,"",(VLOOKUP($C337,REV!$C:$AL,31,0)-'TRADE IN'!$F337))</f>
        <v>2299</v>
      </c>
      <c r="AH337" s="45">
        <f>IF(VLOOKUP($C337,REV!$C:$AL,32,0)-'TRADE IN'!$F337=0,"",(VLOOKUP($C337,REV!$C:$AL,32,0)-'TRADE IN'!$F337))</f>
        <v>1499</v>
      </c>
      <c r="AI337" s="45">
        <f>IF(VLOOKUP($C337,REV!$C:$AL,33,0)-'TRADE IN'!$F337=0,"",(VLOOKUP($C337,REV!$C:$AL,33,0)-'TRADE IN'!$F337))</f>
        <v>1499</v>
      </c>
      <c r="AJ337" s="45">
        <f>IF(VLOOKUP($C337,REV!$C:$AL,34,0)-'TRADE IN'!$F337=0,"",(VLOOKUP($C337,REV!$C:$AL,34,0)-'TRADE IN'!$F337))</f>
        <v>1499</v>
      </c>
      <c r="AK337" s="45">
        <f>IF(VLOOKUP($C337,REV!$C:$AL,35,0)-'TRADE IN'!$F337=0,"",(VLOOKUP($C337,REV!$C:$AL,35,0)-'TRADE IN'!$F337))</f>
        <v>1499</v>
      </c>
      <c r="AL337" s="45">
        <f>IF(VLOOKUP($C337,REV!$C:$AL,36,0)-'TRADE IN'!$F337=0,"",(VLOOKUP($C337,REV!$C:$AL,36,0)-'TRADE IN'!$F337))</f>
        <v>1499</v>
      </c>
      <c r="AM337" s="45"/>
      <c r="AN337" s="45"/>
      <c r="AO337" s="45"/>
      <c r="AP337" s="45"/>
      <c r="AQ337" s="45"/>
      <c r="AR337" s="45"/>
      <c r="AS337" s="45"/>
      <c r="AT337" s="45"/>
      <c r="AU337" s="45"/>
      <c r="AV337" s="47"/>
      <c r="AW337" s="48" t="str">
        <f>REV!AW337</f>
        <v>01.12.2026</v>
      </c>
      <c r="AX337" s="153" t="str">
        <f>VLOOKUP(C337,REV!C:AX,48,0)</f>
        <v>5G</v>
      </c>
    </row>
    <row r="338" spans="1:50" ht="22.5" customHeight="1">
      <c r="A338" s="57" t="s">
        <v>247</v>
      </c>
      <c r="B338" s="42" t="s">
        <v>64</v>
      </c>
      <c r="C338" s="43">
        <v>4017872</v>
      </c>
      <c r="D338" s="58" t="s">
        <v>515</v>
      </c>
      <c r="E338" s="58" t="s">
        <v>517</v>
      </c>
      <c r="F338" s="45">
        <v>300</v>
      </c>
      <c r="G338" s="45"/>
      <c r="H338" s="45"/>
      <c r="I338" s="45"/>
      <c r="J338" s="46">
        <f>IF(VLOOKUP($C338,REV!$C:$AA,8,0)-'TRADE IN'!$F338=0,"",(VLOOKUP($C338,REV!$C:$AA,8,0)-'TRADE IN'!$F338))</f>
        <v>2399</v>
      </c>
      <c r="K338" s="46">
        <f>IF(VLOOKUP($C338,REV!$C:$AA,9,0)-'TRADE IN'!$F338=0,"",(VLOOKUP($C338,REV!$C:$AA,9,0)-'TRADE IN'!$F338))</f>
        <v>2399</v>
      </c>
      <c r="L338" s="46">
        <f>IF(VLOOKUP($C338,REV!$C:$AA,10,0)-'TRADE IN'!$F338=0,"",(VLOOKUP($C338,REV!$C:$AA,10,0)-'TRADE IN'!$F338))</f>
        <v>2399</v>
      </c>
      <c r="M338" s="46">
        <f>IF(VLOOKUP($C338,REV!$C:$AA,11,0)-'TRADE IN'!$F338=0,"",(VLOOKUP($C338,REV!$C:$AA,11,0)-'TRADE IN'!$F338))</f>
        <v>2399</v>
      </c>
      <c r="N338" s="46">
        <f>IF(VLOOKUP($C338,REV!$C:$AA,12,0)-'TRADE IN'!$F338=0,"",(VLOOKUP($C338,REV!$C:$AA,12,0)-'TRADE IN'!$F338))</f>
        <v>2399</v>
      </c>
      <c r="O338" s="46">
        <f>IF(VLOOKUP($C338,REV!$C:$AA,13,0)-'TRADE IN'!$F338=0,"",(VLOOKUP($C338,REV!$C:$AA,13,0)-'TRADE IN'!$F338))</f>
        <v>2349</v>
      </c>
      <c r="P338" s="46">
        <f>IF(VLOOKUP($C338,REV!$C:$AA,14,0)-'TRADE IN'!$F338=0,"",(VLOOKUP($C338,REV!$C:$AA,14,0)-'TRADE IN'!$F338))</f>
        <v>2299</v>
      </c>
      <c r="Q338" s="46">
        <f>IF(VLOOKUP($C338,REV!$C:$AA,15,0)-'TRADE IN'!$F338=0,"",(VLOOKUP($C338,REV!$C:$AA,15,0)-'TRADE IN'!$F338))</f>
        <v>1499</v>
      </c>
      <c r="R338" s="46">
        <f>IF(VLOOKUP($C338,REV!$C:$AA,16,0)-'TRADE IN'!$F338=0,"",(VLOOKUP($C338,REV!$C:$AA,16,0)-'TRADE IN'!$F338))</f>
        <v>2349</v>
      </c>
      <c r="S338" s="46">
        <f>IF(VLOOKUP($C338,REV!$C:$AA,17,0)-'TRADE IN'!$F338=0,"",(VLOOKUP($C338,REV!$C:$AA,17,0)-'TRADE IN'!$F338))</f>
        <v>2299</v>
      </c>
      <c r="T338" s="46">
        <f>IF(VLOOKUP($C338,REV!$C:$AA,18,0)-'TRADE IN'!$F338=0,"",(VLOOKUP($C338,REV!$C:$AA,18,0)-'TRADE IN'!$F338))</f>
        <v>1499</v>
      </c>
      <c r="U338" s="46">
        <f>IF(VLOOKUP($C338,REV!$C:$AA,19,0)-'TRADE IN'!$F338=0,"",(VLOOKUP($C338,REV!$C:$AA,19,0)-'TRADE IN'!$F338))</f>
        <v>1499</v>
      </c>
      <c r="V338" s="46">
        <f>IF(VLOOKUP($C338,REV!$C:$AA,20,0)-'TRADE IN'!$F338=0,"",(VLOOKUP($C338,REV!$C:$AA,20,0)-'TRADE IN'!$F338))</f>
        <v>1499</v>
      </c>
      <c r="W338" s="46">
        <f>IF(VLOOKUP($C338,REV!$C:$AA,21,0)-'TRADE IN'!$F338=0,"",(VLOOKUP($C338,REV!$C:$AA,21,0)-'TRADE IN'!$F338))</f>
        <v>1499</v>
      </c>
      <c r="X338" s="46">
        <f>IF(VLOOKUP($C338,REV!$C:$AA,22,0)-'TRADE IN'!$F338=0,"",(VLOOKUP($C338,REV!$C:$AA,22,0)-'TRADE IN'!$F338))</f>
        <v>1499</v>
      </c>
      <c r="Y338" s="46">
        <f>IF(VLOOKUP($C338,REV!$C:$AA,23,0)-'TRADE IN'!$F338=0,"",(VLOOKUP($C338,REV!$C:$AA,23,0)-'TRADE IN'!$F338))</f>
        <v>1499</v>
      </c>
      <c r="Z338" s="46">
        <f>IF(VLOOKUP($C338,REV!$C:$AA,24,0)-'TRADE IN'!$F338=0,"",(VLOOKUP($C338,REV!$C:$AA,24,0)-'TRADE IN'!$F338))</f>
        <v>1499</v>
      </c>
      <c r="AA338" s="46">
        <f>IF(VLOOKUP($C338,REV!$C:$AA,25,0)-'TRADE IN'!$F338=0,"",(VLOOKUP($C338,REV!$C:$AA,25,0)-'TRADE IN'!$F338))</f>
        <v>1499</v>
      </c>
      <c r="AB338" s="45">
        <f>IF(VLOOKUP($C338,REV!$C:$AL,27,0)-'TRADE IN'!$F338=0,"",(VLOOKUP($C338,REV!$C:$AL,27,0)-'TRADE IN'!$F338))</f>
        <v>2399</v>
      </c>
      <c r="AC338" s="45">
        <f>IF(VLOOKUP($C338,REV!$C:$AL,28,0)-'TRADE IN'!$F338=0,"",(VLOOKUP($C338,REV!$C:$AL,28,0)-'TRADE IN'!$F338))</f>
        <v>2399</v>
      </c>
      <c r="AD338" s="45">
        <f>IF(VLOOKUP($C338,REV!$C:$AL,29,0)-'TRADE IN'!$F338=0,"",(VLOOKUP($C338,REV!$C:$AL,29,0)-'TRADE IN'!$F338))</f>
        <v>2399</v>
      </c>
      <c r="AE338" s="45">
        <f>IF(VLOOKUP($C338,REV!$C:$AL,30,0)-'TRADE IN'!$F338=0,"",(VLOOKUP($C338,REV!$C:$AL,30,0)-'TRADE IN'!$F338))</f>
        <v>2349</v>
      </c>
      <c r="AF338" s="45">
        <f>IF(VLOOKUP($C338,REV!$C:$AL,31,0)-'TRADE IN'!$F338=0,"",(VLOOKUP($C338,REV!$C:$AL,31,0)-'TRADE IN'!$F338))</f>
        <v>2299</v>
      </c>
      <c r="AG338" s="45">
        <f>IF(VLOOKUP($C338,REV!$C:$AL,31,0)-'TRADE IN'!$F338=0,"",(VLOOKUP($C338,REV!$C:$AL,31,0)-'TRADE IN'!$F338))</f>
        <v>2299</v>
      </c>
      <c r="AH338" s="45">
        <f>IF(VLOOKUP($C338,REV!$C:$AL,32,0)-'TRADE IN'!$F338=0,"",(VLOOKUP($C338,REV!$C:$AL,32,0)-'TRADE IN'!$F338))</f>
        <v>1499</v>
      </c>
      <c r="AI338" s="45">
        <f>IF(VLOOKUP($C338,REV!$C:$AL,33,0)-'TRADE IN'!$F338=0,"",(VLOOKUP($C338,REV!$C:$AL,33,0)-'TRADE IN'!$F338))</f>
        <v>1499</v>
      </c>
      <c r="AJ338" s="45">
        <f>IF(VLOOKUP($C338,REV!$C:$AL,34,0)-'TRADE IN'!$F338=0,"",(VLOOKUP($C338,REV!$C:$AL,34,0)-'TRADE IN'!$F338))</f>
        <v>1499</v>
      </c>
      <c r="AK338" s="45">
        <f>IF(VLOOKUP($C338,REV!$C:$AL,35,0)-'TRADE IN'!$F338=0,"",(VLOOKUP($C338,REV!$C:$AL,35,0)-'TRADE IN'!$F338))</f>
        <v>1499</v>
      </c>
      <c r="AL338" s="45">
        <f>IF(VLOOKUP($C338,REV!$C:$AL,36,0)-'TRADE IN'!$F338=0,"",(VLOOKUP($C338,REV!$C:$AL,36,0)-'TRADE IN'!$F338))</f>
        <v>1499</v>
      </c>
      <c r="AM338" s="45"/>
      <c r="AN338" s="45"/>
      <c r="AO338" s="45"/>
      <c r="AP338" s="45"/>
      <c r="AQ338" s="45"/>
      <c r="AR338" s="45"/>
      <c r="AS338" s="45"/>
      <c r="AT338" s="45"/>
      <c r="AU338" s="45"/>
      <c r="AV338" s="47"/>
      <c r="AW338" s="48" t="str">
        <f>REV!AW338</f>
        <v>01.12.2026</v>
      </c>
      <c r="AX338" s="153" t="str">
        <f>VLOOKUP(C338,REV!C:AX,48,0)</f>
        <v>5G</v>
      </c>
    </row>
    <row r="339" spans="1:50" ht="22.5" customHeight="1">
      <c r="A339" s="57" t="s">
        <v>247</v>
      </c>
      <c r="B339" s="42" t="s">
        <v>64</v>
      </c>
      <c r="C339" s="43">
        <v>4017860</v>
      </c>
      <c r="D339" s="58" t="s">
        <v>515</v>
      </c>
      <c r="E339" s="58" t="s">
        <v>518</v>
      </c>
      <c r="F339" s="45">
        <v>300</v>
      </c>
      <c r="G339" s="45"/>
      <c r="H339" s="45"/>
      <c r="I339" s="45"/>
      <c r="J339" s="46">
        <f>IF(VLOOKUP($C339,REV!$C:$AA,8,0)-'TRADE IN'!$F339=0,"",(VLOOKUP($C339,REV!$C:$AA,8,0)-'TRADE IN'!$F339))</f>
        <v>2399</v>
      </c>
      <c r="K339" s="46">
        <f>IF(VLOOKUP($C339,REV!$C:$AA,9,0)-'TRADE IN'!$F339=0,"",(VLOOKUP($C339,REV!$C:$AA,9,0)-'TRADE IN'!$F339))</f>
        <v>2399</v>
      </c>
      <c r="L339" s="46">
        <f>IF(VLOOKUP($C339,REV!$C:$AA,10,0)-'TRADE IN'!$F339=0,"",(VLOOKUP($C339,REV!$C:$AA,10,0)-'TRADE IN'!$F339))</f>
        <v>2399</v>
      </c>
      <c r="M339" s="46">
        <f>IF(VLOOKUP($C339,REV!$C:$AA,11,0)-'TRADE IN'!$F339=0,"",(VLOOKUP($C339,REV!$C:$AA,11,0)-'TRADE IN'!$F339))</f>
        <v>2399</v>
      </c>
      <c r="N339" s="46">
        <f>IF(VLOOKUP($C339,REV!$C:$AA,12,0)-'TRADE IN'!$F339=0,"",(VLOOKUP($C339,REV!$C:$AA,12,0)-'TRADE IN'!$F339))</f>
        <v>2399</v>
      </c>
      <c r="O339" s="46">
        <f>IF(VLOOKUP($C339,REV!$C:$AA,13,0)-'TRADE IN'!$F339=0,"",(VLOOKUP($C339,REV!$C:$AA,13,0)-'TRADE IN'!$F339))</f>
        <v>2349</v>
      </c>
      <c r="P339" s="46">
        <f>IF(VLOOKUP($C339,REV!$C:$AA,14,0)-'TRADE IN'!$F339=0,"",(VLOOKUP($C339,REV!$C:$AA,14,0)-'TRADE IN'!$F339))</f>
        <v>2299</v>
      </c>
      <c r="Q339" s="46">
        <f>IF(VLOOKUP($C339,REV!$C:$AA,15,0)-'TRADE IN'!$F339=0,"",(VLOOKUP($C339,REV!$C:$AA,15,0)-'TRADE IN'!$F339))</f>
        <v>1499</v>
      </c>
      <c r="R339" s="46">
        <f>IF(VLOOKUP($C339,REV!$C:$AA,16,0)-'TRADE IN'!$F339=0,"",(VLOOKUP($C339,REV!$C:$AA,16,0)-'TRADE IN'!$F339))</f>
        <v>2349</v>
      </c>
      <c r="S339" s="46">
        <f>IF(VLOOKUP($C339,REV!$C:$AA,17,0)-'TRADE IN'!$F339=0,"",(VLOOKUP($C339,REV!$C:$AA,17,0)-'TRADE IN'!$F339))</f>
        <v>2299</v>
      </c>
      <c r="T339" s="46">
        <f>IF(VLOOKUP($C339,REV!$C:$AA,18,0)-'TRADE IN'!$F339=0,"",(VLOOKUP($C339,REV!$C:$AA,18,0)-'TRADE IN'!$F339))</f>
        <v>1499</v>
      </c>
      <c r="U339" s="46">
        <f>IF(VLOOKUP($C339,REV!$C:$AA,19,0)-'TRADE IN'!$F339=0,"",(VLOOKUP($C339,REV!$C:$AA,19,0)-'TRADE IN'!$F339))</f>
        <v>1499</v>
      </c>
      <c r="V339" s="46">
        <f>IF(VLOOKUP($C339,REV!$C:$AA,20,0)-'TRADE IN'!$F339=0,"",(VLOOKUP($C339,REV!$C:$AA,20,0)-'TRADE IN'!$F339))</f>
        <v>1499</v>
      </c>
      <c r="W339" s="46">
        <f>IF(VLOOKUP($C339,REV!$C:$AA,21,0)-'TRADE IN'!$F339=0,"",(VLOOKUP($C339,REV!$C:$AA,21,0)-'TRADE IN'!$F339))</f>
        <v>1499</v>
      </c>
      <c r="X339" s="46">
        <f>IF(VLOOKUP($C339,REV!$C:$AA,22,0)-'TRADE IN'!$F339=0,"",(VLOOKUP($C339,REV!$C:$AA,22,0)-'TRADE IN'!$F339))</f>
        <v>1499</v>
      </c>
      <c r="Y339" s="46">
        <f>IF(VLOOKUP($C339,REV!$C:$AA,23,0)-'TRADE IN'!$F339=0,"",(VLOOKUP($C339,REV!$C:$AA,23,0)-'TRADE IN'!$F339))</f>
        <v>1499</v>
      </c>
      <c r="Z339" s="46">
        <f>IF(VLOOKUP($C339,REV!$C:$AA,24,0)-'TRADE IN'!$F339=0,"",(VLOOKUP($C339,REV!$C:$AA,24,0)-'TRADE IN'!$F339))</f>
        <v>1499</v>
      </c>
      <c r="AA339" s="46">
        <f>IF(VLOOKUP($C339,REV!$C:$AA,25,0)-'TRADE IN'!$F339=0,"",(VLOOKUP($C339,REV!$C:$AA,25,0)-'TRADE IN'!$F339))</f>
        <v>1499</v>
      </c>
      <c r="AB339" s="45">
        <f>IF(VLOOKUP($C339,REV!$C:$AL,27,0)-'TRADE IN'!$F339=0,"",(VLOOKUP($C339,REV!$C:$AL,27,0)-'TRADE IN'!$F339))</f>
        <v>2399</v>
      </c>
      <c r="AC339" s="45">
        <f>IF(VLOOKUP($C339,REV!$C:$AL,28,0)-'TRADE IN'!$F339=0,"",(VLOOKUP($C339,REV!$C:$AL,28,0)-'TRADE IN'!$F339))</f>
        <v>2399</v>
      </c>
      <c r="AD339" s="45">
        <f>IF(VLOOKUP($C339,REV!$C:$AL,29,0)-'TRADE IN'!$F339=0,"",(VLOOKUP($C339,REV!$C:$AL,29,0)-'TRADE IN'!$F339))</f>
        <v>2399</v>
      </c>
      <c r="AE339" s="45">
        <f>IF(VLOOKUP($C339,REV!$C:$AL,30,0)-'TRADE IN'!$F339=0,"",(VLOOKUP($C339,REV!$C:$AL,30,0)-'TRADE IN'!$F339))</f>
        <v>2349</v>
      </c>
      <c r="AF339" s="45">
        <f>IF(VLOOKUP($C339,REV!$C:$AL,31,0)-'TRADE IN'!$F339=0,"",(VLOOKUP($C339,REV!$C:$AL,31,0)-'TRADE IN'!$F339))</f>
        <v>2299</v>
      </c>
      <c r="AG339" s="45">
        <f>IF(VLOOKUP($C339,REV!$C:$AL,31,0)-'TRADE IN'!$F339=0,"",(VLOOKUP($C339,REV!$C:$AL,31,0)-'TRADE IN'!$F339))</f>
        <v>2299</v>
      </c>
      <c r="AH339" s="45">
        <f>IF(VLOOKUP($C339,REV!$C:$AL,32,0)-'TRADE IN'!$F339=0,"",(VLOOKUP($C339,REV!$C:$AL,32,0)-'TRADE IN'!$F339))</f>
        <v>1499</v>
      </c>
      <c r="AI339" s="45">
        <f>IF(VLOOKUP($C339,REV!$C:$AL,33,0)-'TRADE IN'!$F339=0,"",(VLOOKUP($C339,REV!$C:$AL,33,0)-'TRADE IN'!$F339))</f>
        <v>1499</v>
      </c>
      <c r="AJ339" s="45">
        <f>IF(VLOOKUP($C339,REV!$C:$AL,34,0)-'TRADE IN'!$F339=0,"",(VLOOKUP($C339,REV!$C:$AL,34,0)-'TRADE IN'!$F339))</f>
        <v>1499</v>
      </c>
      <c r="AK339" s="45">
        <f>IF(VLOOKUP($C339,REV!$C:$AL,35,0)-'TRADE IN'!$F339=0,"",(VLOOKUP($C339,REV!$C:$AL,35,0)-'TRADE IN'!$F339))</f>
        <v>1499</v>
      </c>
      <c r="AL339" s="45">
        <f>IF(VLOOKUP($C339,REV!$C:$AL,36,0)-'TRADE IN'!$F339=0,"",(VLOOKUP($C339,REV!$C:$AL,36,0)-'TRADE IN'!$F339))</f>
        <v>1499</v>
      </c>
      <c r="AM339" s="45"/>
      <c r="AN339" s="45"/>
      <c r="AO339" s="45"/>
      <c r="AP339" s="45"/>
      <c r="AQ339" s="45"/>
      <c r="AR339" s="45"/>
      <c r="AS339" s="45"/>
      <c r="AT339" s="45"/>
      <c r="AU339" s="45"/>
      <c r="AV339" s="47"/>
      <c r="AW339" s="48" t="str">
        <f>REV!AW339</f>
        <v>01.12.2026</v>
      </c>
      <c r="AX339" s="153" t="str">
        <f>VLOOKUP(C339,REV!C:AX,48,0)</f>
        <v>5G</v>
      </c>
    </row>
    <row r="340" spans="1:50" ht="22.5" customHeight="1">
      <c r="A340" s="57" t="s">
        <v>247</v>
      </c>
      <c r="B340" s="42" t="s">
        <v>64</v>
      </c>
      <c r="C340" s="43">
        <v>4017876</v>
      </c>
      <c r="D340" s="58" t="s">
        <v>515</v>
      </c>
      <c r="E340" s="58" t="s">
        <v>519</v>
      </c>
      <c r="F340" s="45">
        <v>300</v>
      </c>
      <c r="G340" s="45"/>
      <c r="H340" s="45"/>
      <c r="I340" s="45"/>
      <c r="J340" s="46">
        <f>IF(VLOOKUP($C340,REV!$C:$AA,8,0)-'TRADE IN'!$F340=0,"",(VLOOKUP($C340,REV!$C:$AA,8,0)-'TRADE IN'!$F340))</f>
        <v>2399</v>
      </c>
      <c r="K340" s="46">
        <f>IF(VLOOKUP($C340,REV!$C:$AA,9,0)-'TRADE IN'!$F340=0,"",(VLOOKUP($C340,REV!$C:$AA,9,0)-'TRADE IN'!$F340))</f>
        <v>2399</v>
      </c>
      <c r="L340" s="46">
        <f>IF(VLOOKUP($C340,REV!$C:$AA,10,0)-'TRADE IN'!$F340=0,"",(VLOOKUP($C340,REV!$C:$AA,10,0)-'TRADE IN'!$F340))</f>
        <v>2399</v>
      </c>
      <c r="M340" s="46">
        <f>IF(VLOOKUP($C340,REV!$C:$AA,11,0)-'TRADE IN'!$F340=0,"",(VLOOKUP($C340,REV!$C:$AA,11,0)-'TRADE IN'!$F340))</f>
        <v>2399</v>
      </c>
      <c r="N340" s="46">
        <f>IF(VLOOKUP($C340,REV!$C:$AA,12,0)-'TRADE IN'!$F340=0,"",(VLOOKUP($C340,REV!$C:$AA,12,0)-'TRADE IN'!$F340))</f>
        <v>2399</v>
      </c>
      <c r="O340" s="46">
        <f>IF(VLOOKUP($C340,REV!$C:$AA,13,0)-'TRADE IN'!$F340=0,"",(VLOOKUP($C340,REV!$C:$AA,13,0)-'TRADE IN'!$F340))</f>
        <v>2349</v>
      </c>
      <c r="P340" s="46">
        <f>IF(VLOOKUP($C340,REV!$C:$AA,14,0)-'TRADE IN'!$F340=0,"",(VLOOKUP($C340,REV!$C:$AA,14,0)-'TRADE IN'!$F340))</f>
        <v>2299</v>
      </c>
      <c r="Q340" s="46">
        <f>IF(VLOOKUP($C340,REV!$C:$AA,15,0)-'TRADE IN'!$F340=0,"",(VLOOKUP($C340,REV!$C:$AA,15,0)-'TRADE IN'!$F340))</f>
        <v>1499</v>
      </c>
      <c r="R340" s="46">
        <f>IF(VLOOKUP($C340,REV!$C:$AA,16,0)-'TRADE IN'!$F340=0,"",(VLOOKUP($C340,REV!$C:$AA,16,0)-'TRADE IN'!$F340))</f>
        <v>2349</v>
      </c>
      <c r="S340" s="46">
        <f>IF(VLOOKUP($C340,REV!$C:$AA,17,0)-'TRADE IN'!$F340=0,"",(VLOOKUP($C340,REV!$C:$AA,17,0)-'TRADE IN'!$F340))</f>
        <v>2299</v>
      </c>
      <c r="T340" s="46">
        <f>IF(VLOOKUP($C340,REV!$C:$AA,18,0)-'TRADE IN'!$F340=0,"",(VLOOKUP($C340,REV!$C:$AA,18,0)-'TRADE IN'!$F340))</f>
        <v>1499</v>
      </c>
      <c r="U340" s="46">
        <f>IF(VLOOKUP($C340,REV!$C:$AA,19,0)-'TRADE IN'!$F340=0,"",(VLOOKUP($C340,REV!$C:$AA,19,0)-'TRADE IN'!$F340))</f>
        <v>1499</v>
      </c>
      <c r="V340" s="46">
        <f>IF(VLOOKUP($C340,REV!$C:$AA,20,0)-'TRADE IN'!$F340=0,"",(VLOOKUP($C340,REV!$C:$AA,20,0)-'TRADE IN'!$F340))</f>
        <v>1499</v>
      </c>
      <c r="W340" s="46">
        <f>IF(VLOOKUP($C340,REV!$C:$AA,21,0)-'TRADE IN'!$F340=0,"",(VLOOKUP($C340,REV!$C:$AA,21,0)-'TRADE IN'!$F340))</f>
        <v>1499</v>
      </c>
      <c r="X340" s="46">
        <f>IF(VLOOKUP($C340,REV!$C:$AA,22,0)-'TRADE IN'!$F340=0,"",(VLOOKUP($C340,REV!$C:$AA,22,0)-'TRADE IN'!$F340))</f>
        <v>1499</v>
      </c>
      <c r="Y340" s="46">
        <f>IF(VLOOKUP($C340,REV!$C:$AA,23,0)-'TRADE IN'!$F340=0,"",(VLOOKUP($C340,REV!$C:$AA,23,0)-'TRADE IN'!$F340))</f>
        <v>1499</v>
      </c>
      <c r="Z340" s="46">
        <f>IF(VLOOKUP($C340,REV!$C:$AA,24,0)-'TRADE IN'!$F340=0,"",(VLOOKUP($C340,REV!$C:$AA,24,0)-'TRADE IN'!$F340))</f>
        <v>1499</v>
      </c>
      <c r="AA340" s="46">
        <f>IF(VLOOKUP($C340,REV!$C:$AA,25,0)-'TRADE IN'!$F340=0,"",(VLOOKUP($C340,REV!$C:$AA,25,0)-'TRADE IN'!$F340))</f>
        <v>1499</v>
      </c>
      <c r="AB340" s="45">
        <f>IF(VLOOKUP($C340,REV!$C:$AL,27,0)-'TRADE IN'!$F340=0,"",(VLOOKUP($C340,REV!$C:$AL,27,0)-'TRADE IN'!$F340))</f>
        <v>2399</v>
      </c>
      <c r="AC340" s="45">
        <f>IF(VLOOKUP($C340,REV!$C:$AL,28,0)-'TRADE IN'!$F340=0,"",(VLOOKUP($C340,REV!$C:$AL,28,0)-'TRADE IN'!$F340))</f>
        <v>2399</v>
      </c>
      <c r="AD340" s="45">
        <f>IF(VLOOKUP($C340,REV!$C:$AL,29,0)-'TRADE IN'!$F340=0,"",(VLOOKUP($C340,REV!$C:$AL,29,0)-'TRADE IN'!$F340))</f>
        <v>2399</v>
      </c>
      <c r="AE340" s="45">
        <f>IF(VLOOKUP($C340,REV!$C:$AL,30,0)-'TRADE IN'!$F340=0,"",(VLOOKUP($C340,REV!$C:$AL,30,0)-'TRADE IN'!$F340))</f>
        <v>2349</v>
      </c>
      <c r="AF340" s="45">
        <f>IF(VLOOKUP($C340,REV!$C:$AL,31,0)-'TRADE IN'!$F340=0,"",(VLOOKUP($C340,REV!$C:$AL,31,0)-'TRADE IN'!$F340))</f>
        <v>2299</v>
      </c>
      <c r="AG340" s="45">
        <f>IF(VLOOKUP($C340,REV!$C:$AL,31,0)-'TRADE IN'!$F340=0,"",(VLOOKUP($C340,REV!$C:$AL,31,0)-'TRADE IN'!$F340))</f>
        <v>2299</v>
      </c>
      <c r="AH340" s="45">
        <f>IF(VLOOKUP($C340,REV!$C:$AL,32,0)-'TRADE IN'!$F340=0,"",(VLOOKUP($C340,REV!$C:$AL,32,0)-'TRADE IN'!$F340))</f>
        <v>1499</v>
      </c>
      <c r="AI340" s="45">
        <f>IF(VLOOKUP($C340,REV!$C:$AL,33,0)-'TRADE IN'!$F340=0,"",(VLOOKUP($C340,REV!$C:$AL,33,0)-'TRADE IN'!$F340))</f>
        <v>1499</v>
      </c>
      <c r="AJ340" s="45">
        <f>IF(VLOOKUP($C340,REV!$C:$AL,34,0)-'TRADE IN'!$F340=0,"",(VLOOKUP($C340,REV!$C:$AL,34,0)-'TRADE IN'!$F340))</f>
        <v>1499</v>
      </c>
      <c r="AK340" s="45">
        <f>IF(VLOOKUP($C340,REV!$C:$AL,35,0)-'TRADE IN'!$F340=0,"",(VLOOKUP($C340,REV!$C:$AL,35,0)-'TRADE IN'!$F340))</f>
        <v>1499</v>
      </c>
      <c r="AL340" s="45">
        <f>IF(VLOOKUP($C340,REV!$C:$AL,36,0)-'TRADE IN'!$F340=0,"",(VLOOKUP($C340,REV!$C:$AL,36,0)-'TRADE IN'!$F340))</f>
        <v>1499</v>
      </c>
      <c r="AM340" s="45"/>
      <c r="AN340" s="45"/>
      <c r="AO340" s="45"/>
      <c r="AP340" s="45"/>
      <c r="AQ340" s="45"/>
      <c r="AR340" s="45"/>
      <c r="AS340" s="45"/>
      <c r="AT340" s="45"/>
      <c r="AU340" s="45"/>
      <c r="AV340" s="47"/>
      <c r="AW340" s="48" t="str">
        <f>REV!AW340</f>
        <v>01.12.2026</v>
      </c>
      <c r="AX340" s="153" t="str">
        <f>VLOOKUP(C340,REV!C:AX,48,0)</f>
        <v>5G</v>
      </c>
    </row>
    <row r="341" spans="1:50" ht="22.5" customHeight="1">
      <c r="A341" s="57" t="s">
        <v>247</v>
      </c>
      <c r="B341" s="42" t="s">
        <v>64</v>
      </c>
      <c r="C341" s="43">
        <v>4017852</v>
      </c>
      <c r="D341" s="58" t="s">
        <v>515</v>
      </c>
      <c r="E341" s="58" t="s">
        <v>520</v>
      </c>
      <c r="F341" s="45">
        <v>300</v>
      </c>
      <c r="G341" s="45"/>
      <c r="H341" s="45"/>
      <c r="I341" s="45"/>
      <c r="J341" s="46">
        <f>IF(VLOOKUP($C341,REV!$C:$AA,8,0)-'TRADE IN'!$F341=0,"",(VLOOKUP($C341,REV!$C:$AA,8,0)-'TRADE IN'!$F341))</f>
        <v>2399</v>
      </c>
      <c r="K341" s="46">
        <f>IF(VLOOKUP($C341,REV!$C:$AA,9,0)-'TRADE IN'!$F341=0,"",(VLOOKUP($C341,REV!$C:$AA,9,0)-'TRADE IN'!$F341))</f>
        <v>2399</v>
      </c>
      <c r="L341" s="46">
        <f>IF(VLOOKUP($C341,REV!$C:$AA,10,0)-'TRADE IN'!$F341=0,"",(VLOOKUP($C341,REV!$C:$AA,10,0)-'TRADE IN'!$F341))</f>
        <v>2399</v>
      </c>
      <c r="M341" s="46">
        <f>IF(VLOOKUP($C341,REV!$C:$AA,11,0)-'TRADE IN'!$F341=0,"",(VLOOKUP($C341,REV!$C:$AA,11,0)-'TRADE IN'!$F341))</f>
        <v>2399</v>
      </c>
      <c r="N341" s="46">
        <f>IF(VLOOKUP($C341,REV!$C:$AA,12,0)-'TRADE IN'!$F341=0,"",(VLOOKUP($C341,REV!$C:$AA,12,0)-'TRADE IN'!$F341))</f>
        <v>2399</v>
      </c>
      <c r="O341" s="46">
        <f>IF(VLOOKUP($C341,REV!$C:$AA,13,0)-'TRADE IN'!$F341=0,"",(VLOOKUP($C341,REV!$C:$AA,13,0)-'TRADE IN'!$F341))</f>
        <v>2349</v>
      </c>
      <c r="P341" s="46">
        <f>IF(VLOOKUP($C341,REV!$C:$AA,14,0)-'TRADE IN'!$F341=0,"",(VLOOKUP($C341,REV!$C:$AA,14,0)-'TRADE IN'!$F341))</f>
        <v>2299</v>
      </c>
      <c r="Q341" s="46">
        <f>IF(VLOOKUP($C341,REV!$C:$AA,15,0)-'TRADE IN'!$F341=0,"",(VLOOKUP($C341,REV!$C:$AA,15,0)-'TRADE IN'!$F341))</f>
        <v>1499</v>
      </c>
      <c r="R341" s="46">
        <f>IF(VLOOKUP($C341,REV!$C:$AA,16,0)-'TRADE IN'!$F341=0,"",(VLOOKUP($C341,REV!$C:$AA,16,0)-'TRADE IN'!$F341))</f>
        <v>2349</v>
      </c>
      <c r="S341" s="46">
        <f>IF(VLOOKUP($C341,REV!$C:$AA,17,0)-'TRADE IN'!$F341=0,"",(VLOOKUP($C341,REV!$C:$AA,17,0)-'TRADE IN'!$F341))</f>
        <v>2299</v>
      </c>
      <c r="T341" s="46">
        <f>IF(VLOOKUP($C341,REV!$C:$AA,18,0)-'TRADE IN'!$F341=0,"",(VLOOKUP($C341,REV!$C:$AA,18,0)-'TRADE IN'!$F341))</f>
        <v>1499</v>
      </c>
      <c r="U341" s="46">
        <f>IF(VLOOKUP($C341,REV!$C:$AA,19,0)-'TRADE IN'!$F341=0,"",(VLOOKUP($C341,REV!$C:$AA,19,0)-'TRADE IN'!$F341))</f>
        <v>1499</v>
      </c>
      <c r="V341" s="46">
        <f>IF(VLOOKUP($C341,REV!$C:$AA,20,0)-'TRADE IN'!$F341=0,"",(VLOOKUP($C341,REV!$C:$AA,20,0)-'TRADE IN'!$F341))</f>
        <v>1499</v>
      </c>
      <c r="W341" s="46">
        <f>IF(VLOOKUP($C341,REV!$C:$AA,21,0)-'TRADE IN'!$F341=0,"",(VLOOKUP($C341,REV!$C:$AA,21,0)-'TRADE IN'!$F341))</f>
        <v>1499</v>
      </c>
      <c r="X341" s="46">
        <f>IF(VLOOKUP($C341,REV!$C:$AA,22,0)-'TRADE IN'!$F341=0,"",(VLOOKUP($C341,REV!$C:$AA,22,0)-'TRADE IN'!$F341))</f>
        <v>1499</v>
      </c>
      <c r="Y341" s="46">
        <f>IF(VLOOKUP($C341,REV!$C:$AA,23,0)-'TRADE IN'!$F341=0,"",(VLOOKUP($C341,REV!$C:$AA,23,0)-'TRADE IN'!$F341))</f>
        <v>1499</v>
      </c>
      <c r="Z341" s="46">
        <f>IF(VLOOKUP($C341,REV!$C:$AA,24,0)-'TRADE IN'!$F341=0,"",(VLOOKUP($C341,REV!$C:$AA,24,0)-'TRADE IN'!$F341))</f>
        <v>1499</v>
      </c>
      <c r="AA341" s="46">
        <f>IF(VLOOKUP($C341,REV!$C:$AA,25,0)-'TRADE IN'!$F341=0,"",(VLOOKUP($C341,REV!$C:$AA,25,0)-'TRADE IN'!$F341))</f>
        <v>1499</v>
      </c>
      <c r="AB341" s="45">
        <f>IF(VLOOKUP($C341,REV!$C:$AL,27,0)-'TRADE IN'!$F341=0,"",(VLOOKUP($C341,REV!$C:$AL,27,0)-'TRADE IN'!$F341))</f>
        <v>2399</v>
      </c>
      <c r="AC341" s="45">
        <f>IF(VLOOKUP($C341,REV!$C:$AL,28,0)-'TRADE IN'!$F341=0,"",(VLOOKUP($C341,REV!$C:$AL,28,0)-'TRADE IN'!$F341))</f>
        <v>2399</v>
      </c>
      <c r="AD341" s="45">
        <f>IF(VLOOKUP($C341,REV!$C:$AL,29,0)-'TRADE IN'!$F341=0,"",(VLOOKUP($C341,REV!$C:$AL,29,0)-'TRADE IN'!$F341))</f>
        <v>2399</v>
      </c>
      <c r="AE341" s="45">
        <f>IF(VLOOKUP($C341,REV!$C:$AL,30,0)-'TRADE IN'!$F341=0,"",(VLOOKUP($C341,REV!$C:$AL,30,0)-'TRADE IN'!$F341))</f>
        <v>2349</v>
      </c>
      <c r="AF341" s="45">
        <f>IF(VLOOKUP($C341,REV!$C:$AL,31,0)-'TRADE IN'!$F341=0,"",(VLOOKUP($C341,REV!$C:$AL,31,0)-'TRADE IN'!$F341))</f>
        <v>2299</v>
      </c>
      <c r="AG341" s="45">
        <f>IF(VLOOKUP($C341,REV!$C:$AL,31,0)-'TRADE IN'!$F341=0,"",(VLOOKUP($C341,REV!$C:$AL,31,0)-'TRADE IN'!$F341))</f>
        <v>2299</v>
      </c>
      <c r="AH341" s="45">
        <f>IF(VLOOKUP($C341,REV!$C:$AL,32,0)-'TRADE IN'!$F341=0,"",(VLOOKUP($C341,REV!$C:$AL,32,0)-'TRADE IN'!$F341))</f>
        <v>1499</v>
      </c>
      <c r="AI341" s="45">
        <f>IF(VLOOKUP($C341,REV!$C:$AL,33,0)-'TRADE IN'!$F341=0,"",(VLOOKUP($C341,REV!$C:$AL,33,0)-'TRADE IN'!$F341))</f>
        <v>1499</v>
      </c>
      <c r="AJ341" s="45">
        <f>IF(VLOOKUP($C341,REV!$C:$AL,34,0)-'TRADE IN'!$F341=0,"",(VLOOKUP($C341,REV!$C:$AL,34,0)-'TRADE IN'!$F341))</f>
        <v>1499</v>
      </c>
      <c r="AK341" s="45">
        <f>IF(VLOOKUP($C341,REV!$C:$AL,35,0)-'TRADE IN'!$F341=0,"",(VLOOKUP($C341,REV!$C:$AL,35,0)-'TRADE IN'!$F341))</f>
        <v>1499</v>
      </c>
      <c r="AL341" s="45">
        <f>IF(VLOOKUP($C341,REV!$C:$AL,36,0)-'TRADE IN'!$F341=0,"",(VLOOKUP($C341,REV!$C:$AL,36,0)-'TRADE IN'!$F341))</f>
        <v>1499</v>
      </c>
      <c r="AM341" s="45"/>
      <c r="AN341" s="45"/>
      <c r="AO341" s="45"/>
      <c r="AP341" s="45"/>
      <c r="AQ341" s="45"/>
      <c r="AR341" s="45"/>
      <c r="AS341" s="45"/>
      <c r="AT341" s="45"/>
      <c r="AU341" s="45"/>
      <c r="AV341" s="47"/>
      <c r="AW341" s="48" t="str">
        <f>REV!AW341</f>
        <v>01.12.2026</v>
      </c>
      <c r="AX341" s="153" t="str">
        <f>VLOOKUP(C341,REV!C:AX,48,0)</f>
        <v>5G</v>
      </c>
    </row>
    <row r="342" spans="1:50" ht="22.5" customHeight="1">
      <c r="A342" s="57" t="s">
        <v>247</v>
      </c>
      <c r="B342" s="42" t="s">
        <v>64</v>
      </c>
      <c r="C342" s="43">
        <v>4017857</v>
      </c>
      <c r="D342" s="58" t="s">
        <v>515</v>
      </c>
      <c r="E342" s="58" t="s">
        <v>521</v>
      </c>
      <c r="F342" s="45">
        <v>300</v>
      </c>
      <c r="G342" s="45"/>
      <c r="H342" s="45"/>
      <c r="I342" s="45"/>
      <c r="J342" s="46">
        <f>IF(VLOOKUP($C342,REV!$C:$AA,8,0)-'TRADE IN'!$F342=0,"",(VLOOKUP($C342,REV!$C:$AA,8,0)-'TRADE IN'!$F342))</f>
        <v>2399</v>
      </c>
      <c r="K342" s="46">
        <f>IF(VLOOKUP($C342,REV!$C:$AA,9,0)-'TRADE IN'!$F342=0,"",(VLOOKUP($C342,REV!$C:$AA,9,0)-'TRADE IN'!$F342))</f>
        <v>2399</v>
      </c>
      <c r="L342" s="46">
        <f>IF(VLOOKUP($C342,REV!$C:$AA,10,0)-'TRADE IN'!$F342=0,"",(VLOOKUP($C342,REV!$C:$AA,10,0)-'TRADE IN'!$F342))</f>
        <v>2399</v>
      </c>
      <c r="M342" s="46">
        <f>IF(VLOOKUP($C342,REV!$C:$AA,11,0)-'TRADE IN'!$F342=0,"",(VLOOKUP($C342,REV!$C:$AA,11,0)-'TRADE IN'!$F342))</f>
        <v>2399</v>
      </c>
      <c r="N342" s="46">
        <f>IF(VLOOKUP($C342,REV!$C:$AA,12,0)-'TRADE IN'!$F342=0,"",(VLOOKUP($C342,REV!$C:$AA,12,0)-'TRADE IN'!$F342))</f>
        <v>2399</v>
      </c>
      <c r="O342" s="46">
        <f>IF(VLOOKUP($C342,REV!$C:$AA,13,0)-'TRADE IN'!$F342=0,"",(VLOOKUP($C342,REV!$C:$AA,13,0)-'TRADE IN'!$F342))</f>
        <v>2349</v>
      </c>
      <c r="P342" s="46">
        <f>IF(VLOOKUP($C342,REV!$C:$AA,14,0)-'TRADE IN'!$F342=0,"",(VLOOKUP($C342,REV!$C:$AA,14,0)-'TRADE IN'!$F342))</f>
        <v>2299</v>
      </c>
      <c r="Q342" s="46">
        <f>IF(VLOOKUP($C342,REV!$C:$AA,15,0)-'TRADE IN'!$F342=0,"",(VLOOKUP($C342,REV!$C:$AA,15,0)-'TRADE IN'!$F342))</f>
        <v>1499</v>
      </c>
      <c r="R342" s="46">
        <f>IF(VLOOKUP($C342,REV!$C:$AA,16,0)-'TRADE IN'!$F342=0,"",(VLOOKUP($C342,REV!$C:$AA,16,0)-'TRADE IN'!$F342))</f>
        <v>2349</v>
      </c>
      <c r="S342" s="46">
        <f>IF(VLOOKUP($C342,REV!$C:$AA,17,0)-'TRADE IN'!$F342=0,"",(VLOOKUP($C342,REV!$C:$AA,17,0)-'TRADE IN'!$F342))</f>
        <v>2299</v>
      </c>
      <c r="T342" s="46">
        <f>IF(VLOOKUP($C342,REV!$C:$AA,18,0)-'TRADE IN'!$F342=0,"",(VLOOKUP($C342,REV!$C:$AA,18,0)-'TRADE IN'!$F342))</f>
        <v>1499</v>
      </c>
      <c r="U342" s="46">
        <f>IF(VLOOKUP($C342,REV!$C:$AA,19,0)-'TRADE IN'!$F342=0,"",(VLOOKUP($C342,REV!$C:$AA,19,0)-'TRADE IN'!$F342))</f>
        <v>1499</v>
      </c>
      <c r="V342" s="46">
        <f>IF(VLOOKUP($C342,REV!$C:$AA,20,0)-'TRADE IN'!$F342=0,"",(VLOOKUP($C342,REV!$C:$AA,20,0)-'TRADE IN'!$F342))</f>
        <v>1499</v>
      </c>
      <c r="W342" s="46">
        <f>IF(VLOOKUP($C342,REV!$C:$AA,21,0)-'TRADE IN'!$F342=0,"",(VLOOKUP($C342,REV!$C:$AA,21,0)-'TRADE IN'!$F342))</f>
        <v>1499</v>
      </c>
      <c r="X342" s="46">
        <f>IF(VLOOKUP($C342,REV!$C:$AA,22,0)-'TRADE IN'!$F342=0,"",(VLOOKUP($C342,REV!$C:$AA,22,0)-'TRADE IN'!$F342))</f>
        <v>1499</v>
      </c>
      <c r="Y342" s="46">
        <f>IF(VLOOKUP($C342,REV!$C:$AA,23,0)-'TRADE IN'!$F342=0,"",(VLOOKUP($C342,REV!$C:$AA,23,0)-'TRADE IN'!$F342))</f>
        <v>1499</v>
      </c>
      <c r="Z342" s="46">
        <f>IF(VLOOKUP($C342,REV!$C:$AA,24,0)-'TRADE IN'!$F342=0,"",(VLOOKUP($C342,REV!$C:$AA,24,0)-'TRADE IN'!$F342))</f>
        <v>1499</v>
      </c>
      <c r="AA342" s="46">
        <f>IF(VLOOKUP($C342,REV!$C:$AA,25,0)-'TRADE IN'!$F342=0,"",(VLOOKUP($C342,REV!$C:$AA,25,0)-'TRADE IN'!$F342))</f>
        <v>1499</v>
      </c>
      <c r="AB342" s="45">
        <f>IF(VLOOKUP($C342,REV!$C:$AL,27,0)-'TRADE IN'!$F342=0,"",(VLOOKUP($C342,REV!$C:$AL,27,0)-'TRADE IN'!$F342))</f>
        <v>2399</v>
      </c>
      <c r="AC342" s="45">
        <f>IF(VLOOKUP($C342,REV!$C:$AL,28,0)-'TRADE IN'!$F342=0,"",(VLOOKUP($C342,REV!$C:$AL,28,0)-'TRADE IN'!$F342))</f>
        <v>2399</v>
      </c>
      <c r="AD342" s="45">
        <f>IF(VLOOKUP($C342,REV!$C:$AL,29,0)-'TRADE IN'!$F342=0,"",(VLOOKUP($C342,REV!$C:$AL,29,0)-'TRADE IN'!$F342))</f>
        <v>2399</v>
      </c>
      <c r="AE342" s="45">
        <f>IF(VLOOKUP($C342,REV!$C:$AL,30,0)-'TRADE IN'!$F342=0,"",(VLOOKUP($C342,REV!$C:$AL,30,0)-'TRADE IN'!$F342))</f>
        <v>2349</v>
      </c>
      <c r="AF342" s="45">
        <f>IF(VLOOKUP($C342,REV!$C:$AL,31,0)-'TRADE IN'!$F342=0,"",(VLOOKUP($C342,REV!$C:$AL,31,0)-'TRADE IN'!$F342))</f>
        <v>2299</v>
      </c>
      <c r="AG342" s="45">
        <f>IF(VLOOKUP($C342,REV!$C:$AL,31,0)-'TRADE IN'!$F342=0,"",(VLOOKUP($C342,REV!$C:$AL,31,0)-'TRADE IN'!$F342))</f>
        <v>2299</v>
      </c>
      <c r="AH342" s="45">
        <f>IF(VLOOKUP($C342,REV!$C:$AL,32,0)-'TRADE IN'!$F342=0,"",(VLOOKUP($C342,REV!$C:$AL,32,0)-'TRADE IN'!$F342))</f>
        <v>1499</v>
      </c>
      <c r="AI342" s="45">
        <f>IF(VLOOKUP($C342,REV!$C:$AL,33,0)-'TRADE IN'!$F342=0,"",(VLOOKUP($C342,REV!$C:$AL,33,0)-'TRADE IN'!$F342))</f>
        <v>1499</v>
      </c>
      <c r="AJ342" s="45">
        <f>IF(VLOOKUP($C342,REV!$C:$AL,34,0)-'TRADE IN'!$F342=0,"",(VLOOKUP($C342,REV!$C:$AL,34,0)-'TRADE IN'!$F342))</f>
        <v>1499</v>
      </c>
      <c r="AK342" s="45">
        <f>IF(VLOOKUP($C342,REV!$C:$AL,35,0)-'TRADE IN'!$F342=0,"",(VLOOKUP($C342,REV!$C:$AL,35,0)-'TRADE IN'!$F342))</f>
        <v>1499</v>
      </c>
      <c r="AL342" s="45">
        <f>IF(VLOOKUP($C342,REV!$C:$AL,36,0)-'TRADE IN'!$F342=0,"",(VLOOKUP($C342,REV!$C:$AL,36,0)-'TRADE IN'!$F342))</f>
        <v>1499</v>
      </c>
      <c r="AM342" s="45"/>
      <c r="AN342" s="45"/>
      <c r="AO342" s="45"/>
      <c r="AP342" s="45"/>
      <c r="AQ342" s="45"/>
      <c r="AR342" s="45"/>
      <c r="AS342" s="45"/>
      <c r="AT342" s="45"/>
      <c r="AU342" s="45"/>
      <c r="AV342" s="47"/>
      <c r="AW342" s="48" t="str">
        <f>REV!AW342</f>
        <v>01.12.2026</v>
      </c>
      <c r="AX342" s="153" t="str">
        <f>VLOOKUP(C342,REV!C:AX,48,0)</f>
        <v>5G</v>
      </c>
    </row>
    <row r="343" spans="1:50" ht="22.5" customHeight="1">
      <c r="A343" s="57" t="s">
        <v>247</v>
      </c>
      <c r="B343" s="42" t="s">
        <v>64</v>
      </c>
      <c r="C343" s="43">
        <v>4008625</v>
      </c>
      <c r="D343" s="65" t="s">
        <v>522</v>
      </c>
      <c r="E343" s="66" t="s">
        <v>523</v>
      </c>
      <c r="F343" s="45"/>
      <c r="G343" s="45"/>
      <c r="H343" s="46"/>
      <c r="I343" s="46"/>
      <c r="J343" s="46">
        <f>IF(VLOOKUP($C343,REV!$C:$AA,8,0)-'TRADE IN'!$F343=0,"",(VLOOKUP($C343,REV!$C:$AA,8,0)-'TRADE IN'!$F343))</f>
        <v>799</v>
      </c>
      <c r="K343" s="46">
        <f>IF(VLOOKUP($C343,REV!$C:$AA,9,0)-'TRADE IN'!$F343=0,"",(VLOOKUP($C343,REV!$C:$AA,9,0)-'TRADE IN'!$F343))</f>
        <v>799</v>
      </c>
      <c r="L343" s="46">
        <f>IF(VLOOKUP($C343,REV!$C:$AA,10,0)-'TRADE IN'!$F343=0,"",(VLOOKUP($C343,REV!$C:$AA,10,0)-'TRADE IN'!$F343))</f>
        <v>799</v>
      </c>
      <c r="M343" s="46">
        <f>IF(VLOOKUP($C343,REV!$C:$AA,11,0)-'TRADE IN'!$F343=0,"",(VLOOKUP($C343,REV!$C:$AA,11,0)-'TRADE IN'!$F343))</f>
        <v>799</v>
      </c>
      <c r="N343" s="46">
        <f>IF(VLOOKUP($C343,REV!$C:$AA,12,0)-'TRADE IN'!$F343=0,"",(VLOOKUP($C343,REV!$C:$AA,12,0)-'TRADE IN'!$F343))</f>
        <v>799</v>
      </c>
      <c r="O343" s="46">
        <f>IF(VLOOKUP($C343,REV!$C:$AA,13,0)-'TRADE IN'!$F343=0,"",(VLOOKUP($C343,REV!$C:$AA,13,0)-'TRADE IN'!$F343))</f>
        <v>699</v>
      </c>
      <c r="P343" s="46">
        <f>IF(VLOOKUP($C343,REV!$C:$AA,14,0)-'TRADE IN'!$F343=0,"",(VLOOKUP($C343,REV!$C:$AA,14,0)-'TRADE IN'!$F343))</f>
        <v>579</v>
      </c>
      <c r="Q343" s="46">
        <f>IF(VLOOKUP($C343,REV!$C:$AA,15,0)-'TRADE IN'!$F343=0,"",(VLOOKUP($C343,REV!$C:$AA,15,0)-'TRADE IN'!$F343))</f>
        <v>449</v>
      </c>
      <c r="R343" s="46">
        <f>IF(VLOOKUP($C343,REV!$C:$AA,16,0)-'TRADE IN'!$F343=0,"",(VLOOKUP($C343,REV!$C:$AA,16,0)-'TRADE IN'!$F343))</f>
        <v>699</v>
      </c>
      <c r="S343" s="46">
        <f>IF(VLOOKUP($C343,REV!$C:$AA,17,0)-'TRADE IN'!$F343=0,"",(VLOOKUP($C343,REV!$C:$AA,17,0)-'TRADE IN'!$F343))</f>
        <v>579</v>
      </c>
      <c r="T343" s="46">
        <f>IF(VLOOKUP($C343,REV!$C:$AA,18,0)-'TRADE IN'!$F343=0,"",(VLOOKUP($C343,REV!$C:$AA,18,0)-'TRADE IN'!$F343))</f>
        <v>449</v>
      </c>
      <c r="U343" s="46">
        <f>IF(VLOOKUP($C343,REV!$C:$AA,19,0)-'TRADE IN'!$F343=0,"",(VLOOKUP($C343,REV!$C:$AA,19,0)-'TRADE IN'!$F343))</f>
        <v>449</v>
      </c>
      <c r="V343" s="46">
        <f>IF(VLOOKUP($C343,REV!$C:$AA,20,0)-'TRADE IN'!$F343=0,"",(VLOOKUP($C343,REV!$C:$AA,20,0)-'TRADE IN'!$F343))</f>
        <v>449</v>
      </c>
      <c r="W343" s="46">
        <f>IF(VLOOKUP($C343,REV!$C:$AA,21,0)-'TRADE IN'!$F343=0,"",(VLOOKUP($C343,REV!$C:$AA,21,0)-'TRADE IN'!$F343))</f>
        <v>449</v>
      </c>
      <c r="X343" s="46">
        <f>IF(VLOOKUP($C343,REV!$C:$AA,22,0)-'TRADE IN'!$F343=0,"",(VLOOKUP($C343,REV!$C:$AA,22,0)-'TRADE IN'!$F343))</f>
        <v>399</v>
      </c>
      <c r="Y343" s="46">
        <f>IF(VLOOKUP($C343,REV!$C:$AA,23,0)-'TRADE IN'!$F343=0,"",(VLOOKUP($C343,REV!$C:$AA,23,0)-'TRADE IN'!$F343))</f>
        <v>349</v>
      </c>
      <c r="Z343" s="46">
        <f>IF(VLOOKUP($C343,REV!$C:$AA,24,0)-'TRADE IN'!$F343=0,"",(VLOOKUP($C343,REV!$C:$AA,24,0)-'TRADE IN'!$F343))</f>
        <v>349</v>
      </c>
      <c r="AA343" s="46">
        <f>IF(VLOOKUP($C343,REV!$C:$AA,25,0)-'TRADE IN'!$F343=0,"",(VLOOKUP($C343,REV!$C:$AA,25,0)-'TRADE IN'!$F343))</f>
        <v>309</v>
      </c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7"/>
      <c r="AW343" s="48" t="str">
        <f>REV!AW343</f>
        <v>01.12.2026</v>
      </c>
      <c r="AX343" s="153" t="str">
        <f>VLOOKUP(C343,REV!C:AX,48,0)</f>
        <v>4G</v>
      </c>
    </row>
    <row r="344" spans="1:50" ht="22.5" customHeight="1">
      <c r="A344" s="41" t="s">
        <v>63</v>
      </c>
      <c r="B344" s="42" t="s">
        <v>64</v>
      </c>
      <c r="C344" s="43">
        <v>4015427</v>
      </c>
      <c r="D344" s="58" t="s">
        <v>524</v>
      </c>
      <c r="E344" s="58" t="s">
        <v>525</v>
      </c>
      <c r="F344" s="45"/>
      <c r="G344" s="45"/>
      <c r="H344" s="45"/>
      <c r="I344" s="45"/>
      <c r="J344" s="46">
        <f>IF(VLOOKUP($C344,REV!$C:$AA,8,0)-'TRADE IN'!$F344=0,"",(VLOOKUP($C344,REV!$C:$AA,8,0)-'TRADE IN'!$F344))</f>
        <v>1419</v>
      </c>
      <c r="K344" s="46">
        <f>IF(VLOOKUP($C344,REV!$C:$AA,9,0)-'TRADE IN'!$F344=0,"",(VLOOKUP($C344,REV!$C:$AA,9,0)-'TRADE IN'!$F344))</f>
        <v>1419</v>
      </c>
      <c r="L344" s="46">
        <f>IF(VLOOKUP($C344,REV!$C:$AA,10,0)-'TRADE IN'!$F344=0,"",(VLOOKUP($C344,REV!$C:$AA,10,0)-'TRADE IN'!$F344))</f>
        <v>1419</v>
      </c>
      <c r="M344" s="46">
        <f>IF(VLOOKUP($C344,REV!$C:$AA,11,0)-'TRADE IN'!$F344=0,"",(VLOOKUP($C344,REV!$C:$AA,11,0)-'TRADE IN'!$F344))</f>
        <v>1419</v>
      </c>
      <c r="N344" s="46">
        <f>IF(VLOOKUP($C344,REV!$C:$AA,12,0)-'TRADE IN'!$F344=0,"",(VLOOKUP($C344,REV!$C:$AA,12,0)-'TRADE IN'!$F344))</f>
        <v>1419</v>
      </c>
      <c r="O344" s="46">
        <f>IF(VLOOKUP($C344,REV!$C:$AA,13,0)-'TRADE IN'!$F344=0,"",(VLOOKUP($C344,REV!$C:$AA,13,0)-'TRADE IN'!$F344))</f>
        <v>1419</v>
      </c>
      <c r="P344" s="46">
        <f>IF(VLOOKUP($C344,REV!$C:$AA,14,0)-'TRADE IN'!$F344=0,"",(VLOOKUP($C344,REV!$C:$AA,14,0)-'TRADE IN'!$F344))</f>
        <v>1419</v>
      </c>
      <c r="Q344" s="46">
        <f>IF(VLOOKUP($C344,REV!$C:$AA,15,0)-'TRADE IN'!$F344=0,"",(VLOOKUP($C344,REV!$C:$AA,15,0)-'TRADE IN'!$F344))</f>
        <v>1419</v>
      </c>
      <c r="R344" s="46">
        <f>IF(VLOOKUP($C344,REV!$C:$AA,16,0)-'TRADE IN'!$F344=0,"",(VLOOKUP($C344,REV!$C:$AA,16,0)-'TRADE IN'!$F344))</f>
        <v>1419</v>
      </c>
      <c r="S344" s="46">
        <f>IF(VLOOKUP($C344,REV!$C:$AA,17,0)-'TRADE IN'!$F344=0,"",(VLOOKUP($C344,REV!$C:$AA,17,0)-'TRADE IN'!$F344))</f>
        <v>1419</v>
      </c>
      <c r="T344" s="46">
        <f>IF(VLOOKUP($C344,REV!$C:$AA,18,0)-'TRADE IN'!$F344=0,"",(VLOOKUP($C344,REV!$C:$AA,18,0)-'TRADE IN'!$F344))</f>
        <v>1419</v>
      </c>
      <c r="U344" s="46">
        <f>IF(VLOOKUP($C344,REV!$C:$AA,19,0)-'TRADE IN'!$F344=0,"",(VLOOKUP($C344,REV!$C:$AA,19,0)-'TRADE IN'!$F344))</f>
        <v>1419</v>
      </c>
      <c r="V344" s="46">
        <f>IF(VLOOKUP($C344,REV!$C:$AA,20,0)-'TRADE IN'!$F344=0,"",(VLOOKUP($C344,REV!$C:$AA,20,0)-'TRADE IN'!$F344))</f>
        <v>1419</v>
      </c>
      <c r="W344" s="46">
        <f>IF(VLOOKUP($C344,REV!$C:$AA,21,0)-'TRADE IN'!$F344=0,"",(VLOOKUP($C344,REV!$C:$AA,21,0)-'TRADE IN'!$F344))</f>
        <v>1419</v>
      </c>
      <c r="X344" s="46">
        <f>IF(VLOOKUP($C344,REV!$C:$AA,22,0)-'TRADE IN'!$F344=0,"",(VLOOKUP($C344,REV!$C:$AA,22,0)-'TRADE IN'!$F344))</f>
        <v>1419</v>
      </c>
      <c r="Y344" s="46">
        <f>IF(VLOOKUP($C344,REV!$C:$AA,23,0)-'TRADE IN'!$F344=0,"",(VLOOKUP($C344,REV!$C:$AA,23,0)-'TRADE IN'!$F344))</f>
        <v>1419</v>
      </c>
      <c r="Z344" s="46">
        <f>IF(VLOOKUP($C344,REV!$C:$AA,24,0)-'TRADE IN'!$F344=0,"",(VLOOKUP($C344,REV!$C:$AA,24,0)-'TRADE IN'!$F344))</f>
        <v>1419</v>
      </c>
      <c r="AA344" s="46">
        <f>IF(VLOOKUP($C344,REV!$C:$AA,25,0)-'TRADE IN'!$F344=0,"",(VLOOKUP($C344,REV!$C:$AA,25,0)-'TRADE IN'!$F344))</f>
        <v>1419</v>
      </c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7"/>
      <c r="AW344" s="48" t="str">
        <f>REV!AW344</f>
        <v>01.12.2026</v>
      </c>
      <c r="AX344" s="153" t="str">
        <f>VLOOKUP(C344,REV!C:AX,48,0)</f>
        <v>5G</v>
      </c>
    </row>
    <row r="345" spans="1:50" ht="22.5" customHeight="1">
      <c r="A345" s="41" t="s">
        <v>63</v>
      </c>
      <c r="B345" s="42" t="s">
        <v>64</v>
      </c>
      <c r="C345" s="43">
        <v>4015449</v>
      </c>
      <c r="D345" s="58" t="s">
        <v>524</v>
      </c>
      <c r="E345" s="58" t="s">
        <v>526</v>
      </c>
      <c r="F345" s="45"/>
      <c r="G345" s="45"/>
      <c r="H345" s="45"/>
      <c r="I345" s="45"/>
      <c r="J345" s="46">
        <f>IF(VLOOKUP($C345,REV!$C:$AA,8,0)-'TRADE IN'!$F345=0,"",(VLOOKUP($C345,REV!$C:$AA,8,0)-'TRADE IN'!$F345))</f>
        <v>1419</v>
      </c>
      <c r="K345" s="46">
        <f>IF(VLOOKUP($C345,REV!$C:$AA,9,0)-'TRADE IN'!$F345=0,"",(VLOOKUP($C345,REV!$C:$AA,9,0)-'TRADE IN'!$F345))</f>
        <v>1419</v>
      </c>
      <c r="L345" s="46">
        <f>IF(VLOOKUP($C345,REV!$C:$AA,10,0)-'TRADE IN'!$F345=0,"",(VLOOKUP($C345,REV!$C:$AA,10,0)-'TRADE IN'!$F345))</f>
        <v>1419</v>
      </c>
      <c r="M345" s="46">
        <f>IF(VLOOKUP($C345,REV!$C:$AA,11,0)-'TRADE IN'!$F345=0,"",(VLOOKUP($C345,REV!$C:$AA,11,0)-'TRADE IN'!$F345))</f>
        <v>1419</v>
      </c>
      <c r="N345" s="46">
        <f>IF(VLOOKUP($C345,REV!$C:$AA,12,0)-'TRADE IN'!$F345=0,"",(VLOOKUP($C345,REV!$C:$AA,12,0)-'TRADE IN'!$F345))</f>
        <v>1419</v>
      </c>
      <c r="O345" s="46">
        <f>IF(VLOOKUP($C345,REV!$C:$AA,13,0)-'TRADE IN'!$F345=0,"",(VLOOKUP($C345,REV!$C:$AA,13,0)-'TRADE IN'!$F345))</f>
        <v>1419</v>
      </c>
      <c r="P345" s="46">
        <f>IF(VLOOKUP($C345,REV!$C:$AA,14,0)-'TRADE IN'!$F345=0,"",(VLOOKUP($C345,REV!$C:$AA,14,0)-'TRADE IN'!$F345))</f>
        <v>1419</v>
      </c>
      <c r="Q345" s="46">
        <f>IF(VLOOKUP($C345,REV!$C:$AA,15,0)-'TRADE IN'!$F345=0,"",(VLOOKUP($C345,REV!$C:$AA,15,0)-'TRADE IN'!$F345))</f>
        <v>1419</v>
      </c>
      <c r="R345" s="46">
        <f>IF(VLOOKUP($C345,REV!$C:$AA,16,0)-'TRADE IN'!$F345=0,"",(VLOOKUP($C345,REV!$C:$AA,16,0)-'TRADE IN'!$F345))</f>
        <v>1419</v>
      </c>
      <c r="S345" s="46">
        <f>IF(VLOOKUP($C345,REV!$C:$AA,17,0)-'TRADE IN'!$F345=0,"",(VLOOKUP($C345,REV!$C:$AA,17,0)-'TRADE IN'!$F345))</f>
        <v>1419</v>
      </c>
      <c r="T345" s="46">
        <f>IF(VLOOKUP($C345,REV!$C:$AA,18,0)-'TRADE IN'!$F345=0,"",(VLOOKUP($C345,REV!$C:$AA,18,0)-'TRADE IN'!$F345))</f>
        <v>1419</v>
      </c>
      <c r="U345" s="46">
        <f>IF(VLOOKUP($C345,REV!$C:$AA,19,0)-'TRADE IN'!$F345=0,"",(VLOOKUP($C345,REV!$C:$AA,19,0)-'TRADE IN'!$F345))</f>
        <v>1419</v>
      </c>
      <c r="V345" s="46">
        <f>IF(VLOOKUP($C345,REV!$C:$AA,20,0)-'TRADE IN'!$F345=0,"",(VLOOKUP($C345,REV!$C:$AA,20,0)-'TRADE IN'!$F345))</f>
        <v>1419</v>
      </c>
      <c r="W345" s="46">
        <f>IF(VLOOKUP($C345,REV!$C:$AA,21,0)-'TRADE IN'!$F345=0,"",(VLOOKUP($C345,REV!$C:$AA,21,0)-'TRADE IN'!$F345))</f>
        <v>1419</v>
      </c>
      <c r="X345" s="46">
        <f>IF(VLOOKUP($C345,REV!$C:$AA,22,0)-'TRADE IN'!$F345=0,"",(VLOOKUP($C345,REV!$C:$AA,22,0)-'TRADE IN'!$F345))</f>
        <v>1419</v>
      </c>
      <c r="Y345" s="46">
        <f>IF(VLOOKUP($C345,REV!$C:$AA,23,0)-'TRADE IN'!$F345=0,"",(VLOOKUP($C345,REV!$C:$AA,23,0)-'TRADE IN'!$F345))</f>
        <v>1419</v>
      </c>
      <c r="Z345" s="46">
        <f>IF(VLOOKUP($C345,REV!$C:$AA,24,0)-'TRADE IN'!$F345=0,"",(VLOOKUP($C345,REV!$C:$AA,24,0)-'TRADE IN'!$F345))</f>
        <v>1419</v>
      </c>
      <c r="AA345" s="46">
        <f>IF(VLOOKUP($C345,REV!$C:$AA,25,0)-'TRADE IN'!$F345=0,"",(VLOOKUP($C345,REV!$C:$AA,25,0)-'TRADE IN'!$F345))</f>
        <v>1419</v>
      </c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7"/>
      <c r="AW345" s="48" t="str">
        <f>REV!AW345</f>
        <v>01.12.2026</v>
      </c>
      <c r="AX345" s="153" t="str">
        <f>VLOOKUP(C345,REV!C:AX,48,0)</f>
        <v>5G</v>
      </c>
    </row>
    <row r="346" spans="1:50" ht="22.5" customHeight="1">
      <c r="A346" s="41" t="s">
        <v>63</v>
      </c>
      <c r="B346" s="42" t="s">
        <v>64</v>
      </c>
      <c r="C346" s="43">
        <v>4015443</v>
      </c>
      <c r="D346" s="58" t="s">
        <v>524</v>
      </c>
      <c r="E346" s="58" t="s">
        <v>527</v>
      </c>
      <c r="F346" s="45"/>
      <c r="G346" s="45"/>
      <c r="H346" s="45"/>
      <c r="I346" s="45"/>
      <c r="J346" s="46">
        <f>IF(VLOOKUP($C346,REV!$C:$AA,8,0)-'TRADE IN'!$F346=0,"",(VLOOKUP($C346,REV!$C:$AA,8,0)-'TRADE IN'!$F346))</f>
        <v>1419</v>
      </c>
      <c r="K346" s="46">
        <f>IF(VLOOKUP($C346,REV!$C:$AA,9,0)-'TRADE IN'!$F346=0,"",(VLOOKUP($C346,REV!$C:$AA,9,0)-'TRADE IN'!$F346))</f>
        <v>1419</v>
      </c>
      <c r="L346" s="46">
        <f>IF(VLOOKUP($C346,REV!$C:$AA,10,0)-'TRADE IN'!$F346=0,"",(VLOOKUP($C346,REV!$C:$AA,10,0)-'TRADE IN'!$F346))</f>
        <v>1419</v>
      </c>
      <c r="M346" s="46">
        <f>IF(VLOOKUP($C346,REV!$C:$AA,11,0)-'TRADE IN'!$F346=0,"",(VLOOKUP($C346,REV!$C:$AA,11,0)-'TRADE IN'!$F346))</f>
        <v>1419</v>
      </c>
      <c r="N346" s="46">
        <f>IF(VLOOKUP($C346,REV!$C:$AA,12,0)-'TRADE IN'!$F346=0,"",(VLOOKUP($C346,REV!$C:$AA,12,0)-'TRADE IN'!$F346))</f>
        <v>1419</v>
      </c>
      <c r="O346" s="46">
        <f>IF(VLOOKUP($C346,REV!$C:$AA,13,0)-'TRADE IN'!$F346=0,"",(VLOOKUP($C346,REV!$C:$AA,13,0)-'TRADE IN'!$F346))</f>
        <v>1419</v>
      </c>
      <c r="P346" s="46">
        <f>IF(VLOOKUP($C346,REV!$C:$AA,14,0)-'TRADE IN'!$F346=0,"",(VLOOKUP($C346,REV!$C:$AA,14,0)-'TRADE IN'!$F346))</f>
        <v>1419</v>
      </c>
      <c r="Q346" s="46">
        <f>IF(VLOOKUP($C346,REV!$C:$AA,15,0)-'TRADE IN'!$F346=0,"",(VLOOKUP($C346,REV!$C:$AA,15,0)-'TRADE IN'!$F346))</f>
        <v>1419</v>
      </c>
      <c r="R346" s="46">
        <f>IF(VLOOKUP($C346,REV!$C:$AA,16,0)-'TRADE IN'!$F346=0,"",(VLOOKUP($C346,REV!$C:$AA,16,0)-'TRADE IN'!$F346))</f>
        <v>1419</v>
      </c>
      <c r="S346" s="46">
        <f>IF(VLOOKUP($C346,REV!$C:$AA,17,0)-'TRADE IN'!$F346=0,"",(VLOOKUP($C346,REV!$C:$AA,17,0)-'TRADE IN'!$F346))</f>
        <v>1419</v>
      </c>
      <c r="T346" s="46">
        <f>IF(VLOOKUP($C346,REV!$C:$AA,18,0)-'TRADE IN'!$F346=0,"",(VLOOKUP($C346,REV!$C:$AA,18,0)-'TRADE IN'!$F346))</f>
        <v>1419</v>
      </c>
      <c r="U346" s="46">
        <f>IF(VLOOKUP($C346,REV!$C:$AA,19,0)-'TRADE IN'!$F346=0,"",(VLOOKUP($C346,REV!$C:$AA,19,0)-'TRADE IN'!$F346))</f>
        <v>1419</v>
      </c>
      <c r="V346" s="46">
        <f>IF(VLOOKUP($C346,REV!$C:$AA,20,0)-'TRADE IN'!$F346=0,"",(VLOOKUP($C346,REV!$C:$AA,20,0)-'TRADE IN'!$F346))</f>
        <v>1419</v>
      </c>
      <c r="W346" s="46">
        <f>IF(VLOOKUP($C346,REV!$C:$AA,21,0)-'TRADE IN'!$F346=0,"",(VLOOKUP($C346,REV!$C:$AA,21,0)-'TRADE IN'!$F346))</f>
        <v>1419</v>
      </c>
      <c r="X346" s="46">
        <f>IF(VLOOKUP($C346,REV!$C:$AA,22,0)-'TRADE IN'!$F346=0,"",(VLOOKUP($C346,REV!$C:$AA,22,0)-'TRADE IN'!$F346))</f>
        <v>1419</v>
      </c>
      <c r="Y346" s="46">
        <f>IF(VLOOKUP($C346,REV!$C:$AA,23,0)-'TRADE IN'!$F346=0,"",(VLOOKUP($C346,REV!$C:$AA,23,0)-'TRADE IN'!$F346))</f>
        <v>1419</v>
      </c>
      <c r="Z346" s="46">
        <f>IF(VLOOKUP($C346,REV!$C:$AA,24,0)-'TRADE IN'!$F346=0,"",(VLOOKUP($C346,REV!$C:$AA,24,0)-'TRADE IN'!$F346))</f>
        <v>1419</v>
      </c>
      <c r="AA346" s="46">
        <f>IF(VLOOKUP($C346,REV!$C:$AA,25,0)-'TRADE IN'!$F346=0,"",(VLOOKUP($C346,REV!$C:$AA,25,0)-'TRADE IN'!$F346))</f>
        <v>1419</v>
      </c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7"/>
      <c r="AW346" s="48" t="str">
        <f>REV!AW346</f>
        <v>01.12.2026</v>
      </c>
      <c r="AX346" s="153" t="str">
        <f>VLOOKUP(C346,REV!C:AX,48,0)</f>
        <v>5G</v>
      </c>
    </row>
    <row r="347" spans="1:50" ht="22.5" customHeight="1">
      <c r="A347" s="41" t="s">
        <v>63</v>
      </c>
      <c r="B347" s="42" t="s">
        <v>64</v>
      </c>
      <c r="C347" s="43">
        <v>4014767</v>
      </c>
      <c r="D347" s="58" t="s">
        <v>528</v>
      </c>
      <c r="E347" s="58" t="s">
        <v>529</v>
      </c>
      <c r="F347" s="45"/>
      <c r="G347" s="45"/>
      <c r="H347" s="45"/>
      <c r="I347" s="45"/>
      <c r="J347" s="46">
        <f>IF(VLOOKUP($C347,REV!$C:$AA,8,0)-'TRADE IN'!$F347=0,"",(VLOOKUP($C347,REV!$C:$AA,8,0)-'TRADE IN'!$F347))</f>
        <v>749</v>
      </c>
      <c r="K347" s="46">
        <f>IF(VLOOKUP($C347,REV!$C:$AA,9,0)-'TRADE IN'!$F347=0,"",(VLOOKUP($C347,REV!$C:$AA,9,0)-'TRADE IN'!$F347))</f>
        <v>749</v>
      </c>
      <c r="L347" s="46">
        <f>IF(VLOOKUP($C347,REV!$C:$AA,10,0)-'TRADE IN'!$F347=0,"",(VLOOKUP($C347,REV!$C:$AA,10,0)-'TRADE IN'!$F347))</f>
        <v>749</v>
      </c>
      <c r="M347" s="46">
        <f>IF(VLOOKUP($C347,REV!$C:$AA,11,0)-'TRADE IN'!$F347=0,"",(VLOOKUP($C347,REV!$C:$AA,11,0)-'TRADE IN'!$F347))</f>
        <v>749</v>
      </c>
      <c r="N347" s="46">
        <f>IF(VLOOKUP($C347,REV!$C:$AA,12,0)-'TRADE IN'!$F347=0,"",(VLOOKUP($C347,REV!$C:$AA,12,0)-'TRADE IN'!$F347))</f>
        <v>749</v>
      </c>
      <c r="O347" s="46">
        <f>IF(VLOOKUP($C347,REV!$C:$AA,13,0)-'TRADE IN'!$F347=0,"",(VLOOKUP($C347,REV!$C:$AA,13,0)-'TRADE IN'!$F347))</f>
        <v>749</v>
      </c>
      <c r="P347" s="46">
        <f>IF(VLOOKUP($C347,REV!$C:$AA,14,0)-'TRADE IN'!$F347=0,"",(VLOOKUP($C347,REV!$C:$AA,14,0)-'TRADE IN'!$F347))</f>
        <v>749</v>
      </c>
      <c r="Q347" s="46">
        <f>IF(VLOOKUP($C347,REV!$C:$AA,15,0)-'TRADE IN'!$F347=0,"",(VLOOKUP($C347,REV!$C:$AA,15,0)-'TRADE IN'!$F347))</f>
        <v>749</v>
      </c>
      <c r="R347" s="46">
        <f>IF(VLOOKUP($C347,REV!$C:$AA,16,0)-'TRADE IN'!$F347=0,"",(VLOOKUP($C347,REV!$C:$AA,16,0)-'TRADE IN'!$F347))</f>
        <v>749</v>
      </c>
      <c r="S347" s="46">
        <f>IF(VLOOKUP($C347,REV!$C:$AA,17,0)-'TRADE IN'!$F347=0,"",(VLOOKUP($C347,REV!$C:$AA,17,0)-'TRADE IN'!$F347))</f>
        <v>749</v>
      </c>
      <c r="T347" s="46">
        <f>IF(VLOOKUP($C347,REV!$C:$AA,18,0)-'TRADE IN'!$F347=0,"",(VLOOKUP($C347,REV!$C:$AA,18,0)-'TRADE IN'!$F347))</f>
        <v>749</v>
      </c>
      <c r="U347" s="46">
        <f>IF(VLOOKUP($C347,REV!$C:$AA,19,0)-'TRADE IN'!$F347=0,"",(VLOOKUP($C347,REV!$C:$AA,19,0)-'TRADE IN'!$F347))</f>
        <v>749</v>
      </c>
      <c r="V347" s="46">
        <f>IF(VLOOKUP($C347,REV!$C:$AA,20,0)-'TRADE IN'!$F347=0,"",(VLOOKUP($C347,REV!$C:$AA,20,0)-'TRADE IN'!$F347))</f>
        <v>749</v>
      </c>
      <c r="W347" s="46">
        <f>IF(VLOOKUP($C347,REV!$C:$AA,21,0)-'TRADE IN'!$F347=0,"",(VLOOKUP($C347,REV!$C:$AA,21,0)-'TRADE IN'!$F347))</f>
        <v>749</v>
      </c>
      <c r="X347" s="46">
        <f>IF(VLOOKUP($C347,REV!$C:$AA,22,0)-'TRADE IN'!$F347=0,"",(VLOOKUP($C347,REV!$C:$AA,22,0)-'TRADE IN'!$F347))</f>
        <v>749</v>
      </c>
      <c r="Y347" s="46">
        <f>IF(VLOOKUP($C347,REV!$C:$AA,23,0)-'TRADE IN'!$F347=0,"",(VLOOKUP($C347,REV!$C:$AA,23,0)-'TRADE IN'!$F347))</f>
        <v>749</v>
      </c>
      <c r="Z347" s="46">
        <f>IF(VLOOKUP($C347,REV!$C:$AA,24,0)-'TRADE IN'!$F347=0,"",(VLOOKUP($C347,REV!$C:$AA,24,0)-'TRADE IN'!$F347))</f>
        <v>749</v>
      </c>
      <c r="AA347" s="46">
        <f>IF(VLOOKUP($C347,REV!$C:$AA,25,0)-'TRADE IN'!$F347=0,"",(VLOOKUP($C347,REV!$C:$AA,25,0)-'TRADE IN'!$F347))</f>
        <v>749</v>
      </c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7"/>
      <c r="AW347" s="48" t="str">
        <f>REV!AW347</f>
        <v>01.12.2026</v>
      </c>
      <c r="AX347" s="153" t="str">
        <f>VLOOKUP(C347,REV!C:AX,48,0)</f>
        <v>5G</v>
      </c>
    </row>
    <row r="348" spans="1:50" ht="22.5" customHeight="1">
      <c r="A348" s="41" t="s">
        <v>63</v>
      </c>
      <c r="B348" s="42" t="s">
        <v>64</v>
      </c>
      <c r="C348" s="43">
        <v>4014758</v>
      </c>
      <c r="D348" s="58" t="s">
        <v>528</v>
      </c>
      <c r="E348" s="58" t="s">
        <v>530</v>
      </c>
      <c r="F348" s="45"/>
      <c r="G348" s="45"/>
      <c r="H348" s="45"/>
      <c r="I348" s="45"/>
      <c r="J348" s="46">
        <f>IF(VLOOKUP($C348,REV!$C:$AA,8,0)-'TRADE IN'!$F348=0,"",(VLOOKUP($C348,REV!$C:$AA,8,0)-'TRADE IN'!$F348))</f>
        <v>749</v>
      </c>
      <c r="K348" s="46">
        <f>IF(VLOOKUP($C348,REV!$C:$AA,9,0)-'TRADE IN'!$F348=0,"",(VLOOKUP($C348,REV!$C:$AA,9,0)-'TRADE IN'!$F348))</f>
        <v>749</v>
      </c>
      <c r="L348" s="46">
        <f>IF(VLOOKUP($C348,REV!$C:$AA,10,0)-'TRADE IN'!$F348=0,"",(VLOOKUP($C348,REV!$C:$AA,10,0)-'TRADE IN'!$F348))</f>
        <v>749</v>
      </c>
      <c r="M348" s="46">
        <f>IF(VLOOKUP($C348,REV!$C:$AA,11,0)-'TRADE IN'!$F348=0,"",(VLOOKUP($C348,REV!$C:$AA,11,0)-'TRADE IN'!$F348))</f>
        <v>749</v>
      </c>
      <c r="N348" s="46">
        <f>IF(VLOOKUP($C348,REV!$C:$AA,12,0)-'TRADE IN'!$F348=0,"",(VLOOKUP($C348,REV!$C:$AA,12,0)-'TRADE IN'!$F348))</f>
        <v>749</v>
      </c>
      <c r="O348" s="46">
        <f>IF(VLOOKUP($C348,REV!$C:$AA,13,0)-'TRADE IN'!$F348=0,"",(VLOOKUP($C348,REV!$C:$AA,13,0)-'TRADE IN'!$F348))</f>
        <v>749</v>
      </c>
      <c r="P348" s="46">
        <f>IF(VLOOKUP($C348,REV!$C:$AA,14,0)-'TRADE IN'!$F348=0,"",(VLOOKUP($C348,REV!$C:$AA,14,0)-'TRADE IN'!$F348))</f>
        <v>749</v>
      </c>
      <c r="Q348" s="46">
        <f>IF(VLOOKUP($C348,REV!$C:$AA,15,0)-'TRADE IN'!$F348=0,"",(VLOOKUP($C348,REV!$C:$AA,15,0)-'TRADE IN'!$F348))</f>
        <v>749</v>
      </c>
      <c r="R348" s="46">
        <f>IF(VLOOKUP($C348,REV!$C:$AA,16,0)-'TRADE IN'!$F348=0,"",(VLOOKUP($C348,REV!$C:$AA,16,0)-'TRADE IN'!$F348))</f>
        <v>749</v>
      </c>
      <c r="S348" s="46">
        <f>IF(VLOOKUP($C348,REV!$C:$AA,17,0)-'TRADE IN'!$F348=0,"",(VLOOKUP($C348,REV!$C:$AA,17,0)-'TRADE IN'!$F348))</f>
        <v>749</v>
      </c>
      <c r="T348" s="46">
        <f>IF(VLOOKUP($C348,REV!$C:$AA,18,0)-'TRADE IN'!$F348=0,"",(VLOOKUP($C348,REV!$C:$AA,18,0)-'TRADE IN'!$F348))</f>
        <v>749</v>
      </c>
      <c r="U348" s="46">
        <f>IF(VLOOKUP($C348,REV!$C:$AA,19,0)-'TRADE IN'!$F348=0,"",(VLOOKUP($C348,REV!$C:$AA,19,0)-'TRADE IN'!$F348))</f>
        <v>749</v>
      </c>
      <c r="V348" s="46">
        <f>IF(VLOOKUP($C348,REV!$C:$AA,20,0)-'TRADE IN'!$F348=0,"",(VLOOKUP($C348,REV!$C:$AA,20,0)-'TRADE IN'!$F348))</f>
        <v>749</v>
      </c>
      <c r="W348" s="46">
        <f>IF(VLOOKUP($C348,REV!$C:$AA,21,0)-'TRADE IN'!$F348=0,"",(VLOOKUP($C348,REV!$C:$AA,21,0)-'TRADE IN'!$F348))</f>
        <v>749</v>
      </c>
      <c r="X348" s="46">
        <f>IF(VLOOKUP($C348,REV!$C:$AA,22,0)-'TRADE IN'!$F348=0,"",(VLOOKUP($C348,REV!$C:$AA,22,0)-'TRADE IN'!$F348))</f>
        <v>749</v>
      </c>
      <c r="Y348" s="46">
        <f>IF(VLOOKUP($C348,REV!$C:$AA,23,0)-'TRADE IN'!$F348=0,"",(VLOOKUP($C348,REV!$C:$AA,23,0)-'TRADE IN'!$F348))</f>
        <v>749</v>
      </c>
      <c r="Z348" s="46">
        <f>IF(VLOOKUP($C348,REV!$C:$AA,24,0)-'TRADE IN'!$F348=0,"",(VLOOKUP($C348,REV!$C:$AA,24,0)-'TRADE IN'!$F348))</f>
        <v>749</v>
      </c>
      <c r="AA348" s="46">
        <f>IF(VLOOKUP($C348,REV!$C:$AA,25,0)-'TRADE IN'!$F348=0,"",(VLOOKUP($C348,REV!$C:$AA,25,0)-'TRADE IN'!$F348))</f>
        <v>749</v>
      </c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7"/>
      <c r="AW348" s="48" t="str">
        <f>REV!AW348</f>
        <v>01.12.2026</v>
      </c>
      <c r="AX348" s="153" t="str">
        <f>VLOOKUP(C348,REV!C:AX,48,0)</f>
        <v>5G</v>
      </c>
    </row>
    <row r="349" spans="1:50" ht="22.5" customHeight="1">
      <c r="A349" s="41" t="s">
        <v>63</v>
      </c>
      <c r="B349" s="42" t="s">
        <v>64</v>
      </c>
      <c r="C349" s="43">
        <v>4014764</v>
      </c>
      <c r="D349" s="58" t="s">
        <v>528</v>
      </c>
      <c r="E349" s="58" t="s">
        <v>531</v>
      </c>
      <c r="F349" s="45"/>
      <c r="G349" s="45"/>
      <c r="H349" s="45"/>
      <c r="I349" s="45"/>
      <c r="J349" s="46">
        <f>IF(VLOOKUP($C349,REV!$C:$AA,8,0)-'TRADE IN'!$F349=0,"",(VLOOKUP($C349,REV!$C:$AA,8,0)-'TRADE IN'!$F349))</f>
        <v>749</v>
      </c>
      <c r="K349" s="46">
        <f>IF(VLOOKUP($C349,REV!$C:$AA,9,0)-'TRADE IN'!$F349=0,"",(VLOOKUP($C349,REV!$C:$AA,9,0)-'TRADE IN'!$F349))</f>
        <v>749</v>
      </c>
      <c r="L349" s="46">
        <f>IF(VLOOKUP($C349,REV!$C:$AA,10,0)-'TRADE IN'!$F349=0,"",(VLOOKUP($C349,REV!$C:$AA,10,0)-'TRADE IN'!$F349))</f>
        <v>749</v>
      </c>
      <c r="M349" s="46">
        <f>IF(VLOOKUP($C349,REV!$C:$AA,11,0)-'TRADE IN'!$F349=0,"",(VLOOKUP($C349,REV!$C:$AA,11,0)-'TRADE IN'!$F349))</f>
        <v>749</v>
      </c>
      <c r="N349" s="46">
        <f>IF(VLOOKUP($C349,REV!$C:$AA,12,0)-'TRADE IN'!$F349=0,"",(VLOOKUP($C349,REV!$C:$AA,12,0)-'TRADE IN'!$F349))</f>
        <v>749</v>
      </c>
      <c r="O349" s="46">
        <f>IF(VLOOKUP($C349,REV!$C:$AA,13,0)-'TRADE IN'!$F349=0,"",(VLOOKUP($C349,REV!$C:$AA,13,0)-'TRADE IN'!$F349))</f>
        <v>749</v>
      </c>
      <c r="P349" s="46">
        <f>IF(VLOOKUP($C349,REV!$C:$AA,14,0)-'TRADE IN'!$F349=0,"",(VLOOKUP($C349,REV!$C:$AA,14,0)-'TRADE IN'!$F349))</f>
        <v>749</v>
      </c>
      <c r="Q349" s="46">
        <f>IF(VLOOKUP($C349,REV!$C:$AA,15,0)-'TRADE IN'!$F349=0,"",(VLOOKUP($C349,REV!$C:$AA,15,0)-'TRADE IN'!$F349))</f>
        <v>749</v>
      </c>
      <c r="R349" s="46">
        <f>IF(VLOOKUP($C349,REV!$C:$AA,16,0)-'TRADE IN'!$F349=0,"",(VLOOKUP($C349,REV!$C:$AA,16,0)-'TRADE IN'!$F349))</f>
        <v>749</v>
      </c>
      <c r="S349" s="46">
        <f>IF(VLOOKUP($C349,REV!$C:$AA,17,0)-'TRADE IN'!$F349=0,"",(VLOOKUP($C349,REV!$C:$AA,17,0)-'TRADE IN'!$F349))</f>
        <v>749</v>
      </c>
      <c r="T349" s="46">
        <f>IF(VLOOKUP($C349,REV!$C:$AA,18,0)-'TRADE IN'!$F349=0,"",(VLOOKUP($C349,REV!$C:$AA,18,0)-'TRADE IN'!$F349))</f>
        <v>749</v>
      </c>
      <c r="U349" s="46">
        <f>IF(VLOOKUP($C349,REV!$C:$AA,19,0)-'TRADE IN'!$F349=0,"",(VLOOKUP($C349,REV!$C:$AA,19,0)-'TRADE IN'!$F349))</f>
        <v>749</v>
      </c>
      <c r="V349" s="46">
        <f>IF(VLOOKUP($C349,REV!$C:$AA,20,0)-'TRADE IN'!$F349=0,"",(VLOOKUP($C349,REV!$C:$AA,20,0)-'TRADE IN'!$F349))</f>
        <v>749</v>
      </c>
      <c r="W349" s="46">
        <f>IF(VLOOKUP($C349,REV!$C:$AA,21,0)-'TRADE IN'!$F349=0,"",(VLOOKUP($C349,REV!$C:$AA,21,0)-'TRADE IN'!$F349))</f>
        <v>749</v>
      </c>
      <c r="X349" s="46">
        <f>IF(VLOOKUP($C349,REV!$C:$AA,22,0)-'TRADE IN'!$F349=0,"",(VLOOKUP($C349,REV!$C:$AA,22,0)-'TRADE IN'!$F349))</f>
        <v>749</v>
      </c>
      <c r="Y349" s="46">
        <f>IF(VLOOKUP($C349,REV!$C:$AA,23,0)-'TRADE IN'!$F349=0,"",(VLOOKUP($C349,REV!$C:$AA,23,0)-'TRADE IN'!$F349))</f>
        <v>749</v>
      </c>
      <c r="Z349" s="46">
        <f>IF(VLOOKUP($C349,REV!$C:$AA,24,0)-'TRADE IN'!$F349=0,"",(VLOOKUP($C349,REV!$C:$AA,24,0)-'TRADE IN'!$F349))</f>
        <v>749</v>
      </c>
      <c r="AA349" s="46">
        <f>IF(VLOOKUP($C349,REV!$C:$AA,25,0)-'TRADE IN'!$F349=0,"",(VLOOKUP($C349,REV!$C:$AA,25,0)-'TRADE IN'!$F349))</f>
        <v>749</v>
      </c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7"/>
      <c r="AW349" s="48" t="str">
        <f>REV!AW349</f>
        <v>01.12.2026</v>
      </c>
      <c r="AX349" s="153" t="str">
        <f>VLOOKUP(C349,REV!C:AX,48,0)</f>
        <v>5G</v>
      </c>
    </row>
    <row r="350" spans="1:50" ht="22.5" customHeight="1">
      <c r="A350" s="41" t="s">
        <v>63</v>
      </c>
      <c r="B350" s="42" t="s">
        <v>64</v>
      </c>
      <c r="C350" s="43">
        <v>4014985</v>
      </c>
      <c r="D350" s="58" t="s">
        <v>528</v>
      </c>
      <c r="E350" s="58" t="s">
        <v>532</v>
      </c>
      <c r="F350" s="45"/>
      <c r="G350" s="45"/>
      <c r="H350" s="45"/>
      <c r="I350" s="45"/>
      <c r="J350" s="46">
        <f>IF(VLOOKUP($C350,REV!$C:$AA,8,0)-'TRADE IN'!$F350=0,"",(VLOOKUP($C350,REV!$C:$AA,8,0)-'TRADE IN'!$F350))</f>
        <v>749</v>
      </c>
      <c r="K350" s="46">
        <f>IF(VLOOKUP($C350,REV!$C:$AA,9,0)-'TRADE IN'!$F350=0,"",(VLOOKUP($C350,REV!$C:$AA,9,0)-'TRADE IN'!$F350))</f>
        <v>749</v>
      </c>
      <c r="L350" s="46">
        <f>IF(VLOOKUP($C350,REV!$C:$AA,10,0)-'TRADE IN'!$F350=0,"",(VLOOKUP($C350,REV!$C:$AA,10,0)-'TRADE IN'!$F350))</f>
        <v>749</v>
      </c>
      <c r="M350" s="46">
        <f>IF(VLOOKUP($C350,REV!$C:$AA,11,0)-'TRADE IN'!$F350=0,"",(VLOOKUP($C350,REV!$C:$AA,11,0)-'TRADE IN'!$F350))</f>
        <v>749</v>
      </c>
      <c r="N350" s="46">
        <f>IF(VLOOKUP($C350,REV!$C:$AA,12,0)-'TRADE IN'!$F350=0,"",(VLOOKUP($C350,REV!$C:$AA,12,0)-'TRADE IN'!$F350))</f>
        <v>749</v>
      </c>
      <c r="O350" s="46">
        <f>IF(VLOOKUP($C350,REV!$C:$AA,13,0)-'TRADE IN'!$F350=0,"",(VLOOKUP($C350,REV!$C:$AA,13,0)-'TRADE IN'!$F350))</f>
        <v>749</v>
      </c>
      <c r="P350" s="46">
        <f>IF(VLOOKUP($C350,REV!$C:$AA,14,0)-'TRADE IN'!$F350=0,"",(VLOOKUP($C350,REV!$C:$AA,14,0)-'TRADE IN'!$F350))</f>
        <v>749</v>
      </c>
      <c r="Q350" s="46">
        <f>IF(VLOOKUP($C350,REV!$C:$AA,15,0)-'TRADE IN'!$F350=0,"",(VLOOKUP($C350,REV!$C:$AA,15,0)-'TRADE IN'!$F350))</f>
        <v>749</v>
      </c>
      <c r="R350" s="46">
        <f>IF(VLOOKUP($C350,REV!$C:$AA,16,0)-'TRADE IN'!$F350=0,"",(VLOOKUP($C350,REV!$C:$AA,16,0)-'TRADE IN'!$F350))</f>
        <v>749</v>
      </c>
      <c r="S350" s="46">
        <f>IF(VLOOKUP($C350,REV!$C:$AA,17,0)-'TRADE IN'!$F350=0,"",(VLOOKUP($C350,REV!$C:$AA,17,0)-'TRADE IN'!$F350))</f>
        <v>749</v>
      </c>
      <c r="T350" s="46">
        <f>IF(VLOOKUP($C350,REV!$C:$AA,18,0)-'TRADE IN'!$F350=0,"",(VLOOKUP($C350,REV!$C:$AA,18,0)-'TRADE IN'!$F350))</f>
        <v>749</v>
      </c>
      <c r="U350" s="46">
        <f>IF(VLOOKUP($C350,REV!$C:$AA,19,0)-'TRADE IN'!$F350=0,"",(VLOOKUP($C350,REV!$C:$AA,19,0)-'TRADE IN'!$F350))</f>
        <v>749</v>
      </c>
      <c r="V350" s="46">
        <f>IF(VLOOKUP($C350,REV!$C:$AA,20,0)-'TRADE IN'!$F350=0,"",(VLOOKUP($C350,REV!$C:$AA,20,0)-'TRADE IN'!$F350))</f>
        <v>749</v>
      </c>
      <c r="W350" s="46">
        <f>IF(VLOOKUP($C350,REV!$C:$AA,21,0)-'TRADE IN'!$F350=0,"",(VLOOKUP($C350,REV!$C:$AA,21,0)-'TRADE IN'!$F350))</f>
        <v>749</v>
      </c>
      <c r="X350" s="46">
        <f>IF(VLOOKUP($C350,REV!$C:$AA,22,0)-'TRADE IN'!$F350=0,"",(VLOOKUP($C350,REV!$C:$AA,22,0)-'TRADE IN'!$F350))</f>
        <v>749</v>
      </c>
      <c r="Y350" s="46">
        <f>IF(VLOOKUP($C350,REV!$C:$AA,23,0)-'TRADE IN'!$F350=0,"",(VLOOKUP($C350,REV!$C:$AA,23,0)-'TRADE IN'!$F350))</f>
        <v>749</v>
      </c>
      <c r="Z350" s="46">
        <f>IF(VLOOKUP($C350,REV!$C:$AA,24,0)-'TRADE IN'!$F350=0,"",(VLOOKUP($C350,REV!$C:$AA,24,0)-'TRADE IN'!$F350))</f>
        <v>749</v>
      </c>
      <c r="AA350" s="46">
        <f>IF(VLOOKUP($C350,REV!$C:$AA,25,0)-'TRADE IN'!$F350=0,"",(VLOOKUP($C350,REV!$C:$AA,25,0)-'TRADE IN'!$F350))</f>
        <v>749</v>
      </c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7"/>
      <c r="AW350" s="48" t="str">
        <f>REV!AW350</f>
        <v>01.12.2026</v>
      </c>
      <c r="AX350" s="153" t="str">
        <f>VLOOKUP(C350,REV!C:AX,48,0)</f>
        <v>5G</v>
      </c>
    </row>
    <row r="351" spans="1:50" ht="22.5" customHeight="1">
      <c r="A351" s="41" t="s">
        <v>63</v>
      </c>
      <c r="B351" s="42" t="s">
        <v>64</v>
      </c>
      <c r="C351" s="43">
        <v>4014742</v>
      </c>
      <c r="D351" s="58" t="s">
        <v>533</v>
      </c>
      <c r="E351" s="58" t="s">
        <v>534</v>
      </c>
      <c r="F351" s="45"/>
      <c r="G351" s="45"/>
      <c r="H351" s="45"/>
      <c r="I351" s="45"/>
      <c r="J351" s="46">
        <f>IF(VLOOKUP($C351,REV!$C:$AA,8,0)-'TRADE IN'!$F351=0,"",(VLOOKUP($C351,REV!$C:$AA,8,0)-'TRADE IN'!$F351))</f>
        <v>799</v>
      </c>
      <c r="K351" s="46">
        <f>IF(VLOOKUP($C351,REV!$C:$AA,9,0)-'TRADE IN'!$F351=0,"",(VLOOKUP($C351,REV!$C:$AA,9,0)-'TRADE IN'!$F351))</f>
        <v>799</v>
      </c>
      <c r="L351" s="46">
        <f>IF(VLOOKUP($C351,REV!$C:$AA,10,0)-'TRADE IN'!$F351=0,"",(VLOOKUP($C351,REV!$C:$AA,10,0)-'TRADE IN'!$F351))</f>
        <v>799</v>
      </c>
      <c r="M351" s="46">
        <f>IF(VLOOKUP($C351,REV!$C:$AA,11,0)-'TRADE IN'!$F351=0,"",(VLOOKUP($C351,REV!$C:$AA,11,0)-'TRADE IN'!$F351))</f>
        <v>799</v>
      </c>
      <c r="N351" s="46">
        <f>IF(VLOOKUP($C351,REV!$C:$AA,12,0)-'TRADE IN'!$F351=0,"",(VLOOKUP($C351,REV!$C:$AA,12,0)-'TRADE IN'!$F351))</f>
        <v>799</v>
      </c>
      <c r="O351" s="46">
        <f>IF(VLOOKUP($C351,REV!$C:$AA,13,0)-'TRADE IN'!$F351=0,"",(VLOOKUP($C351,REV!$C:$AA,13,0)-'TRADE IN'!$F351))</f>
        <v>799</v>
      </c>
      <c r="P351" s="46">
        <f>IF(VLOOKUP($C351,REV!$C:$AA,14,0)-'TRADE IN'!$F351=0,"",(VLOOKUP($C351,REV!$C:$AA,14,0)-'TRADE IN'!$F351))</f>
        <v>799</v>
      </c>
      <c r="Q351" s="46">
        <f>IF(VLOOKUP($C351,REV!$C:$AA,15,0)-'TRADE IN'!$F351=0,"",(VLOOKUP($C351,REV!$C:$AA,15,0)-'TRADE IN'!$F351))</f>
        <v>799</v>
      </c>
      <c r="R351" s="46">
        <f>IF(VLOOKUP($C351,REV!$C:$AA,16,0)-'TRADE IN'!$F351=0,"",(VLOOKUP($C351,REV!$C:$AA,16,0)-'TRADE IN'!$F351))</f>
        <v>799</v>
      </c>
      <c r="S351" s="46">
        <f>IF(VLOOKUP($C351,REV!$C:$AA,17,0)-'TRADE IN'!$F351=0,"",(VLOOKUP($C351,REV!$C:$AA,17,0)-'TRADE IN'!$F351))</f>
        <v>799</v>
      </c>
      <c r="T351" s="46">
        <f>IF(VLOOKUP($C351,REV!$C:$AA,18,0)-'TRADE IN'!$F351=0,"",(VLOOKUP($C351,REV!$C:$AA,18,0)-'TRADE IN'!$F351))</f>
        <v>799</v>
      </c>
      <c r="U351" s="46">
        <f>IF(VLOOKUP($C351,REV!$C:$AA,19,0)-'TRADE IN'!$F351=0,"",(VLOOKUP($C351,REV!$C:$AA,19,0)-'TRADE IN'!$F351))</f>
        <v>799</v>
      </c>
      <c r="V351" s="46">
        <f>IF(VLOOKUP($C351,REV!$C:$AA,20,0)-'TRADE IN'!$F351=0,"",(VLOOKUP($C351,REV!$C:$AA,20,0)-'TRADE IN'!$F351))</f>
        <v>799</v>
      </c>
      <c r="W351" s="46">
        <f>IF(VLOOKUP($C351,REV!$C:$AA,21,0)-'TRADE IN'!$F351=0,"",(VLOOKUP($C351,REV!$C:$AA,21,0)-'TRADE IN'!$F351))</f>
        <v>799</v>
      </c>
      <c r="X351" s="46">
        <f>IF(VLOOKUP($C351,REV!$C:$AA,22,0)-'TRADE IN'!$F351=0,"",(VLOOKUP($C351,REV!$C:$AA,22,0)-'TRADE IN'!$F351))</f>
        <v>799</v>
      </c>
      <c r="Y351" s="46">
        <f>IF(VLOOKUP($C351,REV!$C:$AA,23,0)-'TRADE IN'!$F351=0,"",(VLOOKUP($C351,REV!$C:$AA,23,0)-'TRADE IN'!$F351))</f>
        <v>799</v>
      </c>
      <c r="Z351" s="46">
        <f>IF(VLOOKUP($C351,REV!$C:$AA,24,0)-'TRADE IN'!$F351=0,"",(VLOOKUP($C351,REV!$C:$AA,24,0)-'TRADE IN'!$F351))</f>
        <v>799</v>
      </c>
      <c r="AA351" s="46">
        <f>IF(VLOOKUP($C351,REV!$C:$AA,25,0)-'TRADE IN'!$F351=0,"",(VLOOKUP($C351,REV!$C:$AA,25,0)-'TRADE IN'!$F351))</f>
        <v>799</v>
      </c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7"/>
      <c r="AW351" s="48" t="str">
        <f>REV!AW351</f>
        <v>01.12.2026</v>
      </c>
      <c r="AX351" s="153" t="str">
        <f>VLOOKUP(C351,REV!C:AX,48,0)</f>
        <v>5G</v>
      </c>
    </row>
    <row r="352" spans="1:50" ht="22.5" customHeight="1">
      <c r="A352" s="41" t="s">
        <v>63</v>
      </c>
      <c r="B352" s="42" t="s">
        <v>64</v>
      </c>
      <c r="C352" s="43">
        <v>4014708</v>
      </c>
      <c r="D352" s="58" t="s">
        <v>533</v>
      </c>
      <c r="E352" s="58" t="s">
        <v>535</v>
      </c>
      <c r="F352" s="45"/>
      <c r="G352" s="45"/>
      <c r="H352" s="45"/>
      <c r="I352" s="45"/>
      <c r="J352" s="46">
        <f>IF(VLOOKUP($C352,REV!$C:$AA,8,0)-'TRADE IN'!$F352=0,"",(VLOOKUP($C352,REV!$C:$AA,8,0)-'TRADE IN'!$F352))</f>
        <v>799</v>
      </c>
      <c r="K352" s="46">
        <f>IF(VLOOKUP($C352,REV!$C:$AA,9,0)-'TRADE IN'!$F352=0,"",(VLOOKUP($C352,REV!$C:$AA,9,0)-'TRADE IN'!$F352))</f>
        <v>799</v>
      </c>
      <c r="L352" s="46">
        <f>IF(VLOOKUP($C352,REV!$C:$AA,10,0)-'TRADE IN'!$F352=0,"",(VLOOKUP($C352,REV!$C:$AA,10,0)-'TRADE IN'!$F352))</f>
        <v>799</v>
      </c>
      <c r="M352" s="46">
        <f>IF(VLOOKUP($C352,REV!$C:$AA,11,0)-'TRADE IN'!$F352=0,"",(VLOOKUP($C352,REV!$C:$AA,11,0)-'TRADE IN'!$F352))</f>
        <v>799</v>
      </c>
      <c r="N352" s="46">
        <f>IF(VLOOKUP($C352,REV!$C:$AA,12,0)-'TRADE IN'!$F352=0,"",(VLOOKUP($C352,REV!$C:$AA,12,0)-'TRADE IN'!$F352))</f>
        <v>799</v>
      </c>
      <c r="O352" s="46">
        <f>IF(VLOOKUP($C352,REV!$C:$AA,13,0)-'TRADE IN'!$F352=0,"",(VLOOKUP($C352,REV!$C:$AA,13,0)-'TRADE IN'!$F352))</f>
        <v>799</v>
      </c>
      <c r="P352" s="46">
        <f>IF(VLOOKUP($C352,REV!$C:$AA,14,0)-'TRADE IN'!$F352=0,"",(VLOOKUP($C352,REV!$C:$AA,14,0)-'TRADE IN'!$F352))</f>
        <v>799</v>
      </c>
      <c r="Q352" s="46">
        <f>IF(VLOOKUP($C352,REV!$C:$AA,15,0)-'TRADE IN'!$F352=0,"",(VLOOKUP($C352,REV!$C:$AA,15,0)-'TRADE IN'!$F352))</f>
        <v>799</v>
      </c>
      <c r="R352" s="46">
        <f>IF(VLOOKUP($C352,REV!$C:$AA,16,0)-'TRADE IN'!$F352=0,"",(VLOOKUP($C352,REV!$C:$AA,16,0)-'TRADE IN'!$F352))</f>
        <v>799</v>
      </c>
      <c r="S352" s="46">
        <f>IF(VLOOKUP($C352,REV!$C:$AA,17,0)-'TRADE IN'!$F352=0,"",(VLOOKUP($C352,REV!$C:$AA,17,0)-'TRADE IN'!$F352))</f>
        <v>799</v>
      </c>
      <c r="T352" s="46">
        <f>IF(VLOOKUP($C352,REV!$C:$AA,18,0)-'TRADE IN'!$F352=0,"",(VLOOKUP($C352,REV!$C:$AA,18,0)-'TRADE IN'!$F352))</f>
        <v>799</v>
      </c>
      <c r="U352" s="46">
        <f>IF(VLOOKUP($C352,REV!$C:$AA,19,0)-'TRADE IN'!$F352=0,"",(VLOOKUP($C352,REV!$C:$AA,19,0)-'TRADE IN'!$F352))</f>
        <v>799</v>
      </c>
      <c r="V352" s="46">
        <f>IF(VLOOKUP($C352,REV!$C:$AA,20,0)-'TRADE IN'!$F352=0,"",(VLOOKUP($C352,REV!$C:$AA,20,0)-'TRADE IN'!$F352))</f>
        <v>799</v>
      </c>
      <c r="W352" s="46">
        <f>IF(VLOOKUP($C352,REV!$C:$AA,21,0)-'TRADE IN'!$F352=0,"",(VLOOKUP($C352,REV!$C:$AA,21,0)-'TRADE IN'!$F352))</f>
        <v>799</v>
      </c>
      <c r="X352" s="46">
        <f>IF(VLOOKUP($C352,REV!$C:$AA,22,0)-'TRADE IN'!$F352=0,"",(VLOOKUP($C352,REV!$C:$AA,22,0)-'TRADE IN'!$F352))</f>
        <v>799</v>
      </c>
      <c r="Y352" s="46">
        <f>IF(VLOOKUP($C352,REV!$C:$AA,23,0)-'TRADE IN'!$F352=0,"",(VLOOKUP($C352,REV!$C:$AA,23,0)-'TRADE IN'!$F352))</f>
        <v>799</v>
      </c>
      <c r="Z352" s="46">
        <f>IF(VLOOKUP($C352,REV!$C:$AA,24,0)-'TRADE IN'!$F352=0,"",(VLOOKUP($C352,REV!$C:$AA,24,0)-'TRADE IN'!$F352))</f>
        <v>799</v>
      </c>
      <c r="AA352" s="46">
        <f>IF(VLOOKUP($C352,REV!$C:$AA,25,0)-'TRADE IN'!$F352=0,"",(VLOOKUP($C352,REV!$C:$AA,25,0)-'TRADE IN'!$F352))</f>
        <v>799</v>
      </c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7"/>
      <c r="AW352" s="48" t="str">
        <f>REV!AW352</f>
        <v>01.12.2026</v>
      </c>
      <c r="AX352" s="153" t="str">
        <f>VLOOKUP(C352,REV!C:AX,48,0)</f>
        <v>5G</v>
      </c>
    </row>
    <row r="353" spans="1:50" ht="22.5" customHeight="1">
      <c r="A353" s="41" t="s">
        <v>63</v>
      </c>
      <c r="B353" s="42" t="s">
        <v>64</v>
      </c>
      <c r="C353" s="43">
        <v>4015523</v>
      </c>
      <c r="D353" s="58" t="s">
        <v>533</v>
      </c>
      <c r="E353" s="58" t="s">
        <v>536</v>
      </c>
      <c r="F353" s="45"/>
      <c r="G353" s="45"/>
      <c r="H353" s="45"/>
      <c r="I353" s="45"/>
      <c r="J353" s="46">
        <f>IF(VLOOKUP($C353,REV!$C:$AA,8,0)-'TRADE IN'!$F353=0,"",(VLOOKUP($C353,REV!$C:$AA,8,0)-'TRADE IN'!$F353))</f>
        <v>799</v>
      </c>
      <c r="K353" s="46">
        <f>IF(VLOOKUP($C353,REV!$C:$AA,9,0)-'TRADE IN'!$F353=0,"",(VLOOKUP($C353,REV!$C:$AA,9,0)-'TRADE IN'!$F353))</f>
        <v>799</v>
      </c>
      <c r="L353" s="46">
        <f>IF(VLOOKUP($C353,REV!$C:$AA,10,0)-'TRADE IN'!$F353=0,"",(VLOOKUP($C353,REV!$C:$AA,10,0)-'TRADE IN'!$F353))</f>
        <v>799</v>
      </c>
      <c r="M353" s="46">
        <f>IF(VLOOKUP($C353,REV!$C:$AA,11,0)-'TRADE IN'!$F353=0,"",(VLOOKUP($C353,REV!$C:$AA,11,0)-'TRADE IN'!$F353))</f>
        <v>799</v>
      </c>
      <c r="N353" s="46">
        <f>IF(VLOOKUP($C353,REV!$C:$AA,12,0)-'TRADE IN'!$F353=0,"",(VLOOKUP($C353,REV!$C:$AA,12,0)-'TRADE IN'!$F353))</f>
        <v>799</v>
      </c>
      <c r="O353" s="46">
        <f>IF(VLOOKUP($C353,REV!$C:$AA,13,0)-'TRADE IN'!$F353=0,"",(VLOOKUP($C353,REV!$C:$AA,13,0)-'TRADE IN'!$F353))</f>
        <v>799</v>
      </c>
      <c r="P353" s="46">
        <f>IF(VLOOKUP($C353,REV!$C:$AA,14,0)-'TRADE IN'!$F353=0,"",(VLOOKUP($C353,REV!$C:$AA,14,0)-'TRADE IN'!$F353))</f>
        <v>799</v>
      </c>
      <c r="Q353" s="46">
        <f>IF(VLOOKUP($C353,REV!$C:$AA,15,0)-'TRADE IN'!$F353=0,"",(VLOOKUP($C353,REV!$C:$AA,15,0)-'TRADE IN'!$F353))</f>
        <v>799</v>
      </c>
      <c r="R353" s="46">
        <f>IF(VLOOKUP($C353,REV!$C:$AA,16,0)-'TRADE IN'!$F353=0,"",(VLOOKUP($C353,REV!$C:$AA,16,0)-'TRADE IN'!$F353))</f>
        <v>799</v>
      </c>
      <c r="S353" s="46">
        <f>IF(VLOOKUP($C353,REV!$C:$AA,17,0)-'TRADE IN'!$F353=0,"",(VLOOKUP($C353,REV!$C:$AA,17,0)-'TRADE IN'!$F353))</f>
        <v>799</v>
      </c>
      <c r="T353" s="46">
        <f>IF(VLOOKUP($C353,REV!$C:$AA,18,0)-'TRADE IN'!$F353=0,"",(VLOOKUP($C353,REV!$C:$AA,18,0)-'TRADE IN'!$F353))</f>
        <v>799</v>
      </c>
      <c r="U353" s="46">
        <f>IF(VLOOKUP($C353,REV!$C:$AA,19,0)-'TRADE IN'!$F353=0,"",(VLOOKUP($C353,REV!$C:$AA,19,0)-'TRADE IN'!$F353))</f>
        <v>799</v>
      </c>
      <c r="V353" s="46">
        <f>IF(VLOOKUP($C353,REV!$C:$AA,20,0)-'TRADE IN'!$F353=0,"",(VLOOKUP($C353,REV!$C:$AA,20,0)-'TRADE IN'!$F353))</f>
        <v>799</v>
      </c>
      <c r="W353" s="46">
        <f>IF(VLOOKUP($C353,REV!$C:$AA,21,0)-'TRADE IN'!$F353=0,"",(VLOOKUP($C353,REV!$C:$AA,21,0)-'TRADE IN'!$F353))</f>
        <v>799</v>
      </c>
      <c r="X353" s="46">
        <f>IF(VLOOKUP($C353,REV!$C:$AA,22,0)-'TRADE IN'!$F353=0,"",(VLOOKUP($C353,REV!$C:$AA,22,0)-'TRADE IN'!$F353))</f>
        <v>799</v>
      </c>
      <c r="Y353" s="46">
        <f>IF(VLOOKUP($C353,REV!$C:$AA,23,0)-'TRADE IN'!$F353=0,"",(VLOOKUP($C353,REV!$C:$AA,23,0)-'TRADE IN'!$F353))</f>
        <v>799</v>
      </c>
      <c r="Z353" s="46">
        <f>IF(VLOOKUP($C353,REV!$C:$AA,24,0)-'TRADE IN'!$F353=0,"",(VLOOKUP($C353,REV!$C:$AA,24,0)-'TRADE IN'!$F353))</f>
        <v>799</v>
      </c>
      <c r="AA353" s="46">
        <f>IF(VLOOKUP($C353,REV!$C:$AA,25,0)-'TRADE IN'!$F353=0,"",(VLOOKUP($C353,REV!$C:$AA,25,0)-'TRADE IN'!$F353))</f>
        <v>799</v>
      </c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7"/>
      <c r="AW353" s="48" t="str">
        <f>REV!AW353</f>
        <v>01.12.2026</v>
      </c>
      <c r="AX353" s="153" t="str">
        <f>VLOOKUP(C353,REV!C:AX,48,0)</f>
        <v>5G</v>
      </c>
    </row>
    <row r="354" spans="1:50" ht="22.5" customHeight="1">
      <c r="A354" s="41" t="s">
        <v>63</v>
      </c>
      <c r="B354" s="42" t="s">
        <v>64</v>
      </c>
      <c r="C354" s="43">
        <v>4015520</v>
      </c>
      <c r="D354" s="58" t="s">
        <v>533</v>
      </c>
      <c r="E354" s="58" t="s">
        <v>537</v>
      </c>
      <c r="F354" s="45"/>
      <c r="G354" s="45"/>
      <c r="H354" s="45"/>
      <c r="I354" s="45"/>
      <c r="J354" s="46">
        <f>IF(VLOOKUP($C354,REV!$C:$AA,8,0)-'TRADE IN'!$F354=0,"",(VLOOKUP($C354,REV!$C:$AA,8,0)-'TRADE IN'!$F354))</f>
        <v>799</v>
      </c>
      <c r="K354" s="46">
        <f>IF(VLOOKUP($C354,REV!$C:$AA,9,0)-'TRADE IN'!$F354=0,"",(VLOOKUP($C354,REV!$C:$AA,9,0)-'TRADE IN'!$F354))</f>
        <v>799</v>
      </c>
      <c r="L354" s="46">
        <f>IF(VLOOKUP($C354,REV!$C:$AA,10,0)-'TRADE IN'!$F354=0,"",(VLOOKUP($C354,REV!$C:$AA,10,0)-'TRADE IN'!$F354))</f>
        <v>799</v>
      </c>
      <c r="M354" s="46">
        <f>IF(VLOOKUP($C354,REV!$C:$AA,11,0)-'TRADE IN'!$F354=0,"",(VLOOKUP($C354,REV!$C:$AA,11,0)-'TRADE IN'!$F354))</f>
        <v>799</v>
      </c>
      <c r="N354" s="46">
        <f>IF(VLOOKUP($C354,REV!$C:$AA,12,0)-'TRADE IN'!$F354=0,"",(VLOOKUP($C354,REV!$C:$AA,12,0)-'TRADE IN'!$F354))</f>
        <v>799</v>
      </c>
      <c r="O354" s="46">
        <f>IF(VLOOKUP($C354,REV!$C:$AA,13,0)-'TRADE IN'!$F354=0,"",(VLOOKUP($C354,REV!$C:$AA,13,0)-'TRADE IN'!$F354))</f>
        <v>799</v>
      </c>
      <c r="P354" s="46">
        <f>IF(VLOOKUP($C354,REV!$C:$AA,14,0)-'TRADE IN'!$F354=0,"",(VLOOKUP($C354,REV!$C:$AA,14,0)-'TRADE IN'!$F354))</f>
        <v>799</v>
      </c>
      <c r="Q354" s="46">
        <f>IF(VLOOKUP($C354,REV!$C:$AA,15,0)-'TRADE IN'!$F354=0,"",(VLOOKUP($C354,REV!$C:$AA,15,0)-'TRADE IN'!$F354))</f>
        <v>799</v>
      </c>
      <c r="R354" s="46">
        <f>IF(VLOOKUP($C354,REV!$C:$AA,16,0)-'TRADE IN'!$F354=0,"",(VLOOKUP($C354,REV!$C:$AA,16,0)-'TRADE IN'!$F354))</f>
        <v>799</v>
      </c>
      <c r="S354" s="46">
        <f>IF(VLOOKUP($C354,REV!$C:$AA,17,0)-'TRADE IN'!$F354=0,"",(VLOOKUP($C354,REV!$C:$AA,17,0)-'TRADE IN'!$F354))</f>
        <v>799</v>
      </c>
      <c r="T354" s="46">
        <f>IF(VLOOKUP($C354,REV!$C:$AA,18,0)-'TRADE IN'!$F354=0,"",(VLOOKUP($C354,REV!$C:$AA,18,0)-'TRADE IN'!$F354))</f>
        <v>799</v>
      </c>
      <c r="U354" s="46">
        <f>IF(VLOOKUP($C354,REV!$C:$AA,19,0)-'TRADE IN'!$F354=0,"",(VLOOKUP($C354,REV!$C:$AA,19,0)-'TRADE IN'!$F354))</f>
        <v>799</v>
      </c>
      <c r="V354" s="46">
        <f>IF(VLOOKUP($C354,REV!$C:$AA,20,0)-'TRADE IN'!$F354=0,"",(VLOOKUP($C354,REV!$C:$AA,20,0)-'TRADE IN'!$F354))</f>
        <v>799</v>
      </c>
      <c r="W354" s="46">
        <f>IF(VLOOKUP($C354,REV!$C:$AA,21,0)-'TRADE IN'!$F354=0,"",(VLOOKUP($C354,REV!$C:$AA,21,0)-'TRADE IN'!$F354))</f>
        <v>799</v>
      </c>
      <c r="X354" s="46">
        <f>IF(VLOOKUP($C354,REV!$C:$AA,22,0)-'TRADE IN'!$F354=0,"",(VLOOKUP($C354,REV!$C:$AA,22,0)-'TRADE IN'!$F354))</f>
        <v>799</v>
      </c>
      <c r="Y354" s="46">
        <f>IF(VLOOKUP($C354,REV!$C:$AA,23,0)-'TRADE IN'!$F354=0,"",(VLOOKUP($C354,REV!$C:$AA,23,0)-'TRADE IN'!$F354))</f>
        <v>799</v>
      </c>
      <c r="Z354" s="46">
        <f>IF(VLOOKUP($C354,REV!$C:$AA,24,0)-'TRADE IN'!$F354=0,"",(VLOOKUP($C354,REV!$C:$AA,24,0)-'TRADE IN'!$F354))</f>
        <v>799</v>
      </c>
      <c r="AA354" s="46">
        <f>IF(VLOOKUP($C354,REV!$C:$AA,25,0)-'TRADE IN'!$F354=0,"",(VLOOKUP($C354,REV!$C:$AA,25,0)-'TRADE IN'!$F354))</f>
        <v>799</v>
      </c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7"/>
      <c r="AW354" s="48" t="str">
        <f>REV!AW354</f>
        <v>01.12.2026</v>
      </c>
      <c r="AX354" s="153" t="str">
        <f>VLOOKUP(C354,REV!C:AX,48,0)</f>
        <v>5G</v>
      </c>
    </row>
    <row r="355" spans="1:50" ht="22.5" customHeight="1">
      <c r="A355" s="41" t="s">
        <v>63</v>
      </c>
      <c r="B355" s="42" t="s">
        <v>64</v>
      </c>
      <c r="C355" s="43">
        <v>4014707</v>
      </c>
      <c r="D355" s="58" t="s">
        <v>538</v>
      </c>
      <c r="E355" s="58" t="s">
        <v>539</v>
      </c>
      <c r="F355" s="45"/>
      <c r="G355" s="45"/>
      <c r="H355" s="45"/>
      <c r="I355" s="45"/>
      <c r="J355" s="46">
        <f>IF(VLOOKUP($C355,REV!$C:$AA,8,0)-'TRADE IN'!$F355=0,"",(VLOOKUP($C355,REV!$C:$AA,8,0)-'TRADE IN'!$F355))</f>
        <v>1199</v>
      </c>
      <c r="K355" s="46">
        <f>IF(VLOOKUP($C355,REV!$C:$AA,9,0)-'TRADE IN'!$F355=0,"",(VLOOKUP($C355,REV!$C:$AA,9,0)-'TRADE IN'!$F355))</f>
        <v>1199</v>
      </c>
      <c r="L355" s="46">
        <f>IF(VLOOKUP($C355,REV!$C:$AA,10,0)-'TRADE IN'!$F355=0,"",(VLOOKUP($C355,REV!$C:$AA,10,0)-'TRADE IN'!$F355))</f>
        <v>1199</v>
      </c>
      <c r="M355" s="46">
        <f>IF(VLOOKUP($C355,REV!$C:$AA,11,0)-'TRADE IN'!$F355=0,"",(VLOOKUP($C355,REV!$C:$AA,11,0)-'TRADE IN'!$F355))</f>
        <v>1199</v>
      </c>
      <c r="N355" s="46">
        <f>IF(VLOOKUP($C355,REV!$C:$AA,12,0)-'TRADE IN'!$F355=0,"",(VLOOKUP($C355,REV!$C:$AA,12,0)-'TRADE IN'!$F355))</f>
        <v>1199</v>
      </c>
      <c r="O355" s="46">
        <f>IF(VLOOKUP($C355,REV!$C:$AA,13,0)-'TRADE IN'!$F355=0,"",(VLOOKUP($C355,REV!$C:$AA,13,0)-'TRADE IN'!$F355))</f>
        <v>1199</v>
      </c>
      <c r="P355" s="46">
        <f>IF(VLOOKUP($C355,REV!$C:$AA,14,0)-'TRADE IN'!$F355=0,"",(VLOOKUP($C355,REV!$C:$AA,14,0)-'TRADE IN'!$F355))</f>
        <v>1199</v>
      </c>
      <c r="Q355" s="46">
        <f>IF(VLOOKUP($C355,REV!$C:$AA,15,0)-'TRADE IN'!$F355=0,"",(VLOOKUP($C355,REV!$C:$AA,15,0)-'TRADE IN'!$F355))</f>
        <v>1099</v>
      </c>
      <c r="R355" s="46">
        <f>IF(VLOOKUP($C355,REV!$C:$AA,16,0)-'TRADE IN'!$F355=0,"",(VLOOKUP($C355,REV!$C:$AA,16,0)-'TRADE IN'!$F355))</f>
        <v>1199</v>
      </c>
      <c r="S355" s="46">
        <f>IF(VLOOKUP($C355,REV!$C:$AA,17,0)-'TRADE IN'!$F355=0,"",(VLOOKUP($C355,REV!$C:$AA,17,0)-'TRADE IN'!$F355))</f>
        <v>1199</v>
      </c>
      <c r="T355" s="46">
        <f>IF(VLOOKUP($C355,REV!$C:$AA,18,0)-'TRADE IN'!$F355=0,"",(VLOOKUP($C355,REV!$C:$AA,18,0)-'TRADE IN'!$F355))</f>
        <v>1099</v>
      </c>
      <c r="U355" s="46">
        <f>IF(VLOOKUP($C355,REV!$C:$AA,19,0)-'TRADE IN'!$F355=0,"",(VLOOKUP($C355,REV!$C:$AA,19,0)-'TRADE IN'!$F355))</f>
        <v>1099</v>
      </c>
      <c r="V355" s="46">
        <f>IF(VLOOKUP($C355,REV!$C:$AA,20,0)-'TRADE IN'!$F355=0,"",(VLOOKUP($C355,REV!$C:$AA,20,0)-'TRADE IN'!$F355))</f>
        <v>1099</v>
      </c>
      <c r="W355" s="46">
        <f>IF(VLOOKUP($C355,REV!$C:$AA,21,0)-'TRADE IN'!$F355=0,"",(VLOOKUP($C355,REV!$C:$AA,21,0)-'TRADE IN'!$F355))</f>
        <v>1099</v>
      </c>
      <c r="X355" s="46">
        <f>IF(VLOOKUP($C355,REV!$C:$AA,22,0)-'TRADE IN'!$F355=0,"",(VLOOKUP($C355,REV!$C:$AA,22,0)-'TRADE IN'!$F355))</f>
        <v>1099</v>
      </c>
      <c r="Y355" s="46">
        <f>IF(VLOOKUP($C355,REV!$C:$AA,23,0)-'TRADE IN'!$F355=0,"",(VLOOKUP($C355,REV!$C:$AA,23,0)-'TRADE IN'!$F355))</f>
        <v>1099</v>
      </c>
      <c r="Z355" s="46">
        <f>IF(VLOOKUP($C355,REV!$C:$AA,24,0)-'TRADE IN'!$F355=0,"",(VLOOKUP($C355,REV!$C:$AA,24,0)-'TRADE IN'!$F355))</f>
        <v>1099</v>
      </c>
      <c r="AA355" s="46">
        <f>IF(VLOOKUP($C355,REV!$C:$AA,25,0)-'TRADE IN'!$F355=0,"",(VLOOKUP($C355,REV!$C:$AA,25,0)-'TRADE IN'!$F355))</f>
        <v>1099</v>
      </c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7"/>
      <c r="AW355" s="48" t="str">
        <f>REV!AW355</f>
        <v>01.12.2026</v>
      </c>
      <c r="AX355" s="153" t="str">
        <f>VLOOKUP(C355,REV!C:AX,48,0)</f>
        <v>5G</v>
      </c>
    </row>
    <row r="356" spans="1:50" ht="22.5" customHeight="1">
      <c r="A356" s="41" t="s">
        <v>63</v>
      </c>
      <c r="B356" s="42" t="s">
        <v>64</v>
      </c>
      <c r="C356" s="43">
        <v>4014734</v>
      </c>
      <c r="D356" s="58" t="s">
        <v>538</v>
      </c>
      <c r="E356" s="58" t="s">
        <v>540</v>
      </c>
      <c r="F356" s="45"/>
      <c r="G356" s="45"/>
      <c r="H356" s="45"/>
      <c r="I356" s="45"/>
      <c r="J356" s="46">
        <f>IF(VLOOKUP($C356,REV!$C:$AA,8,0)-'TRADE IN'!$F356=0,"",(VLOOKUP($C356,REV!$C:$AA,8,0)-'TRADE IN'!$F356))</f>
        <v>1199</v>
      </c>
      <c r="K356" s="46">
        <f>IF(VLOOKUP($C356,REV!$C:$AA,9,0)-'TRADE IN'!$F356=0,"",(VLOOKUP($C356,REV!$C:$AA,9,0)-'TRADE IN'!$F356))</f>
        <v>1199</v>
      </c>
      <c r="L356" s="46">
        <f>IF(VLOOKUP($C356,REV!$C:$AA,10,0)-'TRADE IN'!$F356=0,"",(VLOOKUP($C356,REV!$C:$AA,10,0)-'TRADE IN'!$F356))</f>
        <v>1199</v>
      </c>
      <c r="M356" s="46">
        <f>IF(VLOOKUP($C356,REV!$C:$AA,11,0)-'TRADE IN'!$F356=0,"",(VLOOKUP($C356,REV!$C:$AA,11,0)-'TRADE IN'!$F356))</f>
        <v>1199</v>
      </c>
      <c r="N356" s="46">
        <f>IF(VLOOKUP($C356,REV!$C:$AA,12,0)-'TRADE IN'!$F356=0,"",(VLOOKUP($C356,REV!$C:$AA,12,0)-'TRADE IN'!$F356))</f>
        <v>1199</v>
      </c>
      <c r="O356" s="46">
        <f>IF(VLOOKUP($C356,REV!$C:$AA,13,0)-'TRADE IN'!$F356=0,"",(VLOOKUP($C356,REV!$C:$AA,13,0)-'TRADE IN'!$F356))</f>
        <v>1199</v>
      </c>
      <c r="P356" s="46">
        <f>IF(VLOOKUP($C356,REV!$C:$AA,14,0)-'TRADE IN'!$F356=0,"",(VLOOKUP($C356,REV!$C:$AA,14,0)-'TRADE IN'!$F356))</f>
        <v>1199</v>
      </c>
      <c r="Q356" s="46">
        <f>IF(VLOOKUP($C356,REV!$C:$AA,15,0)-'TRADE IN'!$F356=0,"",(VLOOKUP($C356,REV!$C:$AA,15,0)-'TRADE IN'!$F356))</f>
        <v>1099</v>
      </c>
      <c r="R356" s="46">
        <f>IF(VLOOKUP($C356,REV!$C:$AA,16,0)-'TRADE IN'!$F356=0,"",(VLOOKUP($C356,REV!$C:$AA,16,0)-'TRADE IN'!$F356))</f>
        <v>1199</v>
      </c>
      <c r="S356" s="46">
        <f>IF(VLOOKUP($C356,REV!$C:$AA,17,0)-'TRADE IN'!$F356=0,"",(VLOOKUP($C356,REV!$C:$AA,17,0)-'TRADE IN'!$F356))</f>
        <v>1199</v>
      </c>
      <c r="T356" s="46">
        <f>IF(VLOOKUP($C356,REV!$C:$AA,18,0)-'TRADE IN'!$F356=0,"",(VLOOKUP($C356,REV!$C:$AA,18,0)-'TRADE IN'!$F356))</f>
        <v>1099</v>
      </c>
      <c r="U356" s="46">
        <f>IF(VLOOKUP($C356,REV!$C:$AA,19,0)-'TRADE IN'!$F356=0,"",(VLOOKUP($C356,REV!$C:$AA,19,0)-'TRADE IN'!$F356))</f>
        <v>1099</v>
      </c>
      <c r="V356" s="46">
        <f>IF(VLOOKUP($C356,REV!$C:$AA,20,0)-'TRADE IN'!$F356=0,"",(VLOOKUP($C356,REV!$C:$AA,20,0)-'TRADE IN'!$F356))</f>
        <v>1099</v>
      </c>
      <c r="W356" s="46">
        <f>IF(VLOOKUP($C356,REV!$C:$AA,21,0)-'TRADE IN'!$F356=0,"",(VLOOKUP($C356,REV!$C:$AA,21,0)-'TRADE IN'!$F356))</f>
        <v>1099</v>
      </c>
      <c r="X356" s="46">
        <f>IF(VLOOKUP($C356,REV!$C:$AA,22,0)-'TRADE IN'!$F356=0,"",(VLOOKUP($C356,REV!$C:$AA,22,0)-'TRADE IN'!$F356))</f>
        <v>1099</v>
      </c>
      <c r="Y356" s="46">
        <f>IF(VLOOKUP($C356,REV!$C:$AA,23,0)-'TRADE IN'!$F356=0,"",(VLOOKUP($C356,REV!$C:$AA,23,0)-'TRADE IN'!$F356))</f>
        <v>1099</v>
      </c>
      <c r="Z356" s="46">
        <f>IF(VLOOKUP($C356,REV!$C:$AA,24,0)-'TRADE IN'!$F356=0,"",(VLOOKUP($C356,REV!$C:$AA,24,0)-'TRADE IN'!$F356))</f>
        <v>1099</v>
      </c>
      <c r="AA356" s="46">
        <f>IF(VLOOKUP($C356,REV!$C:$AA,25,0)-'TRADE IN'!$F356=0,"",(VLOOKUP($C356,REV!$C:$AA,25,0)-'TRADE IN'!$F356))</f>
        <v>1099</v>
      </c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7"/>
      <c r="AW356" s="48" t="str">
        <f>REV!AW356</f>
        <v>01.12.2026</v>
      </c>
      <c r="AX356" s="153" t="str">
        <f>VLOOKUP(C356,REV!C:AX,48,0)</f>
        <v>5G</v>
      </c>
    </row>
    <row r="357" spans="1:50" ht="22.5" customHeight="1">
      <c r="A357" s="41" t="s">
        <v>63</v>
      </c>
      <c r="B357" s="42" t="s">
        <v>64</v>
      </c>
      <c r="C357" s="43">
        <v>4015319</v>
      </c>
      <c r="D357" s="58" t="s">
        <v>541</v>
      </c>
      <c r="E357" s="58" t="s">
        <v>542</v>
      </c>
      <c r="F357" s="45"/>
      <c r="G357" s="45"/>
      <c r="H357" s="45"/>
      <c r="I357" s="45"/>
      <c r="J357" s="46">
        <f>IF(VLOOKUP($C357,REV!$C:$AA,8,0)-'TRADE IN'!$F357=0,"",(VLOOKUP($C357,REV!$C:$AA,8,0)-'TRADE IN'!$F357))</f>
        <v>2899</v>
      </c>
      <c r="K357" s="46">
        <f>IF(VLOOKUP($C357,REV!$C:$AA,9,0)-'TRADE IN'!$F357=0,"",(VLOOKUP($C357,REV!$C:$AA,9,0)-'TRADE IN'!$F357))</f>
        <v>2799</v>
      </c>
      <c r="L357" s="46">
        <f>IF(VLOOKUP($C357,REV!$C:$AA,10,0)-'TRADE IN'!$F357=0,"",(VLOOKUP($C357,REV!$C:$AA,10,0)-'TRADE IN'!$F357))</f>
        <v>2799</v>
      </c>
      <c r="M357" s="46">
        <f>IF(VLOOKUP($C357,REV!$C:$AA,11,0)-'TRADE IN'!$F357=0,"",(VLOOKUP($C357,REV!$C:$AA,11,0)-'TRADE IN'!$F357))</f>
        <v>2899</v>
      </c>
      <c r="N357" s="46">
        <f>IF(VLOOKUP($C357,REV!$C:$AA,12,0)-'TRADE IN'!$F357=0,"",(VLOOKUP($C357,REV!$C:$AA,12,0)-'TRADE IN'!$F357))</f>
        <v>2899</v>
      </c>
      <c r="O357" s="46">
        <f>IF(VLOOKUP($C357,REV!$C:$AA,13,0)-'TRADE IN'!$F357=0,"",(VLOOKUP($C357,REV!$C:$AA,13,0)-'TRADE IN'!$F357))</f>
        <v>2599</v>
      </c>
      <c r="P357" s="46">
        <f>IF(VLOOKUP($C357,REV!$C:$AA,14,0)-'TRADE IN'!$F357=0,"",(VLOOKUP($C357,REV!$C:$AA,14,0)-'TRADE IN'!$F357))</f>
        <v>2399</v>
      </c>
      <c r="Q357" s="46">
        <f>IF(VLOOKUP($C357,REV!$C:$AA,15,0)-'TRADE IN'!$F357=0,"",(VLOOKUP($C357,REV!$C:$AA,15,0)-'TRADE IN'!$F357))</f>
        <v>1599</v>
      </c>
      <c r="R357" s="46">
        <f>IF(VLOOKUP($C357,REV!$C:$AA,16,0)-'TRADE IN'!$F357=0,"",(VLOOKUP($C357,REV!$C:$AA,16,0)-'TRADE IN'!$F357))</f>
        <v>2599</v>
      </c>
      <c r="S357" s="46">
        <f>IF(VLOOKUP($C357,REV!$C:$AA,17,0)-'TRADE IN'!$F357=0,"",(VLOOKUP($C357,REV!$C:$AA,17,0)-'TRADE IN'!$F357))</f>
        <v>2399</v>
      </c>
      <c r="T357" s="46">
        <f>IF(VLOOKUP($C357,REV!$C:$AA,18,0)-'TRADE IN'!$F357=0,"",(VLOOKUP($C357,REV!$C:$AA,18,0)-'TRADE IN'!$F357))</f>
        <v>1599</v>
      </c>
      <c r="U357" s="46">
        <f>IF(VLOOKUP($C357,REV!$C:$AA,19,0)-'TRADE IN'!$F357=0,"",(VLOOKUP($C357,REV!$C:$AA,19,0)-'TRADE IN'!$F357))</f>
        <v>1599</v>
      </c>
      <c r="V357" s="46">
        <f>IF(VLOOKUP($C357,REV!$C:$AA,20,0)-'TRADE IN'!$F357=0,"",(VLOOKUP($C357,REV!$C:$AA,20,0)-'TRADE IN'!$F357))</f>
        <v>1599</v>
      </c>
      <c r="W357" s="46">
        <f>IF(VLOOKUP($C357,REV!$C:$AA,21,0)-'TRADE IN'!$F357=0,"",(VLOOKUP($C357,REV!$C:$AA,21,0)-'TRADE IN'!$F357))</f>
        <v>1599</v>
      </c>
      <c r="X357" s="46">
        <f>IF(VLOOKUP($C357,REV!$C:$AA,22,0)-'TRADE IN'!$F357=0,"",(VLOOKUP($C357,REV!$C:$AA,22,0)-'TRADE IN'!$F357))</f>
        <v>1499</v>
      </c>
      <c r="Y357" s="46">
        <f>IF(VLOOKUP($C357,REV!$C:$AA,23,0)-'TRADE IN'!$F357=0,"",(VLOOKUP($C357,REV!$C:$AA,23,0)-'TRADE IN'!$F357))</f>
        <v>1299</v>
      </c>
      <c r="Z357" s="46">
        <f>IF(VLOOKUP($C357,REV!$C:$AA,24,0)-'TRADE IN'!$F357=0,"",(VLOOKUP($C357,REV!$C:$AA,24,0)-'TRADE IN'!$F357))</f>
        <v>1299</v>
      </c>
      <c r="AA357" s="46">
        <f>IF(VLOOKUP($C357,REV!$C:$AA,25,0)-'TRADE IN'!$F357=0,"",(VLOOKUP($C357,REV!$C:$AA,25,0)-'TRADE IN'!$F357))</f>
        <v>1299</v>
      </c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7"/>
      <c r="AW357" s="48" t="str">
        <f>REV!AW357</f>
        <v>01.12.2026</v>
      </c>
      <c r="AX357" s="153" t="str">
        <f>VLOOKUP(C357,REV!C:AX,48,0)</f>
        <v>5G</v>
      </c>
    </row>
    <row r="358" spans="1:50" ht="22.5" customHeight="1">
      <c r="A358" s="41" t="s">
        <v>63</v>
      </c>
      <c r="B358" s="42" t="s">
        <v>64</v>
      </c>
      <c r="C358" s="43">
        <v>4015280</v>
      </c>
      <c r="D358" s="58" t="s">
        <v>541</v>
      </c>
      <c r="E358" s="58" t="s">
        <v>543</v>
      </c>
      <c r="F358" s="45"/>
      <c r="G358" s="45"/>
      <c r="H358" s="45"/>
      <c r="I358" s="45"/>
      <c r="J358" s="46">
        <f>IF(VLOOKUP($C358,REV!$C:$AA,8,0)-'TRADE IN'!$F358=0,"",(VLOOKUP($C358,REV!$C:$AA,8,0)-'TRADE IN'!$F358))</f>
        <v>2899</v>
      </c>
      <c r="K358" s="46">
        <f>IF(VLOOKUP($C358,REV!$C:$AA,9,0)-'TRADE IN'!$F358=0,"",(VLOOKUP($C358,REV!$C:$AA,9,0)-'TRADE IN'!$F358))</f>
        <v>2799</v>
      </c>
      <c r="L358" s="46">
        <f>IF(VLOOKUP($C358,REV!$C:$AA,10,0)-'TRADE IN'!$F358=0,"",(VLOOKUP($C358,REV!$C:$AA,10,0)-'TRADE IN'!$F358))</f>
        <v>2799</v>
      </c>
      <c r="M358" s="46">
        <f>IF(VLOOKUP($C358,REV!$C:$AA,11,0)-'TRADE IN'!$F358=0,"",(VLOOKUP($C358,REV!$C:$AA,11,0)-'TRADE IN'!$F358))</f>
        <v>2899</v>
      </c>
      <c r="N358" s="46">
        <f>IF(VLOOKUP($C358,REV!$C:$AA,12,0)-'TRADE IN'!$F358=0,"",(VLOOKUP($C358,REV!$C:$AA,12,0)-'TRADE IN'!$F358))</f>
        <v>2899</v>
      </c>
      <c r="O358" s="46">
        <f>IF(VLOOKUP($C358,REV!$C:$AA,13,0)-'TRADE IN'!$F358=0,"",(VLOOKUP($C358,REV!$C:$AA,13,0)-'TRADE IN'!$F358))</f>
        <v>2599</v>
      </c>
      <c r="P358" s="46">
        <f>IF(VLOOKUP($C358,REV!$C:$AA,14,0)-'TRADE IN'!$F358=0,"",(VLOOKUP($C358,REV!$C:$AA,14,0)-'TRADE IN'!$F358))</f>
        <v>2399</v>
      </c>
      <c r="Q358" s="46">
        <f>IF(VLOOKUP($C358,REV!$C:$AA,15,0)-'TRADE IN'!$F358=0,"",(VLOOKUP($C358,REV!$C:$AA,15,0)-'TRADE IN'!$F358))</f>
        <v>1599</v>
      </c>
      <c r="R358" s="46">
        <f>IF(VLOOKUP($C358,REV!$C:$AA,16,0)-'TRADE IN'!$F358=0,"",(VLOOKUP($C358,REV!$C:$AA,16,0)-'TRADE IN'!$F358))</f>
        <v>2599</v>
      </c>
      <c r="S358" s="46">
        <f>IF(VLOOKUP($C358,REV!$C:$AA,17,0)-'TRADE IN'!$F358=0,"",(VLOOKUP($C358,REV!$C:$AA,17,0)-'TRADE IN'!$F358))</f>
        <v>2399</v>
      </c>
      <c r="T358" s="46">
        <f>IF(VLOOKUP($C358,REV!$C:$AA,18,0)-'TRADE IN'!$F358=0,"",(VLOOKUP($C358,REV!$C:$AA,18,0)-'TRADE IN'!$F358))</f>
        <v>1599</v>
      </c>
      <c r="U358" s="46">
        <f>IF(VLOOKUP($C358,REV!$C:$AA,19,0)-'TRADE IN'!$F358=0,"",(VLOOKUP($C358,REV!$C:$AA,19,0)-'TRADE IN'!$F358))</f>
        <v>1599</v>
      </c>
      <c r="V358" s="46">
        <f>IF(VLOOKUP($C358,REV!$C:$AA,20,0)-'TRADE IN'!$F358=0,"",(VLOOKUP($C358,REV!$C:$AA,20,0)-'TRADE IN'!$F358))</f>
        <v>1599</v>
      </c>
      <c r="W358" s="46">
        <f>IF(VLOOKUP($C358,REV!$C:$AA,21,0)-'TRADE IN'!$F358=0,"",(VLOOKUP($C358,REV!$C:$AA,21,0)-'TRADE IN'!$F358))</f>
        <v>1599</v>
      </c>
      <c r="X358" s="46">
        <f>IF(VLOOKUP($C358,REV!$C:$AA,22,0)-'TRADE IN'!$F358=0,"",(VLOOKUP($C358,REV!$C:$AA,22,0)-'TRADE IN'!$F358))</f>
        <v>1499</v>
      </c>
      <c r="Y358" s="46">
        <f>IF(VLOOKUP($C358,REV!$C:$AA,23,0)-'TRADE IN'!$F358=0,"",(VLOOKUP($C358,REV!$C:$AA,23,0)-'TRADE IN'!$F358))</f>
        <v>1299</v>
      </c>
      <c r="Z358" s="46">
        <f>IF(VLOOKUP($C358,REV!$C:$AA,24,0)-'TRADE IN'!$F358=0,"",(VLOOKUP($C358,REV!$C:$AA,24,0)-'TRADE IN'!$F358))</f>
        <v>1299</v>
      </c>
      <c r="AA358" s="46">
        <f>IF(VLOOKUP($C358,REV!$C:$AA,25,0)-'TRADE IN'!$F358=0,"",(VLOOKUP($C358,REV!$C:$AA,25,0)-'TRADE IN'!$F358))</f>
        <v>1299</v>
      </c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7"/>
      <c r="AW358" s="48" t="str">
        <f>REV!AW358</f>
        <v>01.12.2026</v>
      </c>
      <c r="AX358" s="153" t="str">
        <f>VLOOKUP(C358,REV!C:AX,48,0)</f>
        <v>5G</v>
      </c>
    </row>
    <row r="359" spans="1:50" ht="22.5" customHeight="1">
      <c r="A359" s="41" t="s">
        <v>63</v>
      </c>
      <c r="B359" s="42" t="s">
        <v>64</v>
      </c>
      <c r="C359" s="43">
        <v>4015312</v>
      </c>
      <c r="D359" s="58" t="s">
        <v>541</v>
      </c>
      <c r="E359" s="58" t="s">
        <v>544</v>
      </c>
      <c r="F359" s="45"/>
      <c r="G359" s="45"/>
      <c r="H359" s="45"/>
      <c r="I359" s="45"/>
      <c r="J359" s="46">
        <f>IF(VLOOKUP($C359,REV!$C:$AA,8,0)-'TRADE IN'!$F359=0,"",(VLOOKUP($C359,REV!$C:$AA,8,0)-'TRADE IN'!$F359))</f>
        <v>2899</v>
      </c>
      <c r="K359" s="46">
        <f>IF(VLOOKUP($C359,REV!$C:$AA,9,0)-'TRADE IN'!$F359=0,"",(VLOOKUP($C359,REV!$C:$AA,9,0)-'TRADE IN'!$F359))</f>
        <v>2799</v>
      </c>
      <c r="L359" s="46">
        <f>IF(VLOOKUP($C359,REV!$C:$AA,10,0)-'TRADE IN'!$F359=0,"",(VLOOKUP($C359,REV!$C:$AA,10,0)-'TRADE IN'!$F359))</f>
        <v>2799</v>
      </c>
      <c r="M359" s="46">
        <f>IF(VLOOKUP($C359,REV!$C:$AA,11,0)-'TRADE IN'!$F359=0,"",(VLOOKUP($C359,REV!$C:$AA,11,0)-'TRADE IN'!$F359))</f>
        <v>2899</v>
      </c>
      <c r="N359" s="46">
        <f>IF(VLOOKUP($C359,REV!$C:$AA,12,0)-'TRADE IN'!$F359=0,"",(VLOOKUP($C359,REV!$C:$AA,12,0)-'TRADE IN'!$F359))</f>
        <v>2899</v>
      </c>
      <c r="O359" s="46">
        <f>IF(VLOOKUP($C359,REV!$C:$AA,13,0)-'TRADE IN'!$F359=0,"",(VLOOKUP($C359,REV!$C:$AA,13,0)-'TRADE IN'!$F359))</f>
        <v>2599</v>
      </c>
      <c r="P359" s="46">
        <f>IF(VLOOKUP($C359,REV!$C:$AA,14,0)-'TRADE IN'!$F359=0,"",(VLOOKUP($C359,REV!$C:$AA,14,0)-'TRADE IN'!$F359))</f>
        <v>2399</v>
      </c>
      <c r="Q359" s="46">
        <f>IF(VLOOKUP($C359,REV!$C:$AA,15,0)-'TRADE IN'!$F359=0,"",(VLOOKUP($C359,REV!$C:$AA,15,0)-'TRADE IN'!$F359))</f>
        <v>1599</v>
      </c>
      <c r="R359" s="46">
        <f>IF(VLOOKUP($C359,REV!$C:$AA,16,0)-'TRADE IN'!$F359=0,"",(VLOOKUP($C359,REV!$C:$AA,16,0)-'TRADE IN'!$F359))</f>
        <v>2599</v>
      </c>
      <c r="S359" s="46">
        <f>IF(VLOOKUP($C359,REV!$C:$AA,17,0)-'TRADE IN'!$F359=0,"",(VLOOKUP($C359,REV!$C:$AA,17,0)-'TRADE IN'!$F359))</f>
        <v>2399</v>
      </c>
      <c r="T359" s="46">
        <f>IF(VLOOKUP($C359,REV!$C:$AA,18,0)-'TRADE IN'!$F359=0,"",(VLOOKUP($C359,REV!$C:$AA,18,0)-'TRADE IN'!$F359))</f>
        <v>1599</v>
      </c>
      <c r="U359" s="46">
        <f>IF(VLOOKUP($C359,REV!$C:$AA,19,0)-'TRADE IN'!$F359=0,"",(VLOOKUP($C359,REV!$C:$AA,19,0)-'TRADE IN'!$F359))</f>
        <v>1599</v>
      </c>
      <c r="V359" s="46">
        <f>IF(VLOOKUP($C359,REV!$C:$AA,20,0)-'TRADE IN'!$F359=0,"",(VLOOKUP($C359,REV!$C:$AA,20,0)-'TRADE IN'!$F359))</f>
        <v>1599</v>
      </c>
      <c r="W359" s="46">
        <f>IF(VLOOKUP($C359,REV!$C:$AA,21,0)-'TRADE IN'!$F359=0,"",(VLOOKUP($C359,REV!$C:$AA,21,0)-'TRADE IN'!$F359))</f>
        <v>1599</v>
      </c>
      <c r="X359" s="46">
        <f>IF(VLOOKUP($C359,REV!$C:$AA,22,0)-'TRADE IN'!$F359=0,"",(VLOOKUP($C359,REV!$C:$AA,22,0)-'TRADE IN'!$F359))</f>
        <v>1499</v>
      </c>
      <c r="Y359" s="46">
        <f>IF(VLOOKUP($C359,REV!$C:$AA,23,0)-'TRADE IN'!$F359=0,"",(VLOOKUP($C359,REV!$C:$AA,23,0)-'TRADE IN'!$F359))</f>
        <v>1299</v>
      </c>
      <c r="Z359" s="46">
        <f>IF(VLOOKUP($C359,REV!$C:$AA,24,0)-'TRADE IN'!$F359=0,"",(VLOOKUP($C359,REV!$C:$AA,24,0)-'TRADE IN'!$F359))</f>
        <v>1299</v>
      </c>
      <c r="AA359" s="46">
        <f>IF(VLOOKUP($C359,REV!$C:$AA,25,0)-'TRADE IN'!$F359=0,"",(VLOOKUP($C359,REV!$C:$AA,25,0)-'TRADE IN'!$F359))</f>
        <v>1299</v>
      </c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7"/>
      <c r="AW359" s="48" t="str">
        <f>REV!AW359</f>
        <v>01.12.2026</v>
      </c>
      <c r="AX359" s="153" t="str">
        <f>VLOOKUP(C359,REV!C:AX,48,0)</f>
        <v>5G</v>
      </c>
    </row>
    <row r="360" spans="1:50" ht="22.5" customHeight="1">
      <c r="A360" s="41" t="s">
        <v>63</v>
      </c>
      <c r="B360" s="42" t="s">
        <v>64</v>
      </c>
      <c r="C360" s="43">
        <v>4015327</v>
      </c>
      <c r="D360" s="58" t="s">
        <v>541</v>
      </c>
      <c r="E360" s="58" t="s">
        <v>545</v>
      </c>
      <c r="F360" s="45"/>
      <c r="G360" s="45"/>
      <c r="H360" s="45"/>
      <c r="I360" s="45"/>
      <c r="J360" s="46">
        <f>IF(VLOOKUP($C360,REV!$C:$AA,8,0)-'TRADE IN'!$F360=0,"",(VLOOKUP($C360,REV!$C:$AA,8,0)-'TRADE IN'!$F360))</f>
        <v>2899</v>
      </c>
      <c r="K360" s="46">
        <f>IF(VLOOKUP($C360,REV!$C:$AA,9,0)-'TRADE IN'!$F360=0,"",(VLOOKUP($C360,REV!$C:$AA,9,0)-'TRADE IN'!$F360))</f>
        <v>2799</v>
      </c>
      <c r="L360" s="46">
        <f>IF(VLOOKUP($C360,REV!$C:$AA,10,0)-'TRADE IN'!$F360=0,"",(VLOOKUP($C360,REV!$C:$AA,10,0)-'TRADE IN'!$F360))</f>
        <v>2799</v>
      </c>
      <c r="M360" s="46">
        <f>IF(VLOOKUP($C360,REV!$C:$AA,11,0)-'TRADE IN'!$F360=0,"",(VLOOKUP($C360,REV!$C:$AA,11,0)-'TRADE IN'!$F360))</f>
        <v>2899</v>
      </c>
      <c r="N360" s="46">
        <f>IF(VLOOKUP($C360,REV!$C:$AA,12,0)-'TRADE IN'!$F360=0,"",(VLOOKUP($C360,REV!$C:$AA,12,0)-'TRADE IN'!$F360))</f>
        <v>2899</v>
      </c>
      <c r="O360" s="46">
        <f>IF(VLOOKUP($C360,REV!$C:$AA,13,0)-'TRADE IN'!$F360=0,"",(VLOOKUP($C360,REV!$C:$AA,13,0)-'TRADE IN'!$F360))</f>
        <v>2599</v>
      </c>
      <c r="P360" s="46">
        <f>IF(VLOOKUP($C360,REV!$C:$AA,14,0)-'TRADE IN'!$F360=0,"",(VLOOKUP($C360,REV!$C:$AA,14,0)-'TRADE IN'!$F360))</f>
        <v>2399</v>
      </c>
      <c r="Q360" s="46">
        <f>IF(VLOOKUP($C360,REV!$C:$AA,15,0)-'TRADE IN'!$F360=0,"",(VLOOKUP($C360,REV!$C:$AA,15,0)-'TRADE IN'!$F360))</f>
        <v>1599</v>
      </c>
      <c r="R360" s="46">
        <f>IF(VLOOKUP($C360,REV!$C:$AA,16,0)-'TRADE IN'!$F360=0,"",(VLOOKUP($C360,REV!$C:$AA,16,0)-'TRADE IN'!$F360))</f>
        <v>2599</v>
      </c>
      <c r="S360" s="46">
        <f>IF(VLOOKUP($C360,REV!$C:$AA,17,0)-'TRADE IN'!$F360=0,"",(VLOOKUP($C360,REV!$C:$AA,17,0)-'TRADE IN'!$F360))</f>
        <v>2399</v>
      </c>
      <c r="T360" s="46">
        <f>IF(VLOOKUP($C360,REV!$C:$AA,18,0)-'TRADE IN'!$F360=0,"",(VLOOKUP($C360,REV!$C:$AA,18,0)-'TRADE IN'!$F360))</f>
        <v>1599</v>
      </c>
      <c r="U360" s="46">
        <f>IF(VLOOKUP($C360,REV!$C:$AA,19,0)-'TRADE IN'!$F360=0,"",(VLOOKUP($C360,REV!$C:$AA,19,0)-'TRADE IN'!$F360))</f>
        <v>1599</v>
      </c>
      <c r="V360" s="46">
        <f>IF(VLOOKUP($C360,REV!$C:$AA,20,0)-'TRADE IN'!$F360=0,"",(VLOOKUP($C360,REV!$C:$AA,20,0)-'TRADE IN'!$F360))</f>
        <v>1599</v>
      </c>
      <c r="W360" s="46">
        <f>IF(VLOOKUP($C360,REV!$C:$AA,21,0)-'TRADE IN'!$F360=0,"",(VLOOKUP($C360,REV!$C:$AA,21,0)-'TRADE IN'!$F360))</f>
        <v>1599</v>
      </c>
      <c r="X360" s="46">
        <f>IF(VLOOKUP($C360,REV!$C:$AA,22,0)-'TRADE IN'!$F360=0,"",(VLOOKUP($C360,REV!$C:$AA,22,0)-'TRADE IN'!$F360))</f>
        <v>1499</v>
      </c>
      <c r="Y360" s="46">
        <f>IF(VLOOKUP($C360,REV!$C:$AA,23,0)-'TRADE IN'!$F360=0,"",(VLOOKUP($C360,REV!$C:$AA,23,0)-'TRADE IN'!$F360))</f>
        <v>1299</v>
      </c>
      <c r="Z360" s="46">
        <f>IF(VLOOKUP($C360,REV!$C:$AA,24,0)-'TRADE IN'!$F360=0,"",(VLOOKUP($C360,REV!$C:$AA,24,0)-'TRADE IN'!$F360))</f>
        <v>1299</v>
      </c>
      <c r="AA360" s="46">
        <f>IF(VLOOKUP($C360,REV!$C:$AA,25,0)-'TRADE IN'!$F360=0,"",(VLOOKUP($C360,REV!$C:$AA,25,0)-'TRADE IN'!$F360))</f>
        <v>1299</v>
      </c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7"/>
      <c r="AW360" s="48" t="str">
        <f>REV!AW360</f>
        <v>01.12.2026</v>
      </c>
      <c r="AX360" s="153" t="str">
        <f>VLOOKUP(C360,REV!C:AX,48,0)</f>
        <v>5G</v>
      </c>
    </row>
    <row r="361" spans="1:50" ht="22.5" customHeight="1">
      <c r="A361" s="41" t="s">
        <v>63</v>
      </c>
      <c r="B361" s="42" t="s">
        <v>64</v>
      </c>
      <c r="C361" s="43">
        <v>4015291</v>
      </c>
      <c r="D361" s="58" t="s">
        <v>546</v>
      </c>
      <c r="E361" s="58" t="s">
        <v>547</v>
      </c>
      <c r="F361" s="45"/>
      <c r="G361" s="45"/>
      <c r="H361" s="45"/>
      <c r="I361" s="45"/>
      <c r="J361" s="46">
        <f>IF(VLOOKUP($C361,REV!$C:$AA,8,0)-'TRADE IN'!$F361=0,"",(VLOOKUP($C361,REV!$C:$AA,8,0)-'TRADE IN'!$F361))</f>
        <v>4099</v>
      </c>
      <c r="K361" s="46">
        <f>IF(VLOOKUP($C361,REV!$C:$AA,9,0)-'TRADE IN'!$F361=0,"",(VLOOKUP($C361,REV!$C:$AA,9,0)-'TRADE IN'!$F361))</f>
        <v>3999</v>
      </c>
      <c r="L361" s="46">
        <f>IF(VLOOKUP($C361,REV!$C:$AA,10,0)-'TRADE IN'!$F361=0,"",(VLOOKUP($C361,REV!$C:$AA,10,0)-'TRADE IN'!$F361))</f>
        <v>3999</v>
      </c>
      <c r="M361" s="46">
        <f>IF(VLOOKUP($C361,REV!$C:$AA,11,0)-'TRADE IN'!$F361=0,"",(VLOOKUP($C361,REV!$C:$AA,11,0)-'TRADE IN'!$F361))</f>
        <v>4099</v>
      </c>
      <c r="N361" s="46">
        <f>IF(VLOOKUP($C361,REV!$C:$AA,12,0)-'TRADE IN'!$F361=0,"",(VLOOKUP($C361,REV!$C:$AA,12,0)-'TRADE IN'!$F361))</f>
        <v>4099</v>
      </c>
      <c r="O361" s="46">
        <f>IF(VLOOKUP($C361,REV!$C:$AA,13,0)-'TRADE IN'!$F361=0,"",(VLOOKUP($C361,REV!$C:$AA,13,0)-'TRADE IN'!$F361))</f>
        <v>3899</v>
      </c>
      <c r="P361" s="46">
        <f>IF(VLOOKUP($C361,REV!$C:$AA,14,0)-'TRADE IN'!$F361=0,"",(VLOOKUP($C361,REV!$C:$AA,14,0)-'TRADE IN'!$F361))</f>
        <v>3799</v>
      </c>
      <c r="Q361" s="46">
        <f>IF(VLOOKUP($C361,REV!$C:$AA,15,0)-'TRADE IN'!$F361=0,"",(VLOOKUP($C361,REV!$C:$AA,15,0)-'TRADE IN'!$F361))</f>
        <v>3399</v>
      </c>
      <c r="R361" s="46">
        <f>IF(VLOOKUP($C361,REV!$C:$AA,16,0)-'TRADE IN'!$F361=0,"",(VLOOKUP($C361,REV!$C:$AA,16,0)-'TRADE IN'!$F361))</f>
        <v>3899</v>
      </c>
      <c r="S361" s="46">
        <f>IF(VLOOKUP($C361,REV!$C:$AA,17,0)-'TRADE IN'!$F361=0,"",(VLOOKUP($C361,REV!$C:$AA,17,0)-'TRADE IN'!$F361))</f>
        <v>3799</v>
      </c>
      <c r="T361" s="46">
        <f>IF(VLOOKUP($C361,REV!$C:$AA,18,0)-'TRADE IN'!$F361=0,"",(VLOOKUP($C361,REV!$C:$AA,18,0)-'TRADE IN'!$F361))</f>
        <v>3399</v>
      </c>
      <c r="U361" s="46">
        <f>IF(VLOOKUP($C361,REV!$C:$AA,19,0)-'TRADE IN'!$F361=0,"",(VLOOKUP($C361,REV!$C:$AA,19,0)-'TRADE IN'!$F361))</f>
        <v>3399</v>
      </c>
      <c r="V361" s="46">
        <f>IF(VLOOKUP($C361,REV!$C:$AA,20,0)-'TRADE IN'!$F361=0,"",(VLOOKUP($C361,REV!$C:$AA,20,0)-'TRADE IN'!$F361))</f>
        <v>3399</v>
      </c>
      <c r="W361" s="46">
        <f>IF(VLOOKUP($C361,REV!$C:$AA,21,0)-'TRADE IN'!$F361=0,"",(VLOOKUP($C361,REV!$C:$AA,21,0)-'TRADE IN'!$F361))</f>
        <v>3399</v>
      </c>
      <c r="X361" s="46">
        <f>IF(VLOOKUP($C361,REV!$C:$AA,22,0)-'TRADE IN'!$F361=0,"",(VLOOKUP($C361,REV!$C:$AA,22,0)-'TRADE IN'!$F361))</f>
        <v>3299</v>
      </c>
      <c r="Y361" s="46">
        <f>IF(VLOOKUP($C361,REV!$C:$AA,23,0)-'TRADE IN'!$F361=0,"",(VLOOKUP($C361,REV!$C:$AA,23,0)-'TRADE IN'!$F361))</f>
        <v>2899</v>
      </c>
      <c r="Z361" s="46">
        <f>IF(VLOOKUP($C361,REV!$C:$AA,24,0)-'TRADE IN'!$F361=0,"",(VLOOKUP($C361,REV!$C:$AA,24,0)-'TRADE IN'!$F361))</f>
        <v>2899</v>
      </c>
      <c r="AA361" s="46">
        <f>IF(VLOOKUP($C361,REV!$C:$AA,25,0)-'TRADE IN'!$F361=0,"",(VLOOKUP($C361,REV!$C:$AA,25,0)-'TRADE IN'!$F361))</f>
        <v>2899</v>
      </c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7"/>
      <c r="AW361" s="48" t="str">
        <f>REV!AW361</f>
        <v>01.12.2026</v>
      </c>
      <c r="AX361" s="153" t="str">
        <f>VLOOKUP(C361,REV!C:AX,48,0)</f>
        <v>5G</v>
      </c>
    </row>
    <row r="362" spans="1:50" ht="22.5" customHeight="1">
      <c r="A362" s="41" t="s">
        <v>63</v>
      </c>
      <c r="B362" s="42" t="s">
        <v>64</v>
      </c>
      <c r="C362" s="43">
        <v>4015322</v>
      </c>
      <c r="D362" s="58" t="s">
        <v>546</v>
      </c>
      <c r="E362" s="58" t="s">
        <v>548</v>
      </c>
      <c r="F362" s="45"/>
      <c r="G362" s="45"/>
      <c r="H362" s="45"/>
      <c r="I362" s="45"/>
      <c r="J362" s="46">
        <f>IF(VLOOKUP($C362,REV!$C:$AA,8,0)-'TRADE IN'!$F362=0,"",(VLOOKUP($C362,REV!$C:$AA,8,0)-'TRADE IN'!$F362))</f>
        <v>4099</v>
      </c>
      <c r="K362" s="46">
        <f>IF(VLOOKUP($C362,REV!$C:$AA,9,0)-'TRADE IN'!$F362=0,"",(VLOOKUP($C362,REV!$C:$AA,9,0)-'TRADE IN'!$F362))</f>
        <v>3999</v>
      </c>
      <c r="L362" s="46">
        <f>IF(VLOOKUP($C362,REV!$C:$AA,10,0)-'TRADE IN'!$F362=0,"",(VLOOKUP($C362,REV!$C:$AA,10,0)-'TRADE IN'!$F362))</f>
        <v>3999</v>
      </c>
      <c r="M362" s="46">
        <f>IF(VLOOKUP($C362,REV!$C:$AA,11,0)-'TRADE IN'!$F362=0,"",(VLOOKUP($C362,REV!$C:$AA,11,0)-'TRADE IN'!$F362))</f>
        <v>4099</v>
      </c>
      <c r="N362" s="46">
        <f>IF(VLOOKUP($C362,REV!$C:$AA,12,0)-'TRADE IN'!$F362=0,"",(VLOOKUP($C362,REV!$C:$AA,12,0)-'TRADE IN'!$F362))</f>
        <v>4099</v>
      </c>
      <c r="O362" s="46">
        <f>IF(VLOOKUP($C362,REV!$C:$AA,13,0)-'TRADE IN'!$F362=0,"",(VLOOKUP($C362,REV!$C:$AA,13,0)-'TRADE IN'!$F362))</f>
        <v>3899</v>
      </c>
      <c r="P362" s="46">
        <f>IF(VLOOKUP($C362,REV!$C:$AA,14,0)-'TRADE IN'!$F362=0,"",(VLOOKUP($C362,REV!$C:$AA,14,0)-'TRADE IN'!$F362))</f>
        <v>3799</v>
      </c>
      <c r="Q362" s="46">
        <f>IF(VLOOKUP($C362,REV!$C:$AA,15,0)-'TRADE IN'!$F362=0,"",(VLOOKUP($C362,REV!$C:$AA,15,0)-'TRADE IN'!$F362))</f>
        <v>3399</v>
      </c>
      <c r="R362" s="46">
        <f>IF(VLOOKUP($C362,REV!$C:$AA,16,0)-'TRADE IN'!$F362=0,"",(VLOOKUP($C362,REV!$C:$AA,16,0)-'TRADE IN'!$F362))</f>
        <v>3899</v>
      </c>
      <c r="S362" s="46">
        <f>IF(VLOOKUP($C362,REV!$C:$AA,17,0)-'TRADE IN'!$F362=0,"",(VLOOKUP($C362,REV!$C:$AA,17,0)-'TRADE IN'!$F362))</f>
        <v>3799</v>
      </c>
      <c r="T362" s="46">
        <f>IF(VLOOKUP($C362,REV!$C:$AA,18,0)-'TRADE IN'!$F362=0,"",(VLOOKUP($C362,REV!$C:$AA,18,0)-'TRADE IN'!$F362))</f>
        <v>3399</v>
      </c>
      <c r="U362" s="46">
        <f>IF(VLOOKUP($C362,REV!$C:$AA,19,0)-'TRADE IN'!$F362=0,"",(VLOOKUP($C362,REV!$C:$AA,19,0)-'TRADE IN'!$F362))</f>
        <v>3399</v>
      </c>
      <c r="V362" s="46">
        <f>IF(VLOOKUP($C362,REV!$C:$AA,20,0)-'TRADE IN'!$F362=0,"",(VLOOKUP($C362,REV!$C:$AA,20,0)-'TRADE IN'!$F362))</f>
        <v>3399</v>
      </c>
      <c r="W362" s="46">
        <f>IF(VLOOKUP($C362,REV!$C:$AA,21,0)-'TRADE IN'!$F362=0,"",(VLOOKUP($C362,REV!$C:$AA,21,0)-'TRADE IN'!$F362))</f>
        <v>3399</v>
      </c>
      <c r="X362" s="46">
        <f>IF(VLOOKUP($C362,REV!$C:$AA,22,0)-'TRADE IN'!$F362=0,"",(VLOOKUP($C362,REV!$C:$AA,22,0)-'TRADE IN'!$F362))</f>
        <v>3299</v>
      </c>
      <c r="Y362" s="46">
        <f>IF(VLOOKUP($C362,REV!$C:$AA,23,0)-'TRADE IN'!$F362=0,"",(VLOOKUP($C362,REV!$C:$AA,23,0)-'TRADE IN'!$F362))</f>
        <v>2899</v>
      </c>
      <c r="Z362" s="46">
        <f>IF(VLOOKUP($C362,REV!$C:$AA,24,0)-'TRADE IN'!$F362=0,"",(VLOOKUP($C362,REV!$C:$AA,24,0)-'TRADE IN'!$F362))</f>
        <v>2899</v>
      </c>
      <c r="AA362" s="46">
        <f>IF(VLOOKUP($C362,REV!$C:$AA,25,0)-'TRADE IN'!$F362=0,"",(VLOOKUP($C362,REV!$C:$AA,25,0)-'TRADE IN'!$F362))</f>
        <v>2899</v>
      </c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7"/>
      <c r="AW362" s="48" t="str">
        <f>REV!AW362</f>
        <v>01.12.2026</v>
      </c>
      <c r="AX362" s="153" t="str">
        <f>VLOOKUP(C362,REV!C:AX,48,0)</f>
        <v>5G</v>
      </c>
    </row>
    <row r="363" spans="1:50" ht="22.5" customHeight="1">
      <c r="A363" s="41" t="s">
        <v>63</v>
      </c>
      <c r="B363" s="42" t="s">
        <v>64</v>
      </c>
      <c r="C363" s="43">
        <v>4015282</v>
      </c>
      <c r="D363" s="58" t="s">
        <v>546</v>
      </c>
      <c r="E363" s="58" t="s">
        <v>549</v>
      </c>
      <c r="F363" s="45"/>
      <c r="G363" s="45"/>
      <c r="H363" s="45"/>
      <c r="I363" s="45"/>
      <c r="J363" s="46">
        <f>IF(VLOOKUP($C363,REV!$C:$AA,8,0)-'TRADE IN'!$F363=0,"",(VLOOKUP($C363,REV!$C:$AA,8,0)-'TRADE IN'!$F363))</f>
        <v>4099</v>
      </c>
      <c r="K363" s="46">
        <f>IF(VLOOKUP($C363,REV!$C:$AA,9,0)-'TRADE IN'!$F363=0,"",(VLOOKUP($C363,REV!$C:$AA,9,0)-'TRADE IN'!$F363))</f>
        <v>3999</v>
      </c>
      <c r="L363" s="46">
        <f>IF(VLOOKUP($C363,REV!$C:$AA,10,0)-'TRADE IN'!$F363=0,"",(VLOOKUP($C363,REV!$C:$AA,10,0)-'TRADE IN'!$F363))</f>
        <v>3999</v>
      </c>
      <c r="M363" s="46">
        <f>IF(VLOOKUP($C363,REV!$C:$AA,11,0)-'TRADE IN'!$F363=0,"",(VLOOKUP($C363,REV!$C:$AA,11,0)-'TRADE IN'!$F363))</f>
        <v>4099</v>
      </c>
      <c r="N363" s="46">
        <f>IF(VLOOKUP($C363,REV!$C:$AA,12,0)-'TRADE IN'!$F363=0,"",(VLOOKUP($C363,REV!$C:$AA,12,0)-'TRADE IN'!$F363))</f>
        <v>4099</v>
      </c>
      <c r="O363" s="46">
        <f>IF(VLOOKUP($C363,REV!$C:$AA,13,0)-'TRADE IN'!$F363=0,"",(VLOOKUP($C363,REV!$C:$AA,13,0)-'TRADE IN'!$F363))</f>
        <v>3899</v>
      </c>
      <c r="P363" s="46">
        <f>IF(VLOOKUP($C363,REV!$C:$AA,14,0)-'TRADE IN'!$F363=0,"",(VLOOKUP($C363,REV!$C:$AA,14,0)-'TRADE IN'!$F363))</f>
        <v>3799</v>
      </c>
      <c r="Q363" s="46">
        <f>IF(VLOOKUP($C363,REV!$C:$AA,15,0)-'TRADE IN'!$F363=0,"",(VLOOKUP($C363,REV!$C:$AA,15,0)-'TRADE IN'!$F363))</f>
        <v>3399</v>
      </c>
      <c r="R363" s="46">
        <f>IF(VLOOKUP($C363,REV!$C:$AA,16,0)-'TRADE IN'!$F363=0,"",(VLOOKUP($C363,REV!$C:$AA,16,0)-'TRADE IN'!$F363))</f>
        <v>3899</v>
      </c>
      <c r="S363" s="46">
        <f>IF(VLOOKUP($C363,REV!$C:$AA,17,0)-'TRADE IN'!$F363=0,"",(VLOOKUP($C363,REV!$C:$AA,17,0)-'TRADE IN'!$F363))</f>
        <v>3799</v>
      </c>
      <c r="T363" s="46">
        <f>IF(VLOOKUP($C363,REV!$C:$AA,18,0)-'TRADE IN'!$F363=0,"",(VLOOKUP($C363,REV!$C:$AA,18,0)-'TRADE IN'!$F363))</f>
        <v>3399</v>
      </c>
      <c r="U363" s="46">
        <f>IF(VLOOKUP($C363,REV!$C:$AA,19,0)-'TRADE IN'!$F363=0,"",(VLOOKUP($C363,REV!$C:$AA,19,0)-'TRADE IN'!$F363))</f>
        <v>3399</v>
      </c>
      <c r="V363" s="46">
        <f>IF(VLOOKUP($C363,REV!$C:$AA,20,0)-'TRADE IN'!$F363=0,"",(VLOOKUP($C363,REV!$C:$AA,20,0)-'TRADE IN'!$F363))</f>
        <v>3399</v>
      </c>
      <c r="W363" s="46">
        <f>IF(VLOOKUP($C363,REV!$C:$AA,21,0)-'TRADE IN'!$F363=0,"",(VLOOKUP($C363,REV!$C:$AA,21,0)-'TRADE IN'!$F363))</f>
        <v>3399</v>
      </c>
      <c r="X363" s="46">
        <f>IF(VLOOKUP($C363,REV!$C:$AA,22,0)-'TRADE IN'!$F363=0,"",(VLOOKUP($C363,REV!$C:$AA,22,0)-'TRADE IN'!$F363))</f>
        <v>3299</v>
      </c>
      <c r="Y363" s="46">
        <f>IF(VLOOKUP($C363,REV!$C:$AA,23,0)-'TRADE IN'!$F363=0,"",(VLOOKUP($C363,REV!$C:$AA,23,0)-'TRADE IN'!$F363))</f>
        <v>2899</v>
      </c>
      <c r="Z363" s="46">
        <f>IF(VLOOKUP($C363,REV!$C:$AA,24,0)-'TRADE IN'!$F363=0,"",(VLOOKUP($C363,REV!$C:$AA,24,0)-'TRADE IN'!$F363))</f>
        <v>2899</v>
      </c>
      <c r="AA363" s="46">
        <f>IF(VLOOKUP($C363,REV!$C:$AA,25,0)-'TRADE IN'!$F363=0,"",(VLOOKUP($C363,REV!$C:$AA,25,0)-'TRADE IN'!$F363))</f>
        <v>2899</v>
      </c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7"/>
      <c r="AW363" s="48" t="str">
        <f>REV!AW363</f>
        <v>01.12.2026</v>
      </c>
      <c r="AX363" s="153" t="str">
        <f>VLOOKUP(C363,REV!C:AX,48,0)</f>
        <v>5G</v>
      </c>
    </row>
    <row r="364" spans="1:50" ht="22.5" customHeight="1">
      <c r="A364" s="41" t="s">
        <v>63</v>
      </c>
      <c r="B364" s="42" t="s">
        <v>64</v>
      </c>
      <c r="C364" s="43">
        <v>4015314</v>
      </c>
      <c r="D364" s="58" t="s">
        <v>546</v>
      </c>
      <c r="E364" s="58" t="s">
        <v>550</v>
      </c>
      <c r="F364" s="45"/>
      <c r="G364" s="45"/>
      <c r="H364" s="45"/>
      <c r="I364" s="45"/>
      <c r="J364" s="46">
        <f>IF(VLOOKUP($C364,REV!$C:$AA,8,0)-'TRADE IN'!$F364=0,"",(VLOOKUP($C364,REV!$C:$AA,8,0)-'TRADE IN'!$F364))</f>
        <v>4099</v>
      </c>
      <c r="K364" s="46">
        <f>IF(VLOOKUP($C364,REV!$C:$AA,9,0)-'TRADE IN'!$F364=0,"",(VLOOKUP($C364,REV!$C:$AA,9,0)-'TRADE IN'!$F364))</f>
        <v>3999</v>
      </c>
      <c r="L364" s="46">
        <f>IF(VLOOKUP($C364,REV!$C:$AA,10,0)-'TRADE IN'!$F364=0,"",(VLOOKUP($C364,REV!$C:$AA,10,0)-'TRADE IN'!$F364))</f>
        <v>3999</v>
      </c>
      <c r="M364" s="46">
        <f>IF(VLOOKUP($C364,REV!$C:$AA,11,0)-'TRADE IN'!$F364=0,"",(VLOOKUP($C364,REV!$C:$AA,11,0)-'TRADE IN'!$F364))</f>
        <v>4099</v>
      </c>
      <c r="N364" s="46">
        <f>IF(VLOOKUP($C364,REV!$C:$AA,12,0)-'TRADE IN'!$F364=0,"",(VLOOKUP($C364,REV!$C:$AA,12,0)-'TRADE IN'!$F364))</f>
        <v>4099</v>
      </c>
      <c r="O364" s="46">
        <f>IF(VLOOKUP($C364,REV!$C:$AA,13,0)-'TRADE IN'!$F364=0,"",(VLOOKUP($C364,REV!$C:$AA,13,0)-'TRADE IN'!$F364))</f>
        <v>3899</v>
      </c>
      <c r="P364" s="46">
        <f>IF(VLOOKUP($C364,REV!$C:$AA,14,0)-'TRADE IN'!$F364=0,"",(VLOOKUP($C364,REV!$C:$AA,14,0)-'TRADE IN'!$F364))</f>
        <v>3799</v>
      </c>
      <c r="Q364" s="46">
        <f>IF(VLOOKUP($C364,REV!$C:$AA,15,0)-'TRADE IN'!$F364=0,"",(VLOOKUP($C364,REV!$C:$AA,15,0)-'TRADE IN'!$F364))</f>
        <v>3399</v>
      </c>
      <c r="R364" s="46">
        <f>IF(VLOOKUP($C364,REV!$C:$AA,16,0)-'TRADE IN'!$F364=0,"",(VLOOKUP($C364,REV!$C:$AA,16,0)-'TRADE IN'!$F364))</f>
        <v>3899</v>
      </c>
      <c r="S364" s="46">
        <f>IF(VLOOKUP($C364,REV!$C:$AA,17,0)-'TRADE IN'!$F364=0,"",(VLOOKUP($C364,REV!$C:$AA,17,0)-'TRADE IN'!$F364))</f>
        <v>3799</v>
      </c>
      <c r="T364" s="46">
        <f>IF(VLOOKUP($C364,REV!$C:$AA,18,0)-'TRADE IN'!$F364=0,"",(VLOOKUP($C364,REV!$C:$AA,18,0)-'TRADE IN'!$F364))</f>
        <v>3399</v>
      </c>
      <c r="U364" s="46">
        <f>IF(VLOOKUP($C364,REV!$C:$AA,19,0)-'TRADE IN'!$F364=0,"",(VLOOKUP($C364,REV!$C:$AA,19,0)-'TRADE IN'!$F364))</f>
        <v>3399</v>
      </c>
      <c r="V364" s="46">
        <f>IF(VLOOKUP($C364,REV!$C:$AA,20,0)-'TRADE IN'!$F364=0,"",(VLOOKUP($C364,REV!$C:$AA,20,0)-'TRADE IN'!$F364))</f>
        <v>3399</v>
      </c>
      <c r="W364" s="46">
        <f>IF(VLOOKUP($C364,REV!$C:$AA,21,0)-'TRADE IN'!$F364=0,"",(VLOOKUP($C364,REV!$C:$AA,21,0)-'TRADE IN'!$F364))</f>
        <v>3399</v>
      </c>
      <c r="X364" s="46">
        <f>IF(VLOOKUP($C364,REV!$C:$AA,22,0)-'TRADE IN'!$F364=0,"",(VLOOKUP($C364,REV!$C:$AA,22,0)-'TRADE IN'!$F364))</f>
        <v>3299</v>
      </c>
      <c r="Y364" s="46">
        <f>IF(VLOOKUP($C364,REV!$C:$AA,23,0)-'TRADE IN'!$F364=0,"",(VLOOKUP($C364,REV!$C:$AA,23,0)-'TRADE IN'!$F364))</f>
        <v>2899</v>
      </c>
      <c r="Z364" s="46">
        <f>IF(VLOOKUP($C364,REV!$C:$AA,24,0)-'TRADE IN'!$F364=0,"",(VLOOKUP($C364,REV!$C:$AA,24,0)-'TRADE IN'!$F364))</f>
        <v>2899</v>
      </c>
      <c r="AA364" s="46">
        <f>IF(VLOOKUP($C364,REV!$C:$AA,25,0)-'TRADE IN'!$F364=0,"",(VLOOKUP($C364,REV!$C:$AA,25,0)-'TRADE IN'!$F364))</f>
        <v>2899</v>
      </c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7"/>
      <c r="AW364" s="48" t="str">
        <f>REV!AW364</f>
        <v>01.12.2026</v>
      </c>
      <c r="AX364" s="153" t="str">
        <f>VLOOKUP(C364,REV!C:AX,48,0)</f>
        <v>5G</v>
      </c>
    </row>
    <row r="365" spans="1:50" ht="22.5" customHeight="1">
      <c r="A365" s="41" t="s">
        <v>63</v>
      </c>
      <c r="B365" s="42" t="s">
        <v>64</v>
      </c>
      <c r="C365" s="43">
        <v>4015330</v>
      </c>
      <c r="D365" s="58" t="s">
        <v>546</v>
      </c>
      <c r="E365" s="58" t="s">
        <v>551</v>
      </c>
      <c r="F365" s="45"/>
      <c r="G365" s="45"/>
      <c r="H365" s="45"/>
      <c r="I365" s="45"/>
      <c r="J365" s="46">
        <f>IF(VLOOKUP($C365,REV!$C:$AA,8,0)-'TRADE IN'!$F365=0,"",(VLOOKUP($C365,REV!$C:$AA,8,0)-'TRADE IN'!$F365))</f>
        <v>4099</v>
      </c>
      <c r="K365" s="46">
        <f>IF(VLOOKUP($C365,REV!$C:$AA,9,0)-'TRADE IN'!$F365=0,"",(VLOOKUP($C365,REV!$C:$AA,9,0)-'TRADE IN'!$F365))</f>
        <v>3999</v>
      </c>
      <c r="L365" s="46">
        <f>IF(VLOOKUP($C365,REV!$C:$AA,10,0)-'TRADE IN'!$F365=0,"",(VLOOKUP($C365,REV!$C:$AA,10,0)-'TRADE IN'!$F365))</f>
        <v>3999</v>
      </c>
      <c r="M365" s="46">
        <f>IF(VLOOKUP($C365,REV!$C:$AA,11,0)-'TRADE IN'!$F365=0,"",(VLOOKUP($C365,REV!$C:$AA,11,0)-'TRADE IN'!$F365))</f>
        <v>4099</v>
      </c>
      <c r="N365" s="46">
        <f>IF(VLOOKUP($C365,REV!$C:$AA,12,0)-'TRADE IN'!$F365=0,"",(VLOOKUP($C365,REV!$C:$AA,12,0)-'TRADE IN'!$F365))</f>
        <v>4099</v>
      </c>
      <c r="O365" s="46">
        <f>IF(VLOOKUP($C365,REV!$C:$AA,13,0)-'TRADE IN'!$F365=0,"",(VLOOKUP($C365,REV!$C:$AA,13,0)-'TRADE IN'!$F365))</f>
        <v>3899</v>
      </c>
      <c r="P365" s="46">
        <f>IF(VLOOKUP($C365,REV!$C:$AA,14,0)-'TRADE IN'!$F365=0,"",(VLOOKUP($C365,REV!$C:$AA,14,0)-'TRADE IN'!$F365))</f>
        <v>3799</v>
      </c>
      <c r="Q365" s="46">
        <f>IF(VLOOKUP($C365,REV!$C:$AA,15,0)-'TRADE IN'!$F365=0,"",(VLOOKUP($C365,REV!$C:$AA,15,0)-'TRADE IN'!$F365))</f>
        <v>3399</v>
      </c>
      <c r="R365" s="46">
        <f>IF(VLOOKUP($C365,REV!$C:$AA,16,0)-'TRADE IN'!$F365=0,"",(VLOOKUP($C365,REV!$C:$AA,16,0)-'TRADE IN'!$F365))</f>
        <v>3899</v>
      </c>
      <c r="S365" s="46">
        <f>IF(VLOOKUP($C365,REV!$C:$AA,17,0)-'TRADE IN'!$F365=0,"",(VLOOKUP($C365,REV!$C:$AA,17,0)-'TRADE IN'!$F365))</f>
        <v>3799</v>
      </c>
      <c r="T365" s="46">
        <f>IF(VLOOKUP($C365,REV!$C:$AA,18,0)-'TRADE IN'!$F365=0,"",(VLOOKUP($C365,REV!$C:$AA,18,0)-'TRADE IN'!$F365))</f>
        <v>3399</v>
      </c>
      <c r="U365" s="46">
        <f>IF(VLOOKUP($C365,REV!$C:$AA,19,0)-'TRADE IN'!$F365=0,"",(VLOOKUP($C365,REV!$C:$AA,19,0)-'TRADE IN'!$F365))</f>
        <v>3399</v>
      </c>
      <c r="V365" s="46">
        <f>IF(VLOOKUP($C365,REV!$C:$AA,20,0)-'TRADE IN'!$F365=0,"",(VLOOKUP($C365,REV!$C:$AA,20,0)-'TRADE IN'!$F365))</f>
        <v>3399</v>
      </c>
      <c r="W365" s="46">
        <f>IF(VLOOKUP($C365,REV!$C:$AA,21,0)-'TRADE IN'!$F365=0,"",(VLOOKUP($C365,REV!$C:$AA,21,0)-'TRADE IN'!$F365))</f>
        <v>3399</v>
      </c>
      <c r="X365" s="46">
        <f>IF(VLOOKUP($C365,REV!$C:$AA,22,0)-'TRADE IN'!$F365=0,"",(VLOOKUP($C365,REV!$C:$AA,22,0)-'TRADE IN'!$F365))</f>
        <v>3299</v>
      </c>
      <c r="Y365" s="46">
        <f>IF(VLOOKUP($C365,REV!$C:$AA,23,0)-'TRADE IN'!$F365=0,"",(VLOOKUP($C365,REV!$C:$AA,23,0)-'TRADE IN'!$F365))</f>
        <v>2899</v>
      </c>
      <c r="Z365" s="46">
        <f>IF(VLOOKUP($C365,REV!$C:$AA,24,0)-'TRADE IN'!$F365=0,"",(VLOOKUP($C365,REV!$C:$AA,24,0)-'TRADE IN'!$F365))</f>
        <v>2899</v>
      </c>
      <c r="AA365" s="46">
        <f>IF(VLOOKUP($C365,REV!$C:$AA,25,0)-'TRADE IN'!$F365=0,"",(VLOOKUP($C365,REV!$C:$AA,25,0)-'TRADE IN'!$F365))</f>
        <v>2899</v>
      </c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7"/>
      <c r="AW365" s="48" t="str">
        <f>REV!AW365</f>
        <v>01.12.2026</v>
      </c>
      <c r="AX365" s="153" t="str">
        <f>VLOOKUP(C365,REV!C:AX,48,0)</f>
        <v>5G</v>
      </c>
    </row>
    <row r="366" spans="1:50" ht="22.5" customHeight="1">
      <c r="A366" s="41" t="s">
        <v>63</v>
      </c>
      <c r="B366" s="42" t="s">
        <v>64</v>
      </c>
      <c r="C366" s="43">
        <v>4015290</v>
      </c>
      <c r="D366" s="58" t="s">
        <v>552</v>
      </c>
      <c r="E366" s="58" t="s">
        <v>553</v>
      </c>
      <c r="F366" s="45"/>
      <c r="G366" s="45"/>
      <c r="H366" s="45"/>
      <c r="I366" s="45"/>
      <c r="J366" s="46">
        <f>IF(VLOOKUP($C366,REV!$C:$AA,8,0)-'TRADE IN'!$F366=0,"",(VLOOKUP($C366,REV!$C:$AA,8,0)-'TRADE IN'!$F366))</f>
        <v>4999</v>
      </c>
      <c r="K366" s="46">
        <f>IF(VLOOKUP($C366,REV!$C:$AA,9,0)-'TRADE IN'!$F366=0,"",(VLOOKUP($C366,REV!$C:$AA,9,0)-'TRADE IN'!$F366))</f>
        <v>4899</v>
      </c>
      <c r="L366" s="46">
        <f>IF(VLOOKUP($C366,REV!$C:$AA,10,0)-'TRADE IN'!$F366=0,"",(VLOOKUP($C366,REV!$C:$AA,10,0)-'TRADE IN'!$F366))</f>
        <v>4899</v>
      </c>
      <c r="M366" s="46">
        <f>IF(VLOOKUP($C366,REV!$C:$AA,11,0)-'TRADE IN'!$F366=0,"",(VLOOKUP($C366,REV!$C:$AA,11,0)-'TRADE IN'!$F366))</f>
        <v>4999</v>
      </c>
      <c r="N366" s="46">
        <f>IF(VLOOKUP($C366,REV!$C:$AA,12,0)-'TRADE IN'!$F366=0,"",(VLOOKUP($C366,REV!$C:$AA,12,0)-'TRADE IN'!$F366))</f>
        <v>4999</v>
      </c>
      <c r="O366" s="46">
        <f>IF(VLOOKUP($C366,REV!$C:$AA,13,0)-'TRADE IN'!$F366=0,"",(VLOOKUP($C366,REV!$C:$AA,13,0)-'TRADE IN'!$F366))</f>
        <v>4799</v>
      </c>
      <c r="P366" s="46">
        <f>IF(VLOOKUP($C366,REV!$C:$AA,14,0)-'TRADE IN'!$F366=0,"",(VLOOKUP($C366,REV!$C:$AA,14,0)-'TRADE IN'!$F366))</f>
        <v>4699</v>
      </c>
      <c r="Q366" s="46">
        <f>IF(VLOOKUP($C366,REV!$C:$AA,15,0)-'TRADE IN'!$F366=0,"",(VLOOKUP($C366,REV!$C:$AA,15,0)-'TRADE IN'!$F366))</f>
        <v>3799</v>
      </c>
      <c r="R366" s="46">
        <f>IF(VLOOKUP($C366,REV!$C:$AA,16,0)-'TRADE IN'!$F366=0,"",(VLOOKUP($C366,REV!$C:$AA,16,0)-'TRADE IN'!$F366))</f>
        <v>4799</v>
      </c>
      <c r="S366" s="46">
        <f>IF(VLOOKUP($C366,REV!$C:$AA,17,0)-'TRADE IN'!$F366=0,"",(VLOOKUP($C366,REV!$C:$AA,17,0)-'TRADE IN'!$F366))</f>
        <v>4699</v>
      </c>
      <c r="T366" s="46">
        <f>IF(VLOOKUP($C366,REV!$C:$AA,18,0)-'TRADE IN'!$F366=0,"",(VLOOKUP($C366,REV!$C:$AA,18,0)-'TRADE IN'!$F366))</f>
        <v>3799</v>
      </c>
      <c r="U366" s="46">
        <f>IF(VLOOKUP($C366,REV!$C:$AA,19,0)-'TRADE IN'!$F366=0,"",(VLOOKUP($C366,REV!$C:$AA,19,0)-'TRADE IN'!$F366))</f>
        <v>3799</v>
      </c>
      <c r="V366" s="46">
        <f>IF(VLOOKUP($C366,REV!$C:$AA,20,0)-'TRADE IN'!$F366=0,"",(VLOOKUP($C366,REV!$C:$AA,20,0)-'TRADE IN'!$F366))</f>
        <v>3799</v>
      </c>
      <c r="W366" s="46">
        <f>IF(VLOOKUP($C366,REV!$C:$AA,21,0)-'TRADE IN'!$F366=0,"",(VLOOKUP($C366,REV!$C:$AA,21,0)-'TRADE IN'!$F366))</f>
        <v>3799</v>
      </c>
      <c r="X366" s="46">
        <f>IF(VLOOKUP($C366,REV!$C:$AA,22,0)-'TRADE IN'!$F366=0,"",(VLOOKUP($C366,REV!$C:$AA,22,0)-'TRADE IN'!$F366))</f>
        <v>3699</v>
      </c>
      <c r="Y366" s="46">
        <f>IF(VLOOKUP($C366,REV!$C:$AA,23,0)-'TRADE IN'!$F366=0,"",(VLOOKUP($C366,REV!$C:$AA,23,0)-'TRADE IN'!$F366))</f>
        <v>3499</v>
      </c>
      <c r="Z366" s="46">
        <f>IF(VLOOKUP($C366,REV!$C:$AA,24,0)-'TRADE IN'!$F366=0,"",(VLOOKUP($C366,REV!$C:$AA,24,0)-'TRADE IN'!$F366))</f>
        <v>3499</v>
      </c>
      <c r="AA366" s="46">
        <f>IF(VLOOKUP($C366,REV!$C:$AA,25,0)-'TRADE IN'!$F366=0,"",(VLOOKUP($C366,REV!$C:$AA,25,0)-'TRADE IN'!$F366))</f>
        <v>3499</v>
      </c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7"/>
      <c r="AW366" s="48" t="str">
        <f>REV!AW366</f>
        <v>01.12.2026</v>
      </c>
      <c r="AX366" s="153" t="str">
        <f>VLOOKUP(C366,REV!C:AX,48,0)</f>
        <v>5G</v>
      </c>
    </row>
    <row r="367" spans="1:50" ht="22.5" customHeight="1">
      <c r="A367" s="41" t="s">
        <v>63</v>
      </c>
      <c r="B367" s="42" t="s">
        <v>64</v>
      </c>
      <c r="C367" s="43">
        <v>4015321</v>
      </c>
      <c r="D367" s="58" t="s">
        <v>552</v>
      </c>
      <c r="E367" s="58" t="s">
        <v>554</v>
      </c>
      <c r="F367" s="45"/>
      <c r="G367" s="45"/>
      <c r="H367" s="45"/>
      <c r="I367" s="45"/>
      <c r="J367" s="46">
        <f>IF(VLOOKUP($C367,REV!$C:$AA,8,0)-'TRADE IN'!$F367=0,"",(VLOOKUP($C367,REV!$C:$AA,8,0)-'TRADE IN'!$F367))</f>
        <v>4999</v>
      </c>
      <c r="K367" s="46">
        <f>IF(VLOOKUP($C367,REV!$C:$AA,9,0)-'TRADE IN'!$F367=0,"",(VLOOKUP($C367,REV!$C:$AA,9,0)-'TRADE IN'!$F367))</f>
        <v>4899</v>
      </c>
      <c r="L367" s="46">
        <f>IF(VLOOKUP($C367,REV!$C:$AA,10,0)-'TRADE IN'!$F367=0,"",(VLOOKUP($C367,REV!$C:$AA,10,0)-'TRADE IN'!$F367))</f>
        <v>4899</v>
      </c>
      <c r="M367" s="46">
        <f>IF(VLOOKUP($C367,REV!$C:$AA,11,0)-'TRADE IN'!$F367=0,"",(VLOOKUP($C367,REV!$C:$AA,11,0)-'TRADE IN'!$F367))</f>
        <v>4999</v>
      </c>
      <c r="N367" s="46">
        <f>IF(VLOOKUP($C367,REV!$C:$AA,12,0)-'TRADE IN'!$F367=0,"",(VLOOKUP($C367,REV!$C:$AA,12,0)-'TRADE IN'!$F367))</f>
        <v>4999</v>
      </c>
      <c r="O367" s="46">
        <f>IF(VLOOKUP($C367,REV!$C:$AA,13,0)-'TRADE IN'!$F367=0,"",(VLOOKUP($C367,REV!$C:$AA,13,0)-'TRADE IN'!$F367))</f>
        <v>4799</v>
      </c>
      <c r="P367" s="46">
        <f>IF(VLOOKUP($C367,REV!$C:$AA,14,0)-'TRADE IN'!$F367=0,"",(VLOOKUP($C367,REV!$C:$AA,14,0)-'TRADE IN'!$F367))</f>
        <v>4699</v>
      </c>
      <c r="Q367" s="46">
        <f>IF(VLOOKUP($C367,REV!$C:$AA,15,0)-'TRADE IN'!$F367=0,"",(VLOOKUP($C367,REV!$C:$AA,15,0)-'TRADE IN'!$F367))</f>
        <v>3799</v>
      </c>
      <c r="R367" s="46">
        <f>IF(VLOOKUP($C367,REV!$C:$AA,16,0)-'TRADE IN'!$F367=0,"",(VLOOKUP($C367,REV!$C:$AA,16,0)-'TRADE IN'!$F367))</f>
        <v>4799</v>
      </c>
      <c r="S367" s="46">
        <f>IF(VLOOKUP($C367,REV!$C:$AA,17,0)-'TRADE IN'!$F367=0,"",(VLOOKUP($C367,REV!$C:$AA,17,0)-'TRADE IN'!$F367))</f>
        <v>4699</v>
      </c>
      <c r="T367" s="46">
        <f>IF(VLOOKUP($C367,REV!$C:$AA,18,0)-'TRADE IN'!$F367=0,"",(VLOOKUP($C367,REV!$C:$AA,18,0)-'TRADE IN'!$F367))</f>
        <v>3799</v>
      </c>
      <c r="U367" s="46">
        <f>IF(VLOOKUP($C367,REV!$C:$AA,19,0)-'TRADE IN'!$F367=0,"",(VLOOKUP($C367,REV!$C:$AA,19,0)-'TRADE IN'!$F367))</f>
        <v>3799</v>
      </c>
      <c r="V367" s="46">
        <f>IF(VLOOKUP($C367,REV!$C:$AA,20,0)-'TRADE IN'!$F367=0,"",(VLOOKUP($C367,REV!$C:$AA,20,0)-'TRADE IN'!$F367))</f>
        <v>3799</v>
      </c>
      <c r="W367" s="46">
        <f>IF(VLOOKUP($C367,REV!$C:$AA,21,0)-'TRADE IN'!$F367=0,"",(VLOOKUP($C367,REV!$C:$AA,21,0)-'TRADE IN'!$F367))</f>
        <v>3799</v>
      </c>
      <c r="X367" s="46">
        <f>IF(VLOOKUP($C367,REV!$C:$AA,22,0)-'TRADE IN'!$F367=0,"",(VLOOKUP($C367,REV!$C:$AA,22,0)-'TRADE IN'!$F367))</f>
        <v>3699</v>
      </c>
      <c r="Y367" s="46">
        <f>IF(VLOOKUP($C367,REV!$C:$AA,23,0)-'TRADE IN'!$F367=0,"",(VLOOKUP($C367,REV!$C:$AA,23,0)-'TRADE IN'!$F367))</f>
        <v>3499</v>
      </c>
      <c r="Z367" s="46">
        <f>IF(VLOOKUP($C367,REV!$C:$AA,24,0)-'TRADE IN'!$F367=0,"",(VLOOKUP($C367,REV!$C:$AA,24,0)-'TRADE IN'!$F367))</f>
        <v>3499</v>
      </c>
      <c r="AA367" s="46">
        <f>IF(VLOOKUP($C367,REV!$C:$AA,25,0)-'TRADE IN'!$F367=0,"",(VLOOKUP($C367,REV!$C:$AA,25,0)-'TRADE IN'!$F367))</f>
        <v>3499</v>
      </c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7"/>
      <c r="AW367" s="48" t="str">
        <f>REV!AW367</f>
        <v>01.12.2026</v>
      </c>
      <c r="AX367" s="153" t="str">
        <f>VLOOKUP(C367,REV!C:AX,48,0)</f>
        <v>5G</v>
      </c>
    </row>
    <row r="368" spans="1:50" ht="22.5" customHeight="1">
      <c r="A368" s="41" t="s">
        <v>63</v>
      </c>
      <c r="B368" s="42" t="s">
        <v>64</v>
      </c>
      <c r="C368" s="43">
        <v>4015283</v>
      </c>
      <c r="D368" s="58" t="s">
        <v>552</v>
      </c>
      <c r="E368" s="58" t="s">
        <v>555</v>
      </c>
      <c r="F368" s="45"/>
      <c r="G368" s="45"/>
      <c r="H368" s="45"/>
      <c r="I368" s="45"/>
      <c r="J368" s="46">
        <f>IF(VLOOKUP($C368,REV!$C:$AA,8,0)-'TRADE IN'!$F368=0,"",(VLOOKUP($C368,REV!$C:$AA,8,0)-'TRADE IN'!$F368))</f>
        <v>4999</v>
      </c>
      <c r="K368" s="46">
        <f>IF(VLOOKUP($C368,REV!$C:$AA,9,0)-'TRADE IN'!$F368=0,"",(VLOOKUP($C368,REV!$C:$AA,9,0)-'TRADE IN'!$F368))</f>
        <v>4899</v>
      </c>
      <c r="L368" s="46">
        <f>IF(VLOOKUP($C368,REV!$C:$AA,10,0)-'TRADE IN'!$F368=0,"",(VLOOKUP($C368,REV!$C:$AA,10,0)-'TRADE IN'!$F368))</f>
        <v>4899</v>
      </c>
      <c r="M368" s="46">
        <f>IF(VLOOKUP($C368,REV!$C:$AA,11,0)-'TRADE IN'!$F368=0,"",(VLOOKUP($C368,REV!$C:$AA,11,0)-'TRADE IN'!$F368))</f>
        <v>4999</v>
      </c>
      <c r="N368" s="46">
        <f>IF(VLOOKUP($C368,REV!$C:$AA,12,0)-'TRADE IN'!$F368=0,"",(VLOOKUP($C368,REV!$C:$AA,12,0)-'TRADE IN'!$F368))</f>
        <v>4999</v>
      </c>
      <c r="O368" s="46">
        <f>IF(VLOOKUP($C368,REV!$C:$AA,13,0)-'TRADE IN'!$F368=0,"",(VLOOKUP($C368,REV!$C:$AA,13,0)-'TRADE IN'!$F368))</f>
        <v>4799</v>
      </c>
      <c r="P368" s="46">
        <f>IF(VLOOKUP($C368,REV!$C:$AA,14,0)-'TRADE IN'!$F368=0,"",(VLOOKUP($C368,REV!$C:$AA,14,0)-'TRADE IN'!$F368))</f>
        <v>4699</v>
      </c>
      <c r="Q368" s="46">
        <f>IF(VLOOKUP($C368,REV!$C:$AA,15,0)-'TRADE IN'!$F368=0,"",(VLOOKUP($C368,REV!$C:$AA,15,0)-'TRADE IN'!$F368))</f>
        <v>3799</v>
      </c>
      <c r="R368" s="46">
        <f>IF(VLOOKUP($C368,REV!$C:$AA,16,0)-'TRADE IN'!$F368=0,"",(VLOOKUP($C368,REV!$C:$AA,16,0)-'TRADE IN'!$F368))</f>
        <v>4799</v>
      </c>
      <c r="S368" s="46">
        <f>IF(VLOOKUP($C368,REV!$C:$AA,17,0)-'TRADE IN'!$F368=0,"",(VLOOKUP($C368,REV!$C:$AA,17,0)-'TRADE IN'!$F368))</f>
        <v>4699</v>
      </c>
      <c r="T368" s="46">
        <f>IF(VLOOKUP($C368,REV!$C:$AA,18,0)-'TRADE IN'!$F368=0,"",(VLOOKUP($C368,REV!$C:$AA,18,0)-'TRADE IN'!$F368))</f>
        <v>3799</v>
      </c>
      <c r="U368" s="46">
        <f>IF(VLOOKUP($C368,REV!$C:$AA,19,0)-'TRADE IN'!$F368=0,"",(VLOOKUP($C368,REV!$C:$AA,19,0)-'TRADE IN'!$F368))</f>
        <v>3799</v>
      </c>
      <c r="V368" s="46">
        <f>IF(VLOOKUP($C368,REV!$C:$AA,20,0)-'TRADE IN'!$F368=0,"",(VLOOKUP($C368,REV!$C:$AA,20,0)-'TRADE IN'!$F368))</f>
        <v>3799</v>
      </c>
      <c r="W368" s="46">
        <f>IF(VLOOKUP($C368,REV!$C:$AA,21,0)-'TRADE IN'!$F368=0,"",(VLOOKUP($C368,REV!$C:$AA,21,0)-'TRADE IN'!$F368))</f>
        <v>3799</v>
      </c>
      <c r="X368" s="46">
        <f>IF(VLOOKUP($C368,REV!$C:$AA,22,0)-'TRADE IN'!$F368=0,"",(VLOOKUP($C368,REV!$C:$AA,22,0)-'TRADE IN'!$F368))</f>
        <v>3699</v>
      </c>
      <c r="Y368" s="46">
        <f>IF(VLOOKUP($C368,REV!$C:$AA,23,0)-'TRADE IN'!$F368=0,"",(VLOOKUP($C368,REV!$C:$AA,23,0)-'TRADE IN'!$F368))</f>
        <v>3499</v>
      </c>
      <c r="Z368" s="46">
        <f>IF(VLOOKUP($C368,REV!$C:$AA,24,0)-'TRADE IN'!$F368=0,"",(VLOOKUP($C368,REV!$C:$AA,24,0)-'TRADE IN'!$F368))</f>
        <v>3499</v>
      </c>
      <c r="AA368" s="46">
        <f>IF(VLOOKUP($C368,REV!$C:$AA,25,0)-'TRADE IN'!$F368=0,"",(VLOOKUP($C368,REV!$C:$AA,25,0)-'TRADE IN'!$F368))</f>
        <v>3499</v>
      </c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7"/>
      <c r="AW368" s="48" t="str">
        <f>REV!AW368</f>
        <v>01.12.2026</v>
      </c>
      <c r="AX368" s="153" t="str">
        <f>VLOOKUP(C368,REV!C:AX,48,0)</f>
        <v>5G</v>
      </c>
    </row>
    <row r="369" spans="1:50" ht="22.5" customHeight="1">
      <c r="A369" s="41" t="s">
        <v>63</v>
      </c>
      <c r="B369" s="42" t="s">
        <v>64</v>
      </c>
      <c r="C369" s="43">
        <v>4015313</v>
      </c>
      <c r="D369" s="58" t="s">
        <v>552</v>
      </c>
      <c r="E369" s="58" t="s">
        <v>556</v>
      </c>
      <c r="F369" s="45"/>
      <c r="G369" s="45"/>
      <c r="H369" s="45"/>
      <c r="I369" s="45"/>
      <c r="J369" s="46">
        <f>IF(VLOOKUP($C369,REV!$C:$AA,8,0)-'TRADE IN'!$F369=0,"",(VLOOKUP($C369,REV!$C:$AA,8,0)-'TRADE IN'!$F369))</f>
        <v>4999</v>
      </c>
      <c r="K369" s="46">
        <f>IF(VLOOKUP($C369,REV!$C:$AA,9,0)-'TRADE IN'!$F369=0,"",(VLOOKUP($C369,REV!$C:$AA,9,0)-'TRADE IN'!$F369))</f>
        <v>4899</v>
      </c>
      <c r="L369" s="46">
        <f>IF(VLOOKUP($C369,REV!$C:$AA,10,0)-'TRADE IN'!$F369=0,"",(VLOOKUP($C369,REV!$C:$AA,10,0)-'TRADE IN'!$F369))</f>
        <v>4899</v>
      </c>
      <c r="M369" s="46">
        <f>IF(VLOOKUP($C369,REV!$C:$AA,11,0)-'TRADE IN'!$F369=0,"",(VLOOKUP($C369,REV!$C:$AA,11,0)-'TRADE IN'!$F369))</f>
        <v>4999</v>
      </c>
      <c r="N369" s="46">
        <f>IF(VLOOKUP($C369,REV!$C:$AA,12,0)-'TRADE IN'!$F369=0,"",(VLOOKUP($C369,REV!$C:$AA,12,0)-'TRADE IN'!$F369))</f>
        <v>4999</v>
      </c>
      <c r="O369" s="46">
        <f>IF(VLOOKUP($C369,REV!$C:$AA,13,0)-'TRADE IN'!$F369=0,"",(VLOOKUP($C369,REV!$C:$AA,13,0)-'TRADE IN'!$F369))</f>
        <v>4799</v>
      </c>
      <c r="P369" s="46">
        <f>IF(VLOOKUP($C369,REV!$C:$AA,14,0)-'TRADE IN'!$F369=0,"",(VLOOKUP($C369,REV!$C:$AA,14,0)-'TRADE IN'!$F369))</f>
        <v>4699</v>
      </c>
      <c r="Q369" s="46">
        <f>IF(VLOOKUP($C369,REV!$C:$AA,15,0)-'TRADE IN'!$F369=0,"",(VLOOKUP($C369,REV!$C:$AA,15,0)-'TRADE IN'!$F369))</f>
        <v>3799</v>
      </c>
      <c r="R369" s="46">
        <f>IF(VLOOKUP($C369,REV!$C:$AA,16,0)-'TRADE IN'!$F369=0,"",(VLOOKUP($C369,REV!$C:$AA,16,0)-'TRADE IN'!$F369))</f>
        <v>4799</v>
      </c>
      <c r="S369" s="46">
        <f>IF(VLOOKUP($C369,REV!$C:$AA,17,0)-'TRADE IN'!$F369=0,"",(VLOOKUP($C369,REV!$C:$AA,17,0)-'TRADE IN'!$F369))</f>
        <v>4699</v>
      </c>
      <c r="T369" s="46">
        <f>IF(VLOOKUP($C369,REV!$C:$AA,18,0)-'TRADE IN'!$F369=0,"",(VLOOKUP($C369,REV!$C:$AA,18,0)-'TRADE IN'!$F369))</f>
        <v>3799</v>
      </c>
      <c r="U369" s="46">
        <f>IF(VLOOKUP($C369,REV!$C:$AA,19,0)-'TRADE IN'!$F369=0,"",(VLOOKUP($C369,REV!$C:$AA,19,0)-'TRADE IN'!$F369))</f>
        <v>3799</v>
      </c>
      <c r="V369" s="46">
        <f>IF(VLOOKUP($C369,REV!$C:$AA,20,0)-'TRADE IN'!$F369=0,"",(VLOOKUP($C369,REV!$C:$AA,20,0)-'TRADE IN'!$F369))</f>
        <v>3799</v>
      </c>
      <c r="W369" s="46">
        <f>IF(VLOOKUP($C369,REV!$C:$AA,21,0)-'TRADE IN'!$F369=0,"",(VLOOKUP($C369,REV!$C:$AA,21,0)-'TRADE IN'!$F369))</f>
        <v>3799</v>
      </c>
      <c r="X369" s="46">
        <f>IF(VLOOKUP($C369,REV!$C:$AA,22,0)-'TRADE IN'!$F369=0,"",(VLOOKUP($C369,REV!$C:$AA,22,0)-'TRADE IN'!$F369))</f>
        <v>3699</v>
      </c>
      <c r="Y369" s="46">
        <f>IF(VLOOKUP($C369,REV!$C:$AA,23,0)-'TRADE IN'!$F369=0,"",(VLOOKUP($C369,REV!$C:$AA,23,0)-'TRADE IN'!$F369))</f>
        <v>3499</v>
      </c>
      <c r="Z369" s="46">
        <f>IF(VLOOKUP($C369,REV!$C:$AA,24,0)-'TRADE IN'!$F369=0,"",(VLOOKUP($C369,REV!$C:$AA,24,0)-'TRADE IN'!$F369))</f>
        <v>3499</v>
      </c>
      <c r="AA369" s="46">
        <f>IF(VLOOKUP($C369,REV!$C:$AA,25,0)-'TRADE IN'!$F369=0,"",(VLOOKUP($C369,REV!$C:$AA,25,0)-'TRADE IN'!$F369))</f>
        <v>3499</v>
      </c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7"/>
      <c r="AW369" s="48" t="str">
        <f>REV!AW369</f>
        <v>01.12.2026</v>
      </c>
      <c r="AX369" s="153" t="str">
        <f>VLOOKUP(C369,REV!C:AX,48,0)</f>
        <v>5G</v>
      </c>
    </row>
    <row r="370" spans="1:50" ht="22.5" customHeight="1">
      <c r="A370" s="41" t="s">
        <v>63</v>
      </c>
      <c r="B370" s="42" t="s">
        <v>64</v>
      </c>
      <c r="C370" s="43">
        <v>4015297</v>
      </c>
      <c r="D370" s="58" t="s">
        <v>552</v>
      </c>
      <c r="E370" s="58" t="s">
        <v>557</v>
      </c>
      <c r="F370" s="45"/>
      <c r="G370" s="45"/>
      <c r="H370" s="45"/>
      <c r="I370" s="45"/>
      <c r="J370" s="46">
        <f>IF(VLOOKUP($C370,REV!$C:$AA,8,0)-'TRADE IN'!$F370=0,"",(VLOOKUP($C370,REV!$C:$AA,8,0)-'TRADE IN'!$F370))</f>
        <v>4999</v>
      </c>
      <c r="K370" s="46">
        <f>IF(VLOOKUP($C370,REV!$C:$AA,9,0)-'TRADE IN'!$F370=0,"",(VLOOKUP($C370,REV!$C:$AA,9,0)-'TRADE IN'!$F370))</f>
        <v>4899</v>
      </c>
      <c r="L370" s="46">
        <f>IF(VLOOKUP($C370,REV!$C:$AA,10,0)-'TRADE IN'!$F370=0,"",(VLOOKUP($C370,REV!$C:$AA,10,0)-'TRADE IN'!$F370))</f>
        <v>4899</v>
      </c>
      <c r="M370" s="46">
        <f>IF(VLOOKUP($C370,REV!$C:$AA,11,0)-'TRADE IN'!$F370=0,"",(VLOOKUP($C370,REV!$C:$AA,11,0)-'TRADE IN'!$F370))</f>
        <v>4999</v>
      </c>
      <c r="N370" s="46">
        <f>IF(VLOOKUP($C370,REV!$C:$AA,12,0)-'TRADE IN'!$F370=0,"",(VLOOKUP($C370,REV!$C:$AA,12,0)-'TRADE IN'!$F370))</f>
        <v>4999</v>
      </c>
      <c r="O370" s="46">
        <f>IF(VLOOKUP($C370,REV!$C:$AA,13,0)-'TRADE IN'!$F370=0,"",(VLOOKUP($C370,REV!$C:$AA,13,0)-'TRADE IN'!$F370))</f>
        <v>4799</v>
      </c>
      <c r="P370" s="46">
        <f>IF(VLOOKUP($C370,REV!$C:$AA,14,0)-'TRADE IN'!$F370=0,"",(VLOOKUP($C370,REV!$C:$AA,14,0)-'TRADE IN'!$F370))</f>
        <v>4699</v>
      </c>
      <c r="Q370" s="46">
        <f>IF(VLOOKUP($C370,REV!$C:$AA,15,0)-'TRADE IN'!$F370=0,"",(VLOOKUP($C370,REV!$C:$AA,15,0)-'TRADE IN'!$F370))</f>
        <v>3799</v>
      </c>
      <c r="R370" s="46">
        <f>IF(VLOOKUP($C370,REV!$C:$AA,16,0)-'TRADE IN'!$F370=0,"",(VLOOKUP($C370,REV!$C:$AA,16,0)-'TRADE IN'!$F370))</f>
        <v>4799</v>
      </c>
      <c r="S370" s="46">
        <f>IF(VLOOKUP($C370,REV!$C:$AA,17,0)-'TRADE IN'!$F370=0,"",(VLOOKUP($C370,REV!$C:$AA,17,0)-'TRADE IN'!$F370))</f>
        <v>4699</v>
      </c>
      <c r="T370" s="46">
        <f>IF(VLOOKUP($C370,REV!$C:$AA,18,0)-'TRADE IN'!$F370=0,"",(VLOOKUP($C370,REV!$C:$AA,18,0)-'TRADE IN'!$F370))</f>
        <v>3799</v>
      </c>
      <c r="U370" s="46">
        <f>IF(VLOOKUP($C370,REV!$C:$AA,19,0)-'TRADE IN'!$F370=0,"",(VLOOKUP($C370,REV!$C:$AA,19,0)-'TRADE IN'!$F370))</f>
        <v>3799</v>
      </c>
      <c r="V370" s="46">
        <f>IF(VLOOKUP($C370,REV!$C:$AA,20,0)-'TRADE IN'!$F370=0,"",(VLOOKUP($C370,REV!$C:$AA,20,0)-'TRADE IN'!$F370))</f>
        <v>3799</v>
      </c>
      <c r="W370" s="46">
        <f>IF(VLOOKUP($C370,REV!$C:$AA,21,0)-'TRADE IN'!$F370=0,"",(VLOOKUP($C370,REV!$C:$AA,21,0)-'TRADE IN'!$F370))</f>
        <v>3799</v>
      </c>
      <c r="X370" s="46">
        <f>IF(VLOOKUP($C370,REV!$C:$AA,22,0)-'TRADE IN'!$F370=0,"",(VLOOKUP($C370,REV!$C:$AA,22,0)-'TRADE IN'!$F370))</f>
        <v>3699</v>
      </c>
      <c r="Y370" s="46">
        <f>IF(VLOOKUP($C370,REV!$C:$AA,23,0)-'TRADE IN'!$F370=0,"",(VLOOKUP($C370,REV!$C:$AA,23,0)-'TRADE IN'!$F370))</f>
        <v>3499</v>
      </c>
      <c r="Z370" s="46">
        <f>IF(VLOOKUP($C370,REV!$C:$AA,24,0)-'TRADE IN'!$F370=0,"",(VLOOKUP($C370,REV!$C:$AA,24,0)-'TRADE IN'!$F370))</f>
        <v>3499</v>
      </c>
      <c r="AA370" s="46">
        <f>IF(VLOOKUP($C370,REV!$C:$AA,25,0)-'TRADE IN'!$F370=0,"",(VLOOKUP($C370,REV!$C:$AA,25,0)-'TRADE IN'!$F370))</f>
        <v>3499</v>
      </c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7"/>
      <c r="AW370" s="48" t="str">
        <f>REV!AW370</f>
        <v>01.12.2026</v>
      </c>
      <c r="AX370" s="153" t="str">
        <f>VLOOKUP(C370,REV!C:AX,48,0)</f>
        <v>5G</v>
      </c>
    </row>
    <row r="371" spans="1:50" ht="22.5" customHeight="1">
      <c r="A371" s="41" t="s">
        <v>63</v>
      </c>
      <c r="B371" s="42" t="s">
        <v>64</v>
      </c>
      <c r="C371" s="43">
        <v>4015329</v>
      </c>
      <c r="D371" s="58" t="s">
        <v>552</v>
      </c>
      <c r="E371" s="58" t="s">
        <v>558</v>
      </c>
      <c r="F371" s="45"/>
      <c r="G371" s="45"/>
      <c r="H371" s="45"/>
      <c r="I371" s="45"/>
      <c r="J371" s="46">
        <f>IF(VLOOKUP($C371,REV!$C:$AA,8,0)-'TRADE IN'!$F371=0,"",(VLOOKUP($C371,REV!$C:$AA,8,0)-'TRADE IN'!$F371))</f>
        <v>4999</v>
      </c>
      <c r="K371" s="46">
        <f>IF(VLOOKUP($C371,REV!$C:$AA,9,0)-'TRADE IN'!$F371=0,"",(VLOOKUP($C371,REV!$C:$AA,9,0)-'TRADE IN'!$F371))</f>
        <v>4899</v>
      </c>
      <c r="L371" s="46">
        <f>IF(VLOOKUP($C371,REV!$C:$AA,10,0)-'TRADE IN'!$F371=0,"",(VLOOKUP($C371,REV!$C:$AA,10,0)-'TRADE IN'!$F371))</f>
        <v>4899</v>
      </c>
      <c r="M371" s="46">
        <f>IF(VLOOKUP($C371,REV!$C:$AA,11,0)-'TRADE IN'!$F371=0,"",(VLOOKUP($C371,REV!$C:$AA,11,0)-'TRADE IN'!$F371))</f>
        <v>4999</v>
      </c>
      <c r="N371" s="46">
        <f>IF(VLOOKUP($C371,REV!$C:$AA,12,0)-'TRADE IN'!$F371=0,"",(VLOOKUP($C371,REV!$C:$AA,12,0)-'TRADE IN'!$F371))</f>
        <v>4999</v>
      </c>
      <c r="O371" s="46">
        <f>IF(VLOOKUP($C371,REV!$C:$AA,13,0)-'TRADE IN'!$F371=0,"",(VLOOKUP($C371,REV!$C:$AA,13,0)-'TRADE IN'!$F371))</f>
        <v>4799</v>
      </c>
      <c r="P371" s="46">
        <f>IF(VLOOKUP($C371,REV!$C:$AA,14,0)-'TRADE IN'!$F371=0,"",(VLOOKUP($C371,REV!$C:$AA,14,0)-'TRADE IN'!$F371))</f>
        <v>4699</v>
      </c>
      <c r="Q371" s="46">
        <f>IF(VLOOKUP($C371,REV!$C:$AA,15,0)-'TRADE IN'!$F371=0,"",(VLOOKUP($C371,REV!$C:$AA,15,0)-'TRADE IN'!$F371))</f>
        <v>3799</v>
      </c>
      <c r="R371" s="46">
        <f>IF(VLOOKUP($C371,REV!$C:$AA,16,0)-'TRADE IN'!$F371=0,"",(VLOOKUP($C371,REV!$C:$AA,16,0)-'TRADE IN'!$F371))</f>
        <v>4799</v>
      </c>
      <c r="S371" s="46">
        <f>IF(VLOOKUP($C371,REV!$C:$AA,17,0)-'TRADE IN'!$F371=0,"",(VLOOKUP($C371,REV!$C:$AA,17,0)-'TRADE IN'!$F371))</f>
        <v>4699</v>
      </c>
      <c r="T371" s="46">
        <f>IF(VLOOKUP($C371,REV!$C:$AA,18,0)-'TRADE IN'!$F371=0,"",(VLOOKUP($C371,REV!$C:$AA,18,0)-'TRADE IN'!$F371))</f>
        <v>3799</v>
      </c>
      <c r="U371" s="46">
        <f>IF(VLOOKUP($C371,REV!$C:$AA,19,0)-'TRADE IN'!$F371=0,"",(VLOOKUP($C371,REV!$C:$AA,19,0)-'TRADE IN'!$F371))</f>
        <v>3799</v>
      </c>
      <c r="V371" s="46">
        <f>IF(VLOOKUP($C371,REV!$C:$AA,20,0)-'TRADE IN'!$F371=0,"",(VLOOKUP($C371,REV!$C:$AA,20,0)-'TRADE IN'!$F371))</f>
        <v>3799</v>
      </c>
      <c r="W371" s="46">
        <f>IF(VLOOKUP($C371,REV!$C:$AA,21,0)-'TRADE IN'!$F371=0,"",(VLOOKUP($C371,REV!$C:$AA,21,0)-'TRADE IN'!$F371))</f>
        <v>3799</v>
      </c>
      <c r="X371" s="46">
        <f>IF(VLOOKUP($C371,REV!$C:$AA,22,0)-'TRADE IN'!$F371=0,"",(VLOOKUP($C371,REV!$C:$AA,22,0)-'TRADE IN'!$F371))</f>
        <v>3699</v>
      </c>
      <c r="Y371" s="46">
        <f>IF(VLOOKUP($C371,REV!$C:$AA,23,0)-'TRADE IN'!$F371=0,"",(VLOOKUP($C371,REV!$C:$AA,23,0)-'TRADE IN'!$F371))</f>
        <v>3499</v>
      </c>
      <c r="Z371" s="46">
        <f>IF(VLOOKUP($C371,REV!$C:$AA,24,0)-'TRADE IN'!$F371=0,"",(VLOOKUP($C371,REV!$C:$AA,24,0)-'TRADE IN'!$F371))</f>
        <v>3499</v>
      </c>
      <c r="AA371" s="46">
        <f>IF(VLOOKUP($C371,REV!$C:$AA,25,0)-'TRADE IN'!$F371=0,"",(VLOOKUP($C371,REV!$C:$AA,25,0)-'TRADE IN'!$F371))</f>
        <v>3499</v>
      </c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7"/>
      <c r="AW371" s="48" t="str">
        <f>REV!AW371</f>
        <v>01.12.2026</v>
      </c>
      <c r="AX371" s="153" t="str">
        <f>VLOOKUP(C371,REV!C:AX,48,0)</f>
        <v>5G</v>
      </c>
    </row>
    <row r="372" spans="1:50" ht="22.5" customHeight="1">
      <c r="A372" s="41" t="s">
        <v>63</v>
      </c>
      <c r="B372" s="42" t="s">
        <v>64</v>
      </c>
      <c r="C372" s="43">
        <v>4015305</v>
      </c>
      <c r="D372" s="58" t="s">
        <v>552</v>
      </c>
      <c r="E372" s="58" t="s">
        <v>559</v>
      </c>
      <c r="F372" s="45"/>
      <c r="G372" s="45"/>
      <c r="H372" s="45"/>
      <c r="I372" s="45"/>
      <c r="J372" s="46">
        <f>IF(VLOOKUP($C372,REV!$C:$AA,8,0)-'TRADE IN'!$F372=0,"",(VLOOKUP($C372,REV!$C:$AA,8,0)-'TRADE IN'!$F372))</f>
        <v>4999</v>
      </c>
      <c r="K372" s="46">
        <f>IF(VLOOKUP($C372,REV!$C:$AA,9,0)-'TRADE IN'!$F372=0,"",(VLOOKUP($C372,REV!$C:$AA,9,0)-'TRADE IN'!$F372))</f>
        <v>4899</v>
      </c>
      <c r="L372" s="46">
        <f>IF(VLOOKUP($C372,REV!$C:$AA,10,0)-'TRADE IN'!$F372=0,"",(VLOOKUP($C372,REV!$C:$AA,10,0)-'TRADE IN'!$F372))</f>
        <v>4899</v>
      </c>
      <c r="M372" s="46">
        <f>IF(VLOOKUP($C372,REV!$C:$AA,11,0)-'TRADE IN'!$F372=0,"",(VLOOKUP($C372,REV!$C:$AA,11,0)-'TRADE IN'!$F372))</f>
        <v>4999</v>
      </c>
      <c r="N372" s="46">
        <f>IF(VLOOKUP($C372,REV!$C:$AA,12,0)-'TRADE IN'!$F372=0,"",(VLOOKUP($C372,REV!$C:$AA,12,0)-'TRADE IN'!$F372))</f>
        <v>4999</v>
      </c>
      <c r="O372" s="46">
        <f>IF(VLOOKUP($C372,REV!$C:$AA,13,0)-'TRADE IN'!$F372=0,"",(VLOOKUP($C372,REV!$C:$AA,13,0)-'TRADE IN'!$F372))</f>
        <v>4799</v>
      </c>
      <c r="P372" s="46">
        <f>IF(VLOOKUP($C372,REV!$C:$AA,14,0)-'TRADE IN'!$F372=0,"",(VLOOKUP($C372,REV!$C:$AA,14,0)-'TRADE IN'!$F372))</f>
        <v>4699</v>
      </c>
      <c r="Q372" s="46">
        <f>IF(VLOOKUP($C372,REV!$C:$AA,15,0)-'TRADE IN'!$F372=0,"",(VLOOKUP($C372,REV!$C:$AA,15,0)-'TRADE IN'!$F372))</f>
        <v>3799</v>
      </c>
      <c r="R372" s="46">
        <f>IF(VLOOKUP($C372,REV!$C:$AA,16,0)-'TRADE IN'!$F372=0,"",(VLOOKUP($C372,REV!$C:$AA,16,0)-'TRADE IN'!$F372))</f>
        <v>4799</v>
      </c>
      <c r="S372" s="46">
        <f>IF(VLOOKUP($C372,REV!$C:$AA,17,0)-'TRADE IN'!$F372=0,"",(VLOOKUP($C372,REV!$C:$AA,17,0)-'TRADE IN'!$F372))</f>
        <v>4699</v>
      </c>
      <c r="T372" s="46">
        <f>IF(VLOOKUP($C372,REV!$C:$AA,18,0)-'TRADE IN'!$F372=0,"",(VLOOKUP($C372,REV!$C:$AA,18,0)-'TRADE IN'!$F372))</f>
        <v>3799</v>
      </c>
      <c r="U372" s="46">
        <f>IF(VLOOKUP($C372,REV!$C:$AA,19,0)-'TRADE IN'!$F372=0,"",(VLOOKUP($C372,REV!$C:$AA,19,0)-'TRADE IN'!$F372))</f>
        <v>3799</v>
      </c>
      <c r="V372" s="46">
        <f>IF(VLOOKUP($C372,REV!$C:$AA,20,0)-'TRADE IN'!$F372=0,"",(VLOOKUP($C372,REV!$C:$AA,20,0)-'TRADE IN'!$F372))</f>
        <v>3799</v>
      </c>
      <c r="W372" s="46">
        <f>IF(VLOOKUP($C372,REV!$C:$AA,21,0)-'TRADE IN'!$F372=0,"",(VLOOKUP($C372,REV!$C:$AA,21,0)-'TRADE IN'!$F372))</f>
        <v>3799</v>
      </c>
      <c r="X372" s="46">
        <f>IF(VLOOKUP($C372,REV!$C:$AA,22,0)-'TRADE IN'!$F372=0,"",(VLOOKUP($C372,REV!$C:$AA,22,0)-'TRADE IN'!$F372))</f>
        <v>3699</v>
      </c>
      <c r="Y372" s="46">
        <f>IF(VLOOKUP($C372,REV!$C:$AA,23,0)-'TRADE IN'!$F372=0,"",(VLOOKUP($C372,REV!$C:$AA,23,0)-'TRADE IN'!$F372))</f>
        <v>3499</v>
      </c>
      <c r="Z372" s="46">
        <f>IF(VLOOKUP($C372,REV!$C:$AA,24,0)-'TRADE IN'!$F372=0,"",(VLOOKUP($C372,REV!$C:$AA,24,0)-'TRADE IN'!$F372))</f>
        <v>3499</v>
      </c>
      <c r="AA372" s="46">
        <f>IF(VLOOKUP($C372,REV!$C:$AA,25,0)-'TRADE IN'!$F372=0,"",(VLOOKUP($C372,REV!$C:$AA,25,0)-'TRADE IN'!$F372))</f>
        <v>3499</v>
      </c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7"/>
      <c r="AW372" s="48" t="str">
        <f>REV!AW372</f>
        <v>01.12.2026</v>
      </c>
      <c r="AX372" s="153" t="str">
        <f>VLOOKUP(C372,REV!C:AX,48,0)</f>
        <v>5G</v>
      </c>
    </row>
    <row r="373" spans="1:50" ht="22.5" customHeight="1">
      <c r="A373" s="41" t="s">
        <v>63</v>
      </c>
      <c r="B373" s="42" t="s">
        <v>64</v>
      </c>
      <c r="C373" s="43">
        <v>4015337</v>
      </c>
      <c r="D373" s="58" t="s">
        <v>552</v>
      </c>
      <c r="E373" s="58" t="s">
        <v>560</v>
      </c>
      <c r="F373" s="45"/>
      <c r="G373" s="45"/>
      <c r="H373" s="45"/>
      <c r="I373" s="45"/>
      <c r="J373" s="46">
        <f>IF(VLOOKUP($C373,REV!$C:$AA,8,0)-'TRADE IN'!$F373=0,"",(VLOOKUP($C373,REV!$C:$AA,8,0)-'TRADE IN'!$F373))</f>
        <v>4999</v>
      </c>
      <c r="K373" s="46">
        <f>IF(VLOOKUP($C373,REV!$C:$AA,9,0)-'TRADE IN'!$F373=0,"",(VLOOKUP($C373,REV!$C:$AA,9,0)-'TRADE IN'!$F373))</f>
        <v>4899</v>
      </c>
      <c r="L373" s="46">
        <f>IF(VLOOKUP($C373,REV!$C:$AA,10,0)-'TRADE IN'!$F373=0,"",(VLOOKUP($C373,REV!$C:$AA,10,0)-'TRADE IN'!$F373))</f>
        <v>4899</v>
      </c>
      <c r="M373" s="46">
        <f>IF(VLOOKUP($C373,REV!$C:$AA,11,0)-'TRADE IN'!$F373=0,"",(VLOOKUP($C373,REV!$C:$AA,11,0)-'TRADE IN'!$F373))</f>
        <v>4999</v>
      </c>
      <c r="N373" s="46">
        <f>IF(VLOOKUP($C373,REV!$C:$AA,12,0)-'TRADE IN'!$F373=0,"",(VLOOKUP($C373,REV!$C:$AA,12,0)-'TRADE IN'!$F373))</f>
        <v>4999</v>
      </c>
      <c r="O373" s="46">
        <f>IF(VLOOKUP($C373,REV!$C:$AA,13,0)-'TRADE IN'!$F373=0,"",(VLOOKUP($C373,REV!$C:$AA,13,0)-'TRADE IN'!$F373))</f>
        <v>4799</v>
      </c>
      <c r="P373" s="46">
        <f>IF(VLOOKUP($C373,REV!$C:$AA,14,0)-'TRADE IN'!$F373=0,"",(VLOOKUP($C373,REV!$C:$AA,14,0)-'TRADE IN'!$F373))</f>
        <v>4699</v>
      </c>
      <c r="Q373" s="46">
        <f>IF(VLOOKUP($C373,REV!$C:$AA,15,0)-'TRADE IN'!$F373=0,"",(VLOOKUP($C373,REV!$C:$AA,15,0)-'TRADE IN'!$F373))</f>
        <v>3799</v>
      </c>
      <c r="R373" s="46">
        <f>IF(VLOOKUP($C373,REV!$C:$AA,16,0)-'TRADE IN'!$F373=0,"",(VLOOKUP($C373,REV!$C:$AA,16,0)-'TRADE IN'!$F373))</f>
        <v>4799</v>
      </c>
      <c r="S373" s="46">
        <f>IF(VLOOKUP($C373,REV!$C:$AA,17,0)-'TRADE IN'!$F373=0,"",(VLOOKUP($C373,REV!$C:$AA,17,0)-'TRADE IN'!$F373))</f>
        <v>4699</v>
      </c>
      <c r="T373" s="46">
        <f>IF(VLOOKUP($C373,REV!$C:$AA,18,0)-'TRADE IN'!$F373=0,"",(VLOOKUP($C373,REV!$C:$AA,18,0)-'TRADE IN'!$F373))</f>
        <v>3799</v>
      </c>
      <c r="U373" s="46">
        <f>IF(VLOOKUP($C373,REV!$C:$AA,19,0)-'TRADE IN'!$F373=0,"",(VLOOKUP($C373,REV!$C:$AA,19,0)-'TRADE IN'!$F373))</f>
        <v>3799</v>
      </c>
      <c r="V373" s="46">
        <f>IF(VLOOKUP($C373,REV!$C:$AA,20,0)-'TRADE IN'!$F373=0,"",(VLOOKUP($C373,REV!$C:$AA,20,0)-'TRADE IN'!$F373))</f>
        <v>3799</v>
      </c>
      <c r="W373" s="46">
        <f>IF(VLOOKUP($C373,REV!$C:$AA,21,0)-'TRADE IN'!$F373=0,"",(VLOOKUP($C373,REV!$C:$AA,21,0)-'TRADE IN'!$F373))</f>
        <v>3799</v>
      </c>
      <c r="X373" s="46">
        <f>IF(VLOOKUP($C373,REV!$C:$AA,22,0)-'TRADE IN'!$F373=0,"",(VLOOKUP($C373,REV!$C:$AA,22,0)-'TRADE IN'!$F373))</f>
        <v>3699</v>
      </c>
      <c r="Y373" s="46">
        <f>IF(VLOOKUP($C373,REV!$C:$AA,23,0)-'TRADE IN'!$F373=0,"",(VLOOKUP($C373,REV!$C:$AA,23,0)-'TRADE IN'!$F373))</f>
        <v>3499</v>
      </c>
      <c r="Z373" s="46">
        <f>IF(VLOOKUP($C373,REV!$C:$AA,24,0)-'TRADE IN'!$F373=0,"",(VLOOKUP($C373,REV!$C:$AA,24,0)-'TRADE IN'!$F373))</f>
        <v>3499</v>
      </c>
      <c r="AA373" s="46">
        <f>IF(VLOOKUP($C373,REV!$C:$AA,25,0)-'TRADE IN'!$F373=0,"",(VLOOKUP($C373,REV!$C:$AA,25,0)-'TRADE IN'!$F373))</f>
        <v>3499</v>
      </c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7"/>
      <c r="AW373" s="48" t="str">
        <f>REV!AW373</f>
        <v>01.12.2026</v>
      </c>
      <c r="AX373" s="153" t="str">
        <f>VLOOKUP(C373,REV!C:AX,48,0)</f>
        <v>5G</v>
      </c>
    </row>
    <row r="374" spans="1:50" ht="22.5" customHeight="1">
      <c r="A374" s="41" t="s">
        <v>63</v>
      </c>
      <c r="B374" s="42" t="s">
        <v>64</v>
      </c>
      <c r="C374" s="43">
        <v>4015663</v>
      </c>
      <c r="D374" s="58" t="s">
        <v>561</v>
      </c>
      <c r="E374" s="58" t="s">
        <v>562</v>
      </c>
      <c r="F374" s="45"/>
      <c r="G374" s="45"/>
      <c r="H374" s="45"/>
      <c r="I374" s="45"/>
      <c r="J374" s="46">
        <f>IF(VLOOKUP($C374,REV!$C:$AA,8,0)-'TRADE IN'!$F374=0,"",(VLOOKUP($C374,REV!$C:$AA,8,0)-'TRADE IN'!$F374))</f>
        <v>2799</v>
      </c>
      <c r="K374" s="46">
        <f>IF(VLOOKUP($C374,REV!$C:$AA,9,0)-'TRADE IN'!$F374=0,"",(VLOOKUP($C374,REV!$C:$AA,9,0)-'TRADE IN'!$F374))</f>
        <v>2699</v>
      </c>
      <c r="L374" s="46">
        <f>IF(VLOOKUP($C374,REV!$C:$AA,10,0)-'TRADE IN'!$F374=0,"",(VLOOKUP($C374,REV!$C:$AA,10,0)-'TRADE IN'!$F374))</f>
        <v>2699</v>
      </c>
      <c r="M374" s="46">
        <f>IF(VLOOKUP($C374,REV!$C:$AA,11,0)-'TRADE IN'!$F374=0,"",(VLOOKUP($C374,REV!$C:$AA,11,0)-'TRADE IN'!$F374))</f>
        <v>2799</v>
      </c>
      <c r="N374" s="46">
        <f>IF(VLOOKUP($C374,REV!$C:$AA,12,0)-'TRADE IN'!$F374=0,"",(VLOOKUP($C374,REV!$C:$AA,12,0)-'TRADE IN'!$F374))</f>
        <v>2799</v>
      </c>
      <c r="O374" s="46">
        <f>IF(VLOOKUP($C374,REV!$C:$AA,13,0)-'TRADE IN'!$F374=0,"",(VLOOKUP($C374,REV!$C:$AA,13,0)-'TRADE IN'!$F374))</f>
        <v>2499</v>
      </c>
      <c r="P374" s="46">
        <f>IF(VLOOKUP($C374,REV!$C:$AA,14,0)-'TRADE IN'!$F374=0,"",(VLOOKUP($C374,REV!$C:$AA,14,0)-'TRADE IN'!$F374))</f>
        <v>2299</v>
      </c>
      <c r="Q374" s="46">
        <f>IF(VLOOKUP($C374,REV!$C:$AA,15,0)-'TRADE IN'!$F374=0,"",(VLOOKUP($C374,REV!$C:$AA,15,0)-'TRADE IN'!$F374))</f>
        <v>1499</v>
      </c>
      <c r="R374" s="46">
        <f>IF(VLOOKUP($C374,REV!$C:$AA,16,0)-'TRADE IN'!$F374=0,"",(VLOOKUP($C374,REV!$C:$AA,16,0)-'TRADE IN'!$F374))</f>
        <v>2499</v>
      </c>
      <c r="S374" s="46">
        <f>IF(VLOOKUP($C374,REV!$C:$AA,17,0)-'TRADE IN'!$F374=0,"",(VLOOKUP($C374,REV!$C:$AA,17,0)-'TRADE IN'!$F374))</f>
        <v>2299</v>
      </c>
      <c r="T374" s="46">
        <f>IF(VLOOKUP($C374,REV!$C:$AA,18,0)-'TRADE IN'!$F374=0,"",(VLOOKUP($C374,REV!$C:$AA,18,0)-'TRADE IN'!$F374))</f>
        <v>1499</v>
      </c>
      <c r="U374" s="46">
        <f>IF(VLOOKUP($C374,REV!$C:$AA,19,0)-'TRADE IN'!$F374=0,"",(VLOOKUP($C374,REV!$C:$AA,19,0)-'TRADE IN'!$F374))</f>
        <v>1499</v>
      </c>
      <c r="V374" s="46">
        <f>IF(VLOOKUP($C374,REV!$C:$AA,20,0)-'TRADE IN'!$F374=0,"",(VLOOKUP($C374,REV!$C:$AA,20,0)-'TRADE IN'!$F374))</f>
        <v>1499</v>
      </c>
      <c r="W374" s="46">
        <f>IF(VLOOKUP($C374,REV!$C:$AA,21,0)-'TRADE IN'!$F374=0,"",(VLOOKUP($C374,REV!$C:$AA,21,0)-'TRADE IN'!$F374))</f>
        <v>1499</v>
      </c>
      <c r="X374" s="46">
        <f>IF(VLOOKUP($C374,REV!$C:$AA,22,0)-'TRADE IN'!$F374=0,"",(VLOOKUP($C374,REV!$C:$AA,22,0)-'TRADE IN'!$F374))</f>
        <v>1399</v>
      </c>
      <c r="Y374" s="46">
        <f>IF(VLOOKUP($C374,REV!$C:$AA,23,0)-'TRADE IN'!$F374=0,"",(VLOOKUP($C374,REV!$C:$AA,23,0)-'TRADE IN'!$F374))</f>
        <v>1199</v>
      </c>
      <c r="Z374" s="46">
        <f>IF(VLOOKUP($C374,REV!$C:$AA,24,0)-'TRADE IN'!$F374=0,"",(VLOOKUP($C374,REV!$C:$AA,24,0)-'TRADE IN'!$F374))</f>
        <v>1199</v>
      </c>
      <c r="AA374" s="46">
        <f>IF(VLOOKUP($C374,REV!$C:$AA,25,0)-'TRADE IN'!$F374=0,"",(VLOOKUP($C374,REV!$C:$AA,25,0)-'TRADE IN'!$F374))</f>
        <v>1199</v>
      </c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7"/>
      <c r="AW374" s="48" t="str">
        <f>REV!AW374</f>
        <v>01.12.2026</v>
      </c>
      <c r="AX374" s="153" t="str">
        <f>VLOOKUP(C374,REV!C:AX,48,0)</f>
        <v>5G</v>
      </c>
    </row>
    <row r="375" spans="1:50" ht="22.5" customHeight="1">
      <c r="A375" s="41" t="s">
        <v>63</v>
      </c>
      <c r="B375" s="42" t="s">
        <v>64</v>
      </c>
      <c r="C375" s="43">
        <v>4015665</v>
      </c>
      <c r="D375" s="58" t="s">
        <v>561</v>
      </c>
      <c r="E375" s="58" t="s">
        <v>563</v>
      </c>
      <c r="F375" s="45"/>
      <c r="G375" s="45"/>
      <c r="H375" s="45"/>
      <c r="I375" s="45"/>
      <c r="J375" s="46">
        <f>IF(VLOOKUP($C375,REV!$C:$AA,8,0)-'TRADE IN'!$F375=0,"",(VLOOKUP($C375,REV!$C:$AA,8,0)-'TRADE IN'!$F375))</f>
        <v>2799</v>
      </c>
      <c r="K375" s="46">
        <f>IF(VLOOKUP($C375,REV!$C:$AA,9,0)-'TRADE IN'!$F375=0,"",(VLOOKUP($C375,REV!$C:$AA,9,0)-'TRADE IN'!$F375))</f>
        <v>2699</v>
      </c>
      <c r="L375" s="46">
        <f>IF(VLOOKUP($C375,REV!$C:$AA,10,0)-'TRADE IN'!$F375=0,"",(VLOOKUP($C375,REV!$C:$AA,10,0)-'TRADE IN'!$F375))</f>
        <v>2699</v>
      </c>
      <c r="M375" s="46">
        <f>IF(VLOOKUP($C375,REV!$C:$AA,11,0)-'TRADE IN'!$F375=0,"",(VLOOKUP($C375,REV!$C:$AA,11,0)-'TRADE IN'!$F375))</f>
        <v>2799</v>
      </c>
      <c r="N375" s="46">
        <f>IF(VLOOKUP($C375,REV!$C:$AA,12,0)-'TRADE IN'!$F375=0,"",(VLOOKUP($C375,REV!$C:$AA,12,0)-'TRADE IN'!$F375))</f>
        <v>2799</v>
      </c>
      <c r="O375" s="46">
        <f>IF(VLOOKUP($C375,REV!$C:$AA,13,0)-'TRADE IN'!$F375=0,"",(VLOOKUP($C375,REV!$C:$AA,13,0)-'TRADE IN'!$F375))</f>
        <v>2499</v>
      </c>
      <c r="P375" s="46">
        <f>IF(VLOOKUP($C375,REV!$C:$AA,14,0)-'TRADE IN'!$F375=0,"",(VLOOKUP($C375,REV!$C:$AA,14,0)-'TRADE IN'!$F375))</f>
        <v>2299</v>
      </c>
      <c r="Q375" s="46">
        <f>IF(VLOOKUP($C375,REV!$C:$AA,15,0)-'TRADE IN'!$F375=0,"",(VLOOKUP($C375,REV!$C:$AA,15,0)-'TRADE IN'!$F375))</f>
        <v>1499</v>
      </c>
      <c r="R375" s="46">
        <f>IF(VLOOKUP($C375,REV!$C:$AA,16,0)-'TRADE IN'!$F375=0,"",(VLOOKUP($C375,REV!$C:$AA,16,0)-'TRADE IN'!$F375))</f>
        <v>2499</v>
      </c>
      <c r="S375" s="46">
        <f>IF(VLOOKUP($C375,REV!$C:$AA,17,0)-'TRADE IN'!$F375=0,"",(VLOOKUP($C375,REV!$C:$AA,17,0)-'TRADE IN'!$F375))</f>
        <v>2299</v>
      </c>
      <c r="T375" s="46">
        <f>IF(VLOOKUP($C375,REV!$C:$AA,18,0)-'TRADE IN'!$F375=0,"",(VLOOKUP($C375,REV!$C:$AA,18,0)-'TRADE IN'!$F375))</f>
        <v>1499</v>
      </c>
      <c r="U375" s="46">
        <f>IF(VLOOKUP($C375,REV!$C:$AA,19,0)-'TRADE IN'!$F375=0,"",(VLOOKUP($C375,REV!$C:$AA,19,0)-'TRADE IN'!$F375))</f>
        <v>1499</v>
      </c>
      <c r="V375" s="46">
        <f>IF(VLOOKUP($C375,REV!$C:$AA,20,0)-'TRADE IN'!$F375=0,"",(VLOOKUP($C375,REV!$C:$AA,20,0)-'TRADE IN'!$F375))</f>
        <v>1499</v>
      </c>
      <c r="W375" s="46">
        <f>IF(VLOOKUP($C375,REV!$C:$AA,21,0)-'TRADE IN'!$F375=0,"",(VLOOKUP($C375,REV!$C:$AA,21,0)-'TRADE IN'!$F375))</f>
        <v>1499</v>
      </c>
      <c r="X375" s="46">
        <f>IF(VLOOKUP($C375,REV!$C:$AA,22,0)-'TRADE IN'!$F375=0,"",(VLOOKUP($C375,REV!$C:$AA,22,0)-'TRADE IN'!$F375))</f>
        <v>1399</v>
      </c>
      <c r="Y375" s="46">
        <f>IF(VLOOKUP($C375,REV!$C:$AA,23,0)-'TRADE IN'!$F375=0,"",(VLOOKUP($C375,REV!$C:$AA,23,0)-'TRADE IN'!$F375))</f>
        <v>1199</v>
      </c>
      <c r="Z375" s="46">
        <f>IF(VLOOKUP($C375,REV!$C:$AA,24,0)-'TRADE IN'!$F375=0,"",(VLOOKUP($C375,REV!$C:$AA,24,0)-'TRADE IN'!$F375))</f>
        <v>1199</v>
      </c>
      <c r="AA375" s="46">
        <f>IF(VLOOKUP($C375,REV!$C:$AA,25,0)-'TRADE IN'!$F375=0,"",(VLOOKUP($C375,REV!$C:$AA,25,0)-'TRADE IN'!$F375))</f>
        <v>1199</v>
      </c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7"/>
      <c r="AW375" s="48" t="str">
        <f>REV!AW375</f>
        <v>01.12.2026</v>
      </c>
      <c r="AX375" s="153" t="str">
        <f>VLOOKUP(C375,REV!C:AX,48,0)</f>
        <v>5G</v>
      </c>
    </row>
    <row r="376" spans="1:50" ht="22.5" customHeight="1">
      <c r="A376" s="41" t="s">
        <v>63</v>
      </c>
      <c r="B376" s="42" t="s">
        <v>64</v>
      </c>
      <c r="C376" s="43">
        <v>4015666</v>
      </c>
      <c r="D376" s="58" t="s">
        <v>561</v>
      </c>
      <c r="E376" s="58" t="s">
        <v>564</v>
      </c>
      <c r="F376" s="45"/>
      <c r="G376" s="45"/>
      <c r="H376" s="45"/>
      <c r="I376" s="45"/>
      <c r="J376" s="46">
        <f>IF(VLOOKUP($C376,REV!$C:$AA,8,0)-'TRADE IN'!$F376=0,"",(VLOOKUP($C376,REV!$C:$AA,8,0)-'TRADE IN'!$F376))</f>
        <v>2799</v>
      </c>
      <c r="K376" s="46">
        <f>IF(VLOOKUP($C376,REV!$C:$AA,9,0)-'TRADE IN'!$F376=0,"",(VLOOKUP($C376,REV!$C:$AA,9,0)-'TRADE IN'!$F376))</f>
        <v>2699</v>
      </c>
      <c r="L376" s="46">
        <f>IF(VLOOKUP($C376,REV!$C:$AA,10,0)-'TRADE IN'!$F376=0,"",(VLOOKUP($C376,REV!$C:$AA,10,0)-'TRADE IN'!$F376))</f>
        <v>2699</v>
      </c>
      <c r="M376" s="46">
        <f>IF(VLOOKUP($C376,REV!$C:$AA,11,0)-'TRADE IN'!$F376=0,"",(VLOOKUP($C376,REV!$C:$AA,11,0)-'TRADE IN'!$F376))</f>
        <v>2799</v>
      </c>
      <c r="N376" s="46">
        <f>IF(VLOOKUP($C376,REV!$C:$AA,12,0)-'TRADE IN'!$F376=0,"",(VLOOKUP($C376,REV!$C:$AA,12,0)-'TRADE IN'!$F376))</f>
        <v>2799</v>
      </c>
      <c r="O376" s="46">
        <f>IF(VLOOKUP($C376,REV!$C:$AA,13,0)-'TRADE IN'!$F376=0,"",(VLOOKUP($C376,REV!$C:$AA,13,0)-'TRADE IN'!$F376))</f>
        <v>2499</v>
      </c>
      <c r="P376" s="46">
        <f>IF(VLOOKUP($C376,REV!$C:$AA,14,0)-'TRADE IN'!$F376=0,"",(VLOOKUP($C376,REV!$C:$AA,14,0)-'TRADE IN'!$F376))</f>
        <v>2299</v>
      </c>
      <c r="Q376" s="46">
        <f>IF(VLOOKUP($C376,REV!$C:$AA,15,0)-'TRADE IN'!$F376=0,"",(VLOOKUP($C376,REV!$C:$AA,15,0)-'TRADE IN'!$F376))</f>
        <v>1499</v>
      </c>
      <c r="R376" s="46">
        <f>IF(VLOOKUP($C376,REV!$C:$AA,16,0)-'TRADE IN'!$F376=0,"",(VLOOKUP($C376,REV!$C:$AA,16,0)-'TRADE IN'!$F376))</f>
        <v>2499</v>
      </c>
      <c r="S376" s="46">
        <f>IF(VLOOKUP($C376,REV!$C:$AA,17,0)-'TRADE IN'!$F376=0,"",(VLOOKUP($C376,REV!$C:$AA,17,0)-'TRADE IN'!$F376))</f>
        <v>2299</v>
      </c>
      <c r="T376" s="46">
        <f>IF(VLOOKUP($C376,REV!$C:$AA,18,0)-'TRADE IN'!$F376=0,"",(VLOOKUP($C376,REV!$C:$AA,18,0)-'TRADE IN'!$F376))</f>
        <v>1499</v>
      </c>
      <c r="U376" s="46">
        <f>IF(VLOOKUP($C376,REV!$C:$AA,19,0)-'TRADE IN'!$F376=0,"",(VLOOKUP($C376,REV!$C:$AA,19,0)-'TRADE IN'!$F376))</f>
        <v>1499</v>
      </c>
      <c r="V376" s="46">
        <f>IF(VLOOKUP($C376,REV!$C:$AA,20,0)-'TRADE IN'!$F376=0,"",(VLOOKUP($C376,REV!$C:$AA,20,0)-'TRADE IN'!$F376))</f>
        <v>1499</v>
      </c>
      <c r="W376" s="46">
        <f>IF(VLOOKUP($C376,REV!$C:$AA,21,0)-'TRADE IN'!$F376=0,"",(VLOOKUP($C376,REV!$C:$AA,21,0)-'TRADE IN'!$F376))</f>
        <v>1499</v>
      </c>
      <c r="X376" s="46">
        <f>IF(VLOOKUP($C376,REV!$C:$AA,22,0)-'TRADE IN'!$F376=0,"",(VLOOKUP($C376,REV!$C:$AA,22,0)-'TRADE IN'!$F376))</f>
        <v>1399</v>
      </c>
      <c r="Y376" s="46">
        <f>IF(VLOOKUP($C376,REV!$C:$AA,23,0)-'TRADE IN'!$F376=0,"",(VLOOKUP($C376,REV!$C:$AA,23,0)-'TRADE IN'!$F376))</f>
        <v>1199</v>
      </c>
      <c r="Z376" s="46">
        <f>IF(VLOOKUP($C376,REV!$C:$AA,24,0)-'TRADE IN'!$F376=0,"",(VLOOKUP($C376,REV!$C:$AA,24,0)-'TRADE IN'!$F376))</f>
        <v>1199</v>
      </c>
      <c r="AA376" s="46">
        <f>IF(VLOOKUP($C376,REV!$C:$AA,25,0)-'TRADE IN'!$F376=0,"",(VLOOKUP($C376,REV!$C:$AA,25,0)-'TRADE IN'!$F376))</f>
        <v>1199</v>
      </c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7"/>
      <c r="AW376" s="48" t="str">
        <f>REV!AW376</f>
        <v>01.12.2026</v>
      </c>
      <c r="AX376" s="153" t="str">
        <f>VLOOKUP(C376,REV!C:AX,48,0)</f>
        <v>5G</v>
      </c>
    </row>
    <row r="377" spans="1:50" ht="22.5" customHeight="1">
      <c r="A377" s="41" t="s">
        <v>63</v>
      </c>
      <c r="B377" s="42" t="s">
        <v>64</v>
      </c>
      <c r="C377" s="43">
        <v>4016031</v>
      </c>
      <c r="D377" s="58" t="s">
        <v>565</v>
      </c>
      <c r="E377" s="58" t="s">
        <v>566</v>
      </c>
      <c r="F377" s="45">
        <v>500</v>
      </c>
      <c r="G377" s="45"/>
      <c r="H377" s="45"/>
      <c r="I377" s="45"/>
      <c r="J377" s="46">
        <f>IF(VLOOKUP($C377,REV!$C:$AA,8,0)-'TRADE IN'!$F377=0,"",(VLOOKUP($C377,REV!$C:$AA,8,0)-'TRADE IN'!$F377))</f>
        <v>499</v>
      </c>
      <c r="K377" s="46">
        <f>IF(VLOOKUP($C377,REV!$C:$AA,9,0)-'TRADE IN'!$F377=0,"",(VLOOKUP($C377,REV!$C:$AA,9,0)-'TRADE IN'!$F377))</f>
        <v>499</v>
      </c>
      <c r="L377" s="46">
        <f>IF(VLOOKUP($C377,REV!$C:$AA,10,0)-'TRADE IN'!$F377=0,"",(VLOOKUP($C377,REV!$C:$AA,10,0)-'TRADE IN'!$F377))</f>
        <v>499</v>
      </c>
      <c r="M377" s="46">
        <f>IF(VLOOKUP($C377,REV!$C:$AA,11,0)-'TRADE IN'!$F377=0,"",(VLOOKUP($C377,REV!$C:$AA,11,0)-'TRADE IN'!$F377))</f>
        <v>499</v>
      </c>
      <c r="N377" s="46">
        <f>IF(VLOOKUP($C377,REV!$C:$AA,12,0)-'TRADE IN'!$F377=0,"",(VLOOKUP($C377,REV!$C:$AA,12,0)-'TRADE IN'!$F377))</f>
        <v>499</v>
      </c>
      <c r="O377" s="46">
        <f>IF(VLOOKUP($C377,REV!$C:$AA,13,0)-'TRADE IN'!$F377=0,"",(VLOOKUP($C377,REV!$C:$AA,13,0)-'TRADE IN'!$F377))</f>
        <v>499</v>
      </c>
      <c r="P377" s="46">
        <f>IF(VLOOKUP($C377,REV!$C:$AA,14,0)-'TRADE IN'!$F377=0,"",(VLOOKUP($C377,REV!$C:$AA,14,0)-'TRADE IN'!$F377))</f>
        <v>499</v>
      </c>
      <c r="Q377" s="46">
        <f>IF(VLOOKUP($C377,REV!$C:$AA,15,0)-'TRADE IN'!$F377=0,"",(VLOOKUP($C377,REV!$C:$AA,15,0)-'TRADE IN'!$F377))</f>
        <v>499</v>
      </c>
      <c r="R377" s="46">
        <f>IF(VLOOKUP($C377,REV!$C:$AA,16,0)-'TRADE IN'!$F377=0,"",(VLOOKUP($C377,REV!$C:$AA,16,0)-'TRADE IN'!$F377))</f>
        <v>499</v>
      </c>
      <c r="S377" s="46">
        <f>IF(VLOOKUP($C377,REV!$C:$AA,17,0)-'TRADE IN'!$F377=0,"",(VLOOKUP($C377,REV!$C:$AA,17,0)-'TRADE IN'!$F377))</f>
        <v>499</v>
      </c>
      <c r="T377" s="46">
        <f>IF(VLOOKUP($C377,REV!$C:$AA,18,0)-'TRADE IN'!$F377=0,"",(VLOOKUP($C377,REV!$C:$AA,18,0)-'TRADE IN'!$F377))</f>
        <v>499</v>
      </c>
      <c r="U377" s="46">
        <f>IF(VLOOKUP($C377,REV!$C:$AA,19,0)-'TRADE IN'!$F377=0,"",(VLOOKUP($C377,REV!$C:$AA,19,0)-'TRADE IN'!$F377))</f>
        <v>499</v>
      </c>
      <c r="V377" s="46">
        <f>IF(VLOOKUP($C377,REV!$C:$AA,20,0)-'TRADE IN'!$F377=0,"",(VLOOKUP($C377,REV!$C:$AA,20,0)-'TRADE IN'!$F377))</f>
        <v>499</v>
      </c>
      <c r="W377" s="46">
        <f>IF(VLOOKUP($C377,REV!$C:$AA,21,0)-'TRADE IN'!$F377=0,"",(VLOOKUP($C377,REV!$C:$AA,21,0)-'TRADE IN'!$F377))</f>
        <v>499</v>
      </c>
      <c r="X377" s="46">
        <f>IF(VLOOKUP($C377,REV!$C:$AA,22,0)-'TRADE IN'!$F377=0,"",(VLOOKUP($C377,REV!$C:$AA,22,0)-'TRADE IN'!$F377))</f>
        <v>499</v>
      </c>
      <c r="Y377" s="46">
        <f>IF(VLOOKUP($C377,REV!$C:$AA,23,0)-'TRADE IN'!$F377=0,"",(VLOOKUP($C377,REV!$C:$AA,23,0)-'TRADE IN'!$F377))</f>
        <v>499</v>
      </c>
      <c r="Z377" s="46">
        <f>IF(VLOOKUP($C377,REV!$C:$AA,24,0)-'TRADE IN'!$F377=0,"",(VLOOKUP($C377,REV!$C:$AA,24,0)-'TRADE IN'!$F377))</f>
        <v>499</v>
      </c>
      <c r="AA377" s="46">
        <f>IF(VLOOKUP($C377,REV!$C:$AA,25,0)-'TRADE IN'!$F377=0,"",(VLOOKUP($C377,REV!$C:$AA,25,0)-'TRADE IN'!$F377))</f>
        <v>499</v>
      </c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7"/>
      <c r="AW377" s="48" t="str">
        <f>REV!AW377</f>
        <v>01.12.2026</v>
      </c>
      <c r="AX377" s="153" t="str">
        <f>VLOOKUP(C377,REV!C:AX,48,0)</f>
        <v>5G</v>
      </c>
    </row>
    <row r="378" spans="1:50" ht="22.5" customHeight="1">
      <c r="A378" s="41" t="s">
        <v>63</v>
      </c>
      <c r="B378" s="42" t="s">
        <v>64</v>
      </c>
      <c r="C378" s="43">
        <v>4016063</v>
      </c>
      <c r="D378" s="58" t="s">
        <v>565</v>
      </c>
      <c r="E378" s="58" t="s">
        <v>567</v>
      </c>
      <c r="F378" s="45">
        <v>500</v>
      </c>
      <c r="G378" s="45"/>
      <c r="H378" s="45"/>
      <c r="I378" s="45"/>
      <c r="J378" s="46">
        <f>IF(VLOOKUP($C378,REV!$C:$AA,8,0)-'TRADE IN'!$F378=0,"",(VLOOKUP($C378,REV!$C:$AA,8,0)-'TRADE IN'!$F378))</f>
        <v>499</v>
      </c>
      <c r="K378" s="46">
        <f>IF(VLOOKUP($C378,REV!$C:$AA,9,0)-'TRADE IN'!$F378=0,"",(VLOOKUP($C378,REV!$C:$AA,9,0)-'TRADE IN'!$F378))</f>
        <v>499</v>
      </c>
      <c r="L378" s="46">
        <f>IF(VLOOKUP($C378,REV!$C:$AA,10,0)-'TRADE IN'!$F378=0,"",(VLOOKUP($C378,REV!$C:$AA,10,0)-'TRADE IN'!$F378))</f>
        <v>499</v>
      </c>
      <c r="M378" s="46">
        <f>IF(VLOOKUP($C378,REV!$C:$AA,11,0)-'TRADE IN'!$F378=0,"",(VLOOKUP($C378,REV!$C:$AA,11,0)-'TRADE IN'!$F378))</f>
        <v>499</v>
      </c>
      <c r="N378" s="46">
        <f>IF(VLOOKUP($C378,REV!$C:$AA,12,0)-'TRADE IN'!$F378=0,"",(VLOOKUP($C378,REV!$C:$AA,12,0)-'TRADE IN'!$F378))</f>
        <v>499</v>
      </c>
      <c r="O378" s="46">
        <f>IF(VLOOKUP($C378,REV!$C:$AA,13,0)-'TRADE IN'!$F378=0,"",(VLOOKUP($C378,REV!$C:$AA,13,0)-'TRADE IN'!$F378))</f>
        <v>499</v>
      </c>
      <c r="P378" s="46">
        <f>IF(VLOOKUP($C378,REV!$C:$AA,14,0)-'TRADE IN'!$F378=0,"",(VLOOKUP($C378,REV!$C:$AA,14,0)-'TRADE IN'!$F378))</f>
        <v>499</v>
      </c>
      <c r="Q378" s="46">
        <f>IF(VLOOKUP($C378,REV!$C:$AA,15,0)-'TRADE IN'!$F378=0,"",(VLOOKUP($C378,REV!$C:$AA,15,0)-'TRADE IN'!$F378))</f>
        <v>499</v>
      </c>
      <c r="R378" s="46">
        <f>IF(VLOOKUP($C378,REV!$C:$AA,16,0)-'TRADE IN'!$F378=0,"",(VLOOKUP($C378,REV!$C:$AA,16,0)-'TRADE IN'!$F378))</f>
        <v>499</v>
      </c>
      <c r="S378" s="46">
        <f>IF(VLOOKUP($C378,REV!$C:$AA,17,0)-'TRADE IN'!$F378=0,"",(VLOOKUP($C378,REV!$C:$AA,17,0)-'TRADE IN'!$F378))</f>
        <v>499</v>
      </c>
      <c r="T378" s="46">
        <f>IF(VLOOKUP($C378,REV!$C:$AA,18,0)-'TRADE IN'!$F378=0,"",(VLOOKUP($C378,REV!$C:$AA,18,0)-'TRADE IN'!$F378))</f>
        <v>499</v>
      </c>
      <c r="U378" s="46">
        <f>IF(VLOOKUP($C378,REV!$C:$AA,19,0)-'TRADE IN'!$F378=0,"",(VLOOKUP($C378,REV!$C:$AA,19,0)-'TRADE IN'!$F378))</f>
        <v>499</v>
      </c>
      <c r="V378" s="46">
        <f>IF(VLOOKUP($C378,REV!$C:$AA,20,0)-'TRADE IN'!$F378=0,"",(VLOOKUP($C378,REV!$C:$AA,20,0)-'TRADE IN'!$F378))</f>
        <v>499</v>
      </c>
      <c r="W378" s="46">
        <f>IF(VLOOKUP($C378,REV!$C:$AA,21,0)-'TRADE IN'!$F378=0,"",(VLOOKUP($C378,REV!$C:$AA,21,0)-'TRADE IN'!$F378))</f>
        <v>499</v>
      </c>
      <c r="X378" s="46">
        <f>IF(VLOOKUP($C378,REV!$C:$AA,22,0)-'TRADE IN'!$F378=0,"",(VLOOKUP($C378,REV!$C:$AA,22,0)-'TRADE IN'!$F378))</f>
        <v>499</v>
      </c>
      <c r="Y378" s="46">
        <f>IF(VLOOKUP($C378,REV!$C:$AA,23,0)-'TRADE IN'!$F378=0,"",(VLOOKUP($C378,REV!$C:$AA,23,0)-'TRADE IN'!$F378))</f>
        <v>499</v>
      </c>
      <c r="Z378" s="46">
        <f>IF(VLOOKUP($C378,REV!$C:$AA,24,0)-'TRADE IN'!$F378=0,"",(VLOOKUP($C378,REV!$C:$AA,24,0)-'TRADE IN'!$F378))</f>
        <v>499</v>
      </c>
      <c r="AA378" s="46">
        <f>IF(VLOOKUP($C378,REV!$C:$AA,25,0)-'TRADE IN'!$F378=0,"",(VLOOKUP($C378,REV!$C:$AA,25,0)-'TRADE IN'!$F378))</f>
        <v>499</v>
      </c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7"/>
      <c r="AW378" s="48" t="str">
        <f>REV!AW378</f>
        <v>01.12.2026</v>
      </c>
      <c r="AX378" s="153" t="str">
        <f>VLOOKUP(C378,REV!C:AX,48,0)</f>
        <v>5G</v>
      </c>
    </row>
    <row r="379" spans="1:50" ht="22.5" customHeight="1">
      <c r="A379" s="41" t="s">
        <v>63</v>
      </c>
      <c r="B379" s="42" t="s">
        <v>64</v>
      </c>
      <c r="C379" s="43">
        <v>4015884</v>
      </c>
      <c r="D379" s="58" t="s">
        <v>565</v>
      </c>
      <c r="E379" s="58" t="s">
        <v>568</v>
      </c>
      <c r="F379" s="45">
        <v>500</v>
      </c>
      <c r="G379" s="45"/>
      <c r="H379" s="45"/>
      <c r="I379" s="45"/>
      <c r="J379" s="46">
        <f>IF(VLOOKUP($C379,REV!$C:$AA,8,0)-'TRADE IN'!$F379=0,"",(VLOOKUP($C379,REV!$C:$AA,8,0)-'TRADE IN'!$F379))</f>
        <v>499</v>
      </c>
      <c r="K379" s="46">
        <f>IF(VLOOKUP($C379,REV!$C:$AA,9,0)-'TRADE IN'!$F379=0,"",(VLOOKUP($C379,REV!$C:$AA,9,0)-'TRADE IN'!$F379))</f>
        <v>499</v>
      </c>
      <c r="L379" s="46">
        <f>IF(VLOOKUP($C379,REV!$C:$AA,10,0)-'TRADE IN'!$F379=0,"",(VLOOKUP($C379,REV!$C:$AA,10,0)-'TRADE IN'!$F379))</f>
        <v>499</v>
      </c>
      <c r="M379" s="46">
        <f>IF(VLOOKUP($C379,REV!$C:$AA,11,0)-'TRADE IN'!$F379=0,"",(VLOOKUP($C379,REV!$C:$AA,11,0)-'TRADE IN'!$F379))</f>
        <v>499</v>
      </c>
      <c r="N379" s="46">
        <f>IF(VLOOKUP($C379,REV!$C:$AA,12,0)-'TRADE IN'!$F379=0,"",(VLOOKUP($C379,REV!$C:$AA,12,0)-'TRADE IN'!$F379))</f>
        <v>499</v>
      </c>
      <c r="O379" s="46">
        <f>IF(VLOOKUP($C379,REV!$C:$AA,13,0)-'TRADE IN'!$F379=0,"",(VLOOKUP($C379,REV!$C:$AA,13,0)-'TRADE IN'!$F379))</f>
        <v>499</v>
      </c>
      <c r="P379" s="46">
        <f>IF(VLOOKUP($C379,REV!$C:$AA,14,0)-'TRADE IN'!$F379=0,"",(VLOOKUP($C379,REV!$C:$AA,14,0)-'TRADE IN'!$F379))</f>
        <v>499</v>
      </c>
      <c r="Q379" s="46">
        <f>IF(VLOOKUP($C379,REV!$C:$AA,15,0)-'TRADE IN'!$F379=0,"",(VLOOKUP($C379,REV!$C:$AA,15,0)-'TRADE IN'!$F379))</f>
        <v>499</v>
      </c>
      <c r="R379" s="46">
        <f>IF(VLOOKUP($C379,REV!$C:$AA,16,0)-'TRADE IN'!$F379=0,"",(VLOOKUP($C379,REV!$C:$AA,16,0)-'TRADE IN'!$F379))</f>
        <v>499</v>
      </c>
      <c r="S379" s="46">
        <f>IF(VLOOKUP($C379,REV!$C:$AA,17,0)-'TRADE IN'!$F379=0,"",(VLOOKUP($C379,REV!$C:$AA,17,0)-'TRADE IN'!$F379))</f>
        <v>499</v>
      </c>
      <c r="T379" s="46">
        <f>IF(VLOOKUP($C379,REV!$C:$AA,18,0)-'TRADE IN'!$F379=0,"",(VLOOKUP($C379,REV!$C:$AA,18,0)-'TRADE IN'!$F379))</f>
        <v>499</v>
      </c>
      <c r="U379" s="46">
        <f>IF(VLOOKUP($C379,REV!$C:$AA,19,0)-'TRADE IN'!$F379=0,"",(VLOOKUP($C379,REV!$C:$AA,19,0)-'TRADE IN'!$F379))</f>
        <v>499</v>
      </c>
      <c r="V379" s="46">
        <f>IF(VLOOKUP($C379,REV!$C:$AA,20,0)-'TRADE IN'!$F379=0,"",(VLOOKUP($C379,REV!$C:$AA,20,0)-'TRADE IN'!$F379))</f>
        <v>499</v>
      </c>
      <c r="W379" s="46">
        <f>IF(VLOOKUP($C379,REV!$C:$AA,21,0)-'TRADE IN'!$F379=0,"",(VLOOKUP($C379,REV!$C:$AA,21,0)-'TRADE IN'!$F379))</f>
        <v>499</v>
      </c>
      <c r="X379" s="46">
        <f>IF(VLOOKUP($C379,REV!$C:$AA,22,0)-'TRADE IN'!$F379=0,"",(VLOOKUP($C379,REV!$C:$AA,22,0)-'TRADE IN'!$F379))</f>
        <v>499</v>
      </c>
      <c r="Y379" s="46">
        <f>IF(VLOOKUP($C379,REV!$C:$AA,23,0)-'TRADE IN'!$F379=0,"",(VLOOKUP($C379,REV!$C:$AA,23,0)-'TRADE IN'!$F379))</f>
        <v>499</v>
      </c>
      <c r="Z379" s="46">
        <f>IF(VLOOKUP($C379,REV!$C:$AA,24,0)-'TRADE IN'!$F379=0,"",(VLOOKUP($C379,REV!$C:$AA,24,0)-'TRADE IN'!$F379))</f>
        <v>499</v>
      </c>
      <c r="AA379" s="46">
        <f>IF(VLOOKUP($C379,REV!$C:$AA,25,0)-'TRADE IN'!$F379=0,"",(VLOOKUP($C379,REV!$C:$AA,25,0)-'TRADE IN'!$F379))</f>
        <v>499</v>
      </c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7"/>
      <c r="AW379" s="48" t="str">
        <f>REV!AW379</f>
        <v>01.12.2026</v>
      </c>
      <c r="AX379" s="153" t="str">
        <f>VLOOKUP(C379,REV!C:AX,48,0)</f>
        <v>5G</v>
      </c>
    </row>
    <row r="380" spans="1:50" ht="22.5" customHeight="1">
      <c r="A380" s="41" t="s">
        <v>63</v>
      </c>
      <c r="B380" s="42" t="s">
        <v>64</v>
      </c>
      <c r="C380" s="43">
        <v>4016047</v>
      </c>
      <c r="D380" s="58" t="s">
        <v>565</v>
      </c>
      <c r="E380" s="58" t="s">
        <v>569</v>
      </c>
      <c r="F380" s="45">
        <v>500</v>
      </c>
      <c r="G380" s="45"/>
      <c r="H380" s="45"/>
      <c r="I380" s="45"/>
      <c r="J380" s="46">
        <f>IF(VLOOKUP($C380,REV!$C:$AA,8,0)-'TRADE IN'!$F380=0,"",(VLOOKUP($C380,REV!$C:$AA,8,0)-'TRADE IN'!$F380))</f>
        <v>499</v>
      </c>
      <c r="K380" s="46">
        <f>IF(VLOOKUP($C380,REV!$C:$AA,9,0)-'TRADE IN'!$F380=0,"",(VLOOKUP($C380,REV!$C:$AA,9,0)-'TRADE IN'!$F380))</f>
        <v>499</v>
      </c>
      <c r="L380" s="46">
        <f>IF(VLOOKUP($C380,REV!$C:$AA,10,0)-'TRADE IN'!$F380=0,"",(VLOOKUP($C380,REV!$C:$AA,10,0)-'TRADE IN'!$F380))</f>
        <v>499</v>
      </c>
      <c r="M380" s="46">
        <f>IF(VLOOKUP($C380,REV!$C:$AA,11,0)-'TRADE IN'!$F380=0,"",(VLOOKUP($C380,REV!$C:$AA,11,0)-'TRADE IN'!$F380))</f>
        <v>499</v>
      </c>
      <c r="N380" s="46">
        <f>IF(VLOOKUP($C380,REV!$C:$AA,12,0)-'TRADE IN'!$F380=0,"",(VLOOKUP($C380,REV!$C:$AA,12,0)-'TRADE IN'!$F380))</f>
        <v>499</v>
      </c>
      <c r="O380" s="46">
        <f>IF(VLOOKUP($C380,REV!$C:$AA,13,0)-'TRADE IN'!$F380=0,"",(VLOOKUP($C380,REV!$C:$AA,13,0)-'TRADE IN'!$F380))</f>
        <v>499</v>
      </c>
      <c r="P380" s="46">
        <f>IF(VLOOKUP($C380,REV!$C:$AA,14,0)-'TRADE IN'!$F380=0,"",(VLOOKUP($C380,REV!$C:$AA,14,0)-'TRADE IN'!$F380))</f>
        <v>499</v>
      </c>
      <c r="Q380" s="46">
        <f>IF(VLOOKUP($C380,REV!$C:$AA,15,0)-'TRADE IN'!$F380=0,"",(VLOOKUP($C380,REV!$C:$AA,15,0)-'TRADE IN'!$F380))</f>
        <v>499</v>
      </c>
      <c r="R380" s="46">
        <f>IF(VLOOKUP($C380,REV!$C:$AA,16,0)-'TRADE IN'!$F380=0,"",(VLOOKUP($C380,REV!$C:$AA,16,0)-'TRADE IN'!$F380))</f>
        <v>499</v>
      </c>
      <c r="S380" s="46">
        <f>IF(VLOOKUP($C380,REV!$C:$AA,17,0)-'TRADE IN'!$F380=0,"",(VLOOKUP($C380,REV!$C:$AA,17,0)-'TRADE IN'!$F380))</f>
        <v>499</v>
      </c>
      <c r="T380" s="46">
        <f>IF(VLOOKUP($C380,REV!$C:$AA,18,0)-'TRADE IN'!$F380=0,"",(VLOOKUP($C380,REV!$C:$AA,18,0)-'TRADE IN'!$F380))</f>
        <v>499</v>
      </c>
      <c r="U380" s="46">
        <f>IF(VLOOKUP($C380,REV!$C:$AA,19,0)-'TRADE IN'!$F380=0,"",(VLOOKUP($C380,REV!$C:$AA,19,0)-'TRADE IN'!$F380))</f>
        <v>499</v>
      </c>
      <c r="V380" s="46">
        <f>IF(VLOOKUP($C380,REV!$C:$AA,20,0)-'TRADE IN'!$F380=0,"",(VLOOKUP($C380,REV!$C:$AA,20,0)-'TRADE IN'!$F380))</f>
        <v>499</v>
      </c>
      <c r="W380" s="46">
        <f>IF(VLOOKUP($C380,REV!$C:$AA,21,0)-'TRADE IN'!$F380=0,"",(VLOOKUP($C380,REV!$C:$AA,21,0)-'TRADE IN'!$F380))</f>
        <v>499</v>
      </c>
      <c r="X380" s="46">
        <f>IF(VLOOKUP($C380,REV!$C:$AA,22,0)-'TRADE IN'!$F380=0,"",(VLOOKUP($C380,REV!$C:$AA,22,0)-'TRADE IN'!$F380))</f>
        <v>499</v>
      </c>
      <c r="Y380" s="46">
        <f>IF(VLOOKUP($C380,REV!$C:$AA,23,0)-'TRADE IN'!$F380=0,"",(VLOOKUP($C380,REV!$C:$AA,23,0)-'TRADE IN'!$F380))</f>
        <v>499</v>
      </c>
      <c r="Z380" s="46">
        <f>IF(VLOOKUP($C380,REV!$C:$AA,24,0)-'TRADE IN'!$F380=0,"",(VLOOKUP($C380,REV!$C:$AA,24,0)-'TRADE IN'!$F380))</f>
        <v>499</v>
      </c>
      <c r="AA380" s="46">
        <f>IF(VLOOKUP($C380,REV!$C:$AA,25,0)-'TRADE IN'!$F380=0,"",(VLOOKUP($C380,REV!$C:$AA,25,0)-'TRADE IN'!$F380))</f>
        <v>499</v>
      </c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7"/>
      <c r="AW380" s="48" t="str">
        <f>REV!AW380</f>
        <v>01.12.2026</v>
      </c>
      <c r="AX380" s="153" t="str">
        <f>VLOOKUP(C380,REV!C:AX,48,0)</f>
        <v>5G</v>
      </c>
    </row>
    <row r="381" spans="1:50" ht="22.5" customHeight="1">
      <c r="A381" s="41" t="s">
        <v>63</v>
      </c>
      <c r="B381" s="42" t="s">
        <v>64</v>
      </c>
      <c r="C381" s="43">
        <v>4016039</v>
      </c>
      <c r="D381" s="58" t="s">
        <v>565</v>
      </c>
      <c r="E381" s="58" t="s">
        <v>570</v>
      </c>
      <c r="F381" s="45">
        <v>500</v>
      </c>
      <c r="G381" s="45"/>
      <c r="H381" s="45"/>
      <c r="I381" s="45"/>
      <c r="J381" s="46">
        <f>IF(VLOOKUP($C381,REV!$C:$AA,8,0)-'TRADE IN'!$F381=0,"",(VLOOKUP($C381,REV!$C:$AA,8,0)-'TRADE IN'!$F381))</f>
        <v>499</v>
      </c>
      <c r="K381" s="46">
        <f>IF(VLOOKUP($C381,REV!$C:$AA,9,0)-'TRADE IN'!$F381=0,"",(VLOOKUP($C381,REV!$C:$AA,9,0)-'TRADE IN'!$F381))</f>
        <v>499</v>
      </c>
      <c r="L381" s="46">
        <f>IF(VLOOKUP($C381,REV!$C:$AA,10,0)-'TRADE IN'!$F381=0,"",(VLOOKUP($C381,REV!$C:$AA,10,0)-'TRADE IN'!$F381))</f>
        <v>499</v>
      </c>
      <c r="M381" s="46">
        <f>IF(VLOOKUP($C381,REV!$C:$AA,11,0)-'TRADE IN'!$F381=0,"",(VLOOKUP($C381,REV!$C:$AA,11,0)-'TRADE IN'!$F381))</f>
        <v>499</v>
      </c>
      <c r="N381" s="46">
        <f>IF(VLOOKUP($C381,REV!$C:$AA,12,0)-'TRADE IN'!$F381=0,"",(VLOOKUP($C381,REV!$C:$AA,12,0)-'TRADE IN'!$F381))</f>
        <v>499</v>
      </c>
      <c r="O381" s="46">
        <f>IF(VLOOKUP($C381,REV!$C:$AA,13,0)-'TRADE IN'!$F381=0,"",(VLOOKUP($C381,REV!$C:$AA,13,0)-'TRADE IN'!$F381))</f>
        <v>499</v>
      </c>
      <c r="P381" s="46">
        <f>IF(VLOOKUP($C381,REV!$C:$AA,14,0)-'TRADE IN'!$F381=0,"",(VLOOKUP($C381,REV!$C:$AA,14,0)-'TRADE IN'!$F381))</f>
        <v>499</v>
      </c>
      <c r="Q381" s="46">
        <f>IF(VLOOKUP($C381,REV!$C:$AA,15,0)-'TRADE IN'!$F381=0,"",(VLOOKUP($C381,REV!$C:$AA,15,0)-'TRADE IN'!$F381))</f>
        <v>499</v>
      </c>
      <c r="R381" s="46">
        <f>IF(VLOOKUP($C381,REV!$C:$AA,16,0)-'TRADE IN'!$F381=0,"",(VLOOKUP($C381,REV!$C:$AA,16,0)-'TRADE IN'!$F381))</f>
        <v>499</v>
      </c>
      <c r="S381" s="46">
        <f>IF(VLOOKUP($C381,REV!$C:$AA,17,0)-'TRADE IN'!$F381=0,"",(VLOOKUP($C381,REV!$C:$AA,17,0)-'TRADE IN'!$F381))</f>
        <v>499</v>
      </c>
      <c r="T381" s="46">
        <f>IF(VLOOKUP($C381,REV!$C:$AA,18,0)-'TRADE IN'!$F381=0,"",(VLOOKUP($C381,REV!$C:$AA,18,0)-'TRADE IN'!$F381))</f>
        <v>499</v>
      </c>
      <c r="U381" s="46">
        <f>IF(VLOOKUP($C381,REV!$C:$AA,19,0)-'TRADE IN'!$F381=0,"",(VLOOKUP($C381,REV!$C:$AA,19,0)-'TRADE IN'!$F381))</f>
        <v>499</v>
      </c>
      <c r="V381" s="46">
        <f>IF(VLOOKUP($C381,REV!$C:$AA,20,0)-'TRADE IN'!$F381=0,"",(VLOOKUP($C381,REV!$C:$AA,20,0)-'TRADE IN'!$F381))</f>
        <v>499</v>
      </c>
      <c r="W381" s="46">
        <f>IF(VLOOKUP($C381,REV!$C:$AA,21,0)-'TRADE IN'!$F381=0,"",(VLOOKUP($C381,REV!$C:$AA,21,0)-'TRADE IN'!$F381))</f>
        <v>499</v>
      </c>
      <c r="X381" s="46">
        <f>IF(VLOOKUP($C381,REV!$C:$AA,22,0)-'TRADE IN'!$F381=0,"",(VLOOKUP($C381,REV!$C:$AA,22,0)-'TRADE IN'!$F381))</f>
        <v>499</v>
      </c>
      <c r="Y381" s="46">
        <f>IF(VLOOKUP($C381,REV!$C:$AA,23,0)-'TRADE IN'!$F381=0,"",(VLOOKUP($C381,REV!$C:$AA,23,0)-'TRADE IN'!$F381))</f>
        <v>499</v>
      </c>
      <c r="Z381" s="46">
        <f>IF(VLOOKUP($C381,REV!$C:$AA,24,0)-'TRADE IN'!$F381=0,"",(VLOOKUP($C381,REV!$C:$AA,24,0)-'TRADE IN'!$F381))</f>
        <v>499</v>
      </c>
      <c r="AA381" s="46">
        <f>IF(VLOOKUP($C381,REV!$C:$AA,25,0)-'TRADE IN'!$F381=0,"",(VLOOKUP($C381,REV!$C:$AA,25,0)-'TRADE IN'!$F381))</f>
        <v>499</v>
      </c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7"/>
      <c r="AW381" s="48" t="str">
        <f>REV!AW381</f>
        <v>01.12.2026</v>
      </c>
      <c r="AX381" s="153" t="str">
        <f>VLOOKUP(C381,REV!C:AX,48,0)</f>
        <v>5G</v>
      </c>
    </row>
    <row r="382" spans="1:50" ht="22.5" customHeight="1">
      <c r="A382" s="41" t="s">
        <v>63</v>
      </c>
      <c r="B382" s="42" t="s">
        <v>64</v>
      </c>
      <c r="C382" s="43">
        <v>4016071</v>
      </c>
      <c r="D382" s="58" t="s">
        <v>565</v>
      </c>
      <c r="E382" s="58" t="s">
        <v>571</v>
      </c>
      <c r="F382" s="45">
        <v>500</v>
      </c>
      <c r="G382" s="45"/>
      <c r="H382" s="45"/>
      <c r="I382" s="45"/>
      <c r="J382" s="46">
        <f>IF(VLOOKUP($C382,REV!$C:$AA,8,0)-'TRADE IN'!$F382=0,"",(VLOOKUP($C382,REV!$C:$AA,8,0)-'TRADE IN'!$F382))</f>
        <v>499</v>
      </c>
      <c r="K382" s="46">
        <f>IF(VLOOKUP($C382,REV!$C:$AA,9,0)-'TRADE IN'!$F382=0,"",(VLOOKUP($C382,REV!$C:$AA,9,0)-'TRADE IN'!$F382))</f>
        <v>499</v>
      </c>
      <c r="L382" s="46">
        <f>IF(VLOOKUP($C382,REV!$C:$AA,10,0)-'TRADE IN'!$F382=0,"",(VLOOKUP($C382,REV!$C:$AA,10,0)-'TRADE IN'!$F382))</f>
        <v>499</v>
      </c>
      <c r="M382" s="46">
        <f>IF(VLOOKUP($C382,REV!$C:$AA,11,0)-'TRADE IN'!$F382=0,"",(VLOOKUP($C382,REV!$C:$AA,11,0)-'TRADE IN'!$F382))</f>
        <v>499</v>
      </c>
      <c r="N382" s="46">
        <f>IF(VLOOKUP($C382,REV!$C:$AA,12,0)-'TRADE IN'!$F382=0,"",(VLOOKUP($C382,REV!$C:$AA,12,0)-'TRADE IN'!$F382))</f>
        <v>499</v>
      </c>
      <c r="O382" s="46">
        <f>IF(VLOOKUP($C382,REV!$C:$AA,13,0)-'TRADE IN'!$F382=0,"",(VLOOKUP($C382,REV!$C:$AA,13,0)-'TRADE IN'!$F382))</f>
        <v>499</v>
      </c>
      <c r="P382" s="46">
        <f>IF(VLOOKUP($C382,REV!$C:$AA,14,0)-'TRADE IN'!$F382=0,"",(VLOOKUP($C382,REV!$C:$AA,14,0)-'TRADE IN'!$F382))</f>
        <v>499</v>
      </c>
      <c r="Q382" s="46">
        <f>IF(VLOOKUP($C382,REV!$C:$AA,15,0)-'TRADE IN'!$F382=0,"",(VLOOKUP($C382,REV!$C:$AA,15,0)-'TRADE IN'!$F382))</f>
        <v>499</v>
      </c>
      <c r="R382" s="46">
        <f>IF(VLOOKUP($C382,REV!$C:$AA,16,0)-'TRADE IN'!$F382=0,"",(VLOOKUP($C382,REV!$C:$AA,16,0)-'TRADE IN'!$F382))</f>
        <v>499</v>
      </c>
      <c r="S382" s="46">
        <f>IF(VLOOKUP($C382,REV!$C:$AA,17,0)-'TRADE IN'!$F382=0,"",(VLOOKUP($C382,REV!$C:$AA,17,0)-'TRADE IN'!$F382))</f>
        <v>499</v>
      </c>
      <c r="T382" s="46">
        <f>IF(VLOOKUP($C382,REV!$C:$AA,18,0)-'TRADE IN'!$F382=0,"",(VLOOKUP($C382,REV!$C:$AA,18,0)-'TRADE IN'!$F382))</f>
        <v>499</v>
      </c>
      <c r="U382" s="46">
        <f>IF(VLOOKUP($C382,REV!$C:$AA,19,0)-'TRADE IN'!$F382=0,"",(VLOOKUP($C382,REV!$C:$AA,19,0)-'TRADE IN'!$F382))</f>
        <v>499</v>
      </c>
      <c r="V382" s="46">
        <f>IF(VLOOKUP($C382,REV!$C:$AA,20,0)-'TRADE IN'!$F382=0,"",(VLOOKUP($C382,REV!$C:$AA,20,0)-'TRADE IN'!$F382))</f>
        <v>499</v>
      </c>
      <c r="W382" s="46">
        <f>IF(VLOOKUP($C382,REV!$C:$AA,21,0)-'TRADE IN'!$F382=0,"",(VLOOKUP($C382,REV!$C:$AA,21,0)-'TRADE IN'!$F382))</f>
        <v>499</v>
      </c>
      <c r="X382" s="46">
        <f>IF(VLOOKUP($C382,REV!$C:$AA,22,0)-'TRADE IN'!$F382=0,"",(VLOOKUP($C382,REV!$C:$AA,22,0)-'TRADE IN'!$F382))</f>
        <v>499</v>
      </c>
      <c r="Y382" s="46">
        <f>IF(VLOOKUP($C382,REV!$C:$AA,23,0)-'TRADE IN'!$F382=0,"",(VLOOKUP($C382,REV!$C:$AA,23,0)-'TRADE IN'!$F382))</f>
        <v>499</v>
      </c>
      <c r="Z382" s="46">
        <f>IF(VLOOKUP($C382,REV!$C:$AA,24,0)-'TRADE IN'!$F382=0,"",(VLOOKUP($C382,REV!$C:$AA,24,0)-'TRADE IN'!$F382))</f>
        <v>499</v>
      </c>
      <c r="AA382" s="46">
        <f>IF(VLOOKUP($C382,REV!$C:$AA,25,0)-'TRADE IN'!$F382=0,"",(VLOOKUP($C382,REV!$C:$AA,25,0)-'TRADE IN'!$F382))</f>
        <v>499</v>
      </c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7"/>
      <c r="AW382" s="48" t="str">
        <f>REV!AW382</f>
        <v>01.12.2026</v>
      </c>
      <c r="AX382" s="153" t="str">
        <f>VLOOKUP(C382,REV!C:AX,48,0)</f>
        <v>5G</v>
      </c>
    </row>
    <row r="383" spans="1:50" ht="22.5" customHeight="1">
      <c r="A383" s="41" t="s">
        <v>63</v>
      </c>
      <c r="B383" s="42" t="s">
        <v>64</v>
      </c>
      <c r="C383" s="43">
        <v>4016055</v>
      </c>
      <c r="D383" s="58" t="s">
        <v>565</v>
      </c>
      <c r="E383" s="58" t="s">
        <v>572</v>
      </c>
      <c r="F383" s="45">
        <v>500</v>
      </c>
      <c r="G383" s="45"/>
      <c r="H383" s="45"/>
      <c r="I383" s="45"/>
      <c r="J383" s="46">
        <f>IF(VLOOKUP($C383,REV!$C:$AA,8,0)-'TRADE IN'!$F383=0,"",(VLOOKUP($C383,REV!$C:$AA,8,0)-'TRADE IN'!$F383))</f>
        <v>499</v>
      </c>
      <c r="K383" s="46">
        <f>IF(VLOOKUP($C383,REV!$C:$AA,9,0)-'TRADE IN'!$F383=0,"",(VLOOKUP($C383,REV!$C:$AA,9,0)-'TRADE IN'!$F383))</f>
        <v>499</v>
      </c>
      <c r="L383" s="46">
        <f>IF(VLOOKUP($C383,REV!$C:$AA,10,0)-'TRADE IN'!$F383=0,"",(VLOOKUP($C383,REV!$C:$AA,10,0)-'TRADE IN'!$F383))</f>
        <v>499</v>
      </c>
      <c r="M383" s="46">
        <f>IF(VLOOKUP($C383,REV!$C:$AA,11,0)-'TRADE IN'!$F383=0,"",(VLOOKUP($C383,REV!$C:$AA,11,0)-'TRADE IN'!$F383))</f>
        <v>499</v>
      </c>
      <c r="N383" s="46">
        <f>IF(VLOOKUP($C383,REV!$C:$AA,12,0)-'TRADE IN'!$F383=0,"",(VLOOKUP($C383,REV!$C:$AA,12,0)-'TRADE IN'!$F383))</f>
        <v>499</v>
      </c>
      <c r="O383" s="46">
        <f>IF(VLOOKUP($C383,REV!$C:$AA,13,0)-'TRADE IN'!$F383=0,"",(VLOOKUP($C383,REV!$C:$AA,13,0)-'TRADE IN'!$F383))</f>
        <v>499</v>
      </c>
      <c r="P383" s="46">
        <f>IF(VLOOKUP($C383,REV!$C:$AA,14,0)-'TRADE IN'!$F383=0,"",(VLOOKUP($C383,REV!$C:$AA,14,0)-'TRADE IN'!$F383))</f>
        <v>499</v>
      </c>
      <c r="Q383" s="46">
        <f>IF(VLOOKUP($C383,REV!$C:$AA,15,0)-'TRADE IN'!$F383=0,"",(VLOOKUP($C383,REV!$C:$AA,15,0)-'TRADE IN'!$F383))</f>
        <v>499</v>
      </c>
      <c r="R383" s="46">
        <f>IF(VLOOKUP($C383,REV!$C:$AA,16,0)-'TRADE IN'!$F383=0,"",(VLOOKUP($C383,REV!$C:$AA,16,0)-'TRADE IN'!$F383))</f>
        <v>499</v>
      </c>
      <c r="S383" s="46">
        <f>IF(VLOOKUP($C383,REV!$C:$AA,17,0)-'TRADE IN'!$F383=0,"",(VLOOKUP($C383,REV!$C:$AA,17,0)-'TRADE IN'!$F383))</f>
        <v>499</v>
      </c>
      <c r="T383" s="46">
        <f>IF(VLOOKUP($C383,REV!$C:$AA,18,0)-'TRADE IN'!$F383=0,"",(VLOOKUP($C383,REV!$C:$AA,18,0)-'TRADE IN'!$F383))</f>
        <v>499</v>
      </c>
      <c r="U383" s="46">
        <f>IF(VLOOKUP($C383,REV!$C:$AA,19,0)-'TRADE IN'!$F383=0,"",(VLOOKUP($C383,REV!$C:$AA,19,0)-'TRADE IN'!$F383))</f>
        <v>499</v>
      </c>
      <c r="V383" s="46">
        <f>IF(VLOOKUP($C383,REV!$C:$AA,20,0)-'TRADE IN'!$F383=0,"",(VLOOKUP($C383,REV!$C:$AA,20,0)-'TRADE IN'!$F383))</f>
        <v>499</v>
      </c>
      <c r="W383" s="46">
        <f>IF(VLOOKUP($C383,REV!$C:$AA,21,0)-'TRADE IN'!$F383=0,"",(VLOOKUP($C383,REV!$C:$AA,21,0)-'TRADE IN'!$F383))</f>
        <v>499</v>
      </c>
      <c r="X383" s="46">
        <f>IF(VLOOKUP($C383,REV!$C:$AA,22,0)-'TRADE IN'!$F383=0,"",(VLOOKUP($C383,REV!$C:$AA,22,0)-'TRADE IN'!$F383))</f>
        <v>499</v>
      </c>
      <c r="Y383" s="46">
        <f>IF(VLOOKUP($C383,REV!$C:$AA,23,0)-'TRADE IN'!$F383=0,"",(VLOOKUP($C383,REV!$C:$AA,23,0)-'TRADE IN'!$F383))</f>
        <v>499</v>
      </c>
      <c r="Z383" s="46">
        <f>IF(VLOOKUP($C383,REV!$C:$AA,24,0)-'TRADE IN'!$F383=0,"",(VLOOKUP($C383,REV!$C:$AA,24,0)-'TRADE IN'!$F383))</f>
        <v>499</v>
      </c>
      <c r="AA383" s="46">
        <f>IF(VLOOKUP($C383,REV!$C:$AA,25,0)-'TRADE IN'!$F383=0,"",(VLOOKUP($C383,REV!$C:$AA,25,0)-'TRADE IN'!$F383))</f>
        <v>499</v>
      </c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7"/>
      <c r="AW383" s="48" t="str">
        <f>REV!AW383</f>
        <v>01.12.2026</v>
      </c>
      <c r="AX383" s="153" t="str">
        <f>VLOOKUP(C383,REV!C:AX,48,0)</f>
        <v>5G</v>
      </c>
    </row>
    <row r="384" spans="1:50" ht="22.5" customHeight="1">
      <c r="A384" s="41" t="s">
        <v>63</v>
      </c>
      <c r="B384" s="42" t="s">
        <v>64</v>
      </c>
      <c r="C384" s="43">
        <v>4016034</v>
      </c>
      <c r="D384" s="58" t="s">
        <v>573</v>
      </c>
      <c r="E384" s="58" t="s">
        <v>574</v>
      </c>
      <c r="F384" s="45"/>
      <c r="G384" s="45"/>
      <c r="H384" s="45"/>
      <c r="I384" s="45"/>
      <c r="J384" s="46">
        <f>IF(VLOOKUP($C384,REV!$C:$AA,8,0)-'TRADE IN'!$F384=0,"",(VLOOKUP($C384,REV!$C:$AA,8,0)-'TRADE IN'!$F384))</f>
        <v>999</v>
      </c>
      <c r="K384" s="46">
        <f>IF(VLOOKUP($C384,REV!$C:$AA,9,0)-'TRADE IN'!$F384=0,"",(VLOOKUP($C384,REV!$C:$AA,9,0)-'TRADE IN'!$F384))</f>
        <v>999</v>
      </c>
      <c r="L384" s="46">
        <f>IF(VLOOKUP($C384,REV!$C:$AA,10,0)-'TRADE IN'!$F384=0,"",(VLOOKUP($C384,REV!$C:$AA,10,0)-'TRADE IN'!$F384))</f>
        <v>999</v>
      </c>
      <c r="M384" s="46">
        <f>IF(VLOOKUP($C384,REV!$C:$AA,11,0)-'TRADE IN'!$F384=0,"",(VLOOKUP($C384,REV!$C:$AA,11,0)-'TRADE IN'!$F384))</f>
        <v>999</v>
      </c>
      <c r="N384" s="46">
        <f>IF(VLOOKUP($C384,REV!$C:$AA,12,0)-'TRADE IN'!$F384=0,"",(VLOOKUP($C384,REV!$C:$AA,12,0)-'TRADE IN'!$F384))</f>
        <v>999</v>
      </c>
      <c r="O384" s="46">
        <f>IF(VLOOKUP($C384,REV!$C:$AA,13,0)-'TRADE IN'!$F384=0,"",(VLOOKUP($C384,REV!$C:$AA,13,0)-'TRADE IN'!$F384))</f>
        <v>999</v>
      </c>
      <c r="P384" s="46">
        <f>IF(VLOOKUP($C384,REV!$C:$AA,14,0)-'TRADE IN'!$F384=0,"",(VLOOKUP($C384,REV!$C:$AA,14,0)-'TRADE IN'!$F384))</f>
        <v>999</v>
      </c>
      <c r="Q384" s="46">
        <f>IF(VLOOKUP($C384,REV!$C:$AA,15,0)-'TRADE IN'!$F384=0,"",(VLOOKUP($C384,REV!$C:$AA,15,0)-'TRADE IN'!$F384))</f>
        <v>999</v>
      </c>
      <c r="R384" s="46">
        <f>IF(VLOOKUP($C384,REV!$C:$AA,16,0)-'TRADE IN'!$F384=0,"",(VLOOKUP($C384,REV!$C:$AA,16,0)-'TRADE IN'!$F384))</f>
        <v>999</v>
      </c>
      <c r="S384" s="46">
        <f>IF(VLOOKUP($C384,REV!$C:$AA,17,0)-'TRADE IN'!$F384=0,"",(VLOOKUP($C384,REV!$C:$AA,17,0)-'TRADE IN'!$F384))</f>
        <v>999</v>
      </c>
      <c r="T384" s="46">
        <f>IF(VLOOKUP($C384,REV!$C:$AA,18,0)-'TRADE IN'!$F384=0,"",(VLOOKUP($C384,REV!$C:$AA,18,0)-'TRADE IN'!$F384))</f>
        <v>999</v>
      </c>
      <c r="U384" s="46">
        <f>IF(VLOOKUP($C384,REV!$C:$AA,19,0)-'TRADE IN'!$F384=0,"",(VLOOKUP($C384,REV!$C:$AA,19,0)-'TRADE IN'!$F384))</f>
        <v>999</v>
      </c>
      <c r="V384" s="46">
        <f>IF(VLOOKUP($C384,REV!$C:$AA,20,0)-'TRADE IN'!$F384=0,"",(VLOOKUP($C384,REV!$C:$AA,20,0)-'TRADE IN'!$F384))</f>
        <v>999</v>
      </c>
      <c r="W384" s="46">
        <f>IF(VLOOKUP($C384,REV!$C:$AA,21,0)-'TRADE IN'!$F384=0,"",(VLOOKUP($C384,REV!$C:$AA,21,0)-'TRADE IN'!$F384))</f>
        <v>999</v>
      </c>
      <c r="X384" s="46">
        <f>IF(VLOOKUP($C384,REV!$C:$AA,22,0)-'TRADE IN'!$F384=0,"",(VLOOKUP($C384,REV!$C:$AA,22,0)-'TRADE IN'!$F384))</f>
        <v>999</v>
      </c>
      <c r="Y384" s="46">
        <f>IF(VLOOKUP($C384,REV!$C:$AA,23,0)-'TRADE IN'!$F384=0,"",(VLOOKUP($C384,REV!$C:$AA,23,0)-'TRADE IN'!$F384))</f>
        <v>999</v>
      </c>
      <c r="Z384" s="46">
        <f>IF(VLOOKUP($C384,REV!$C:$AA,24,0)-'TRADE IN'!$F384=0,"",(VLOOKUP($C384,REV!$C:$AA,24,0)-'TRADE IN'!$F384))</f>
        <v>999</v>
      </c>
      <c r="AA384" s="46">
        <f>IF(VLOOKUP($C384,REV!$C:$AA,25,0)-'TRADE IN'!$F384=0,"",(VLOOKUP($C384,REV!$C:$AA,25,0)-'TRADE IN'!$F384))</f>
        <v>999</v>
      </c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7"/>
      <c r="AW384" s="48" t="str">
        <f>REV!AW384</f>
        <v>01.12.2026</v>
      </c>
      <c r="AX384" s="153" t="str">
        <f>VLOOKUP(C384,REV!C:AX,48,0)</f>
        <v>5G</v>
      </c>
    </row>
    <row r="385" spans="1:50" ht="22.5" customHeight="1">
      <c r="A385" s="41" t="s">
        <v>63</v>
      </c>
      <c r="B385" s="42" t="s">
        <v>64</v>
      </c>
      <c r="C385" s="43">
        <v>4016066</v>
      </c>
      <c r="D385" s="58" t="s">
        <v>573</v>
      </c>
      <c r="E385" s="58" t="s">
        <v>575</v>
      </c>
      <c r="F385" s="45"/>
      <c r="G385" s="45"/>
      <c r="H385" s="45"/>
      <c r="I385" s="45"/>
      <c r="J385" s="46">
        <f>IF(VLOOKUP($C385,REV!$C:$AA,8,0)-'TRADE IN'!$F385=0,"",(VLOOKUP($C385,REV!$C:$AA,8,0)-'TRADE IN'!$F385))</f>
        <v>999</v>
      </c>
      <c r="K385" s="46">
        <f>IF(VLOOKUP($C385,REV!$C:$AA,9,0)-'TRADE IN'!$F385=0,"",(VLOOKUP($C385,REV!$C:$AA,9,0)-'TRADE IN'!$F385))</f>
        <v>999</v>
      </c>
      <c r="L385" s="46">
        <f>IF(VLOOKUP($C385,REV!$C:$AA,10,0)-'TRADE IN'!$F385=0,"",(VLOOKUP($C385,REV!$C:$AA,10,0)-'TRADE IN'!$F385))</f>
        <v>999</v>
      </c>
      <c r="M385" s="46">
        <f>IF(VLOOKUP($C385,REV!$C:$AA,11,0)-'TRADE IN'!$F385=0,"",(VLOOKUP($C385,REV!$C:$AA,11,0)-'TRADE IN'!$F385))</f>
        <v>999</v>
      </c>
      <c r="N385" s="46">
        <f>IF(VLOOKUP($C385,REV!$C:$AA,12,0)-'TRADE IN'!$F385=0,"",(VLOOKUP($C385,REV!$C:$AA,12,0)-'TRADE IN'!$F385))</f>
        <v>999</v>
      </c>
      <c r="O385" s="46">
        <f>IF(VLOOKUP($C385,REV!$C:$AA,13,0)-'TRADE IN'!$F385=0,"",(VLOOKUP($C385,REV!$C:$AA,13,0)-'TRADE IN'!$F385))</f>
        <v>999</v>
      </c>
      <c r="P385" s="46">
        <f>IF(VLOOKUP($C385,REV!$C:$AA,14,0)-'TRADE IN'!$F385=0,"",(VLOOKUP($C385,REV!$C:$AA,14,0)-'TRADE IN'!$F385))</f>
        <v>999</v>
      </c>
      <c r="Q385" s="46">
        <f>IF(VLOOKUP($C385,REV!$C:$AA,15,0)-'TRADE IN'!$F385=0,"",(VLOOKUP($C385,REV!$C:$AA,15,0)-'TRADE IN'!$F385))</f>
        <v>999</v>
      </c>
      <c r="R385" s="46">
        <f>IF(VLOOKUP($C385,REV!$C:$AA,16,0)-'TRADE IN'!$F385=0,"",(VLOOKUP($C385,REV!$C:$AA,16,0)-'TRADE IN'!$F385))</f>
        <v>999</v>
      </c>
      <c r="S385" s="46">
        <f>IF(VLOOKUP($C385,REV!$C:$AA,17,0)-'TRADE IN'!$F385=0,"",(VLOOKUP($C385,REV!$C:$AA,17,0)-'TRADE IN'!$F385))</f>
        <v>999</v>
      </c>
      <c r="T385" s="46">
        <f>IF(VLOOKUP($C385,REV!$C:$AA,18,0)-'TRADE IN'!$F385=0,"",(VLOOKUP($C385,REV!$C:$AA,18,0)-'TRADE IN'!$F385))</f>
        <v>999</v>
      </c>
      <c r="U385" s="46">
        <f>IF(VLOOKUP($C385,REV!$C:$AA,19,0)-'TRADE IN'!$F385=0,"",(VLOOKUP($C385,REV!$C:$AA,19,0)-'TRADE IN'!$F385))</f>
        <v>999</v>
      </c>
      <c r="V385" s="46">
        <f>IF(VLOOKUP($C385,REV!$C:$AA,20,0)-'TRADE IN'!$F385=0,"",(VLOOKUP($C385,REV!$C:$AA,20,0)-'TRADE IN'!$F385))</f>
        <v>999</v>
      </c>
      <c r="W385" s="46">
        <f>IF(VLOOKUP($C385,REV!$C:$AA,21,0)-'TRADE IN'!$F385=0,"",(VLOOKUP($C385,REV!$C:$AA,21,0)-'TRADE IN'!$F385))</f>
        <v>999</v>
      </c>
      <c r="X385" s="46">
        <f>IF(VLOOKUP($C385,REV!$C:$AA,22,0)-'TRADE IN'!$F385=0,"",(VLOOKUP($C385,REV!$C:$AA,22,0)-'TRADE IN'!$F385))</f>
        <v>999</v>
      </c>
      <c r="Y385" s="46">
        <f>IF(VLOOKUP($C385,REV!$C:$AA,23,0)-'TRADE IN'!$F385=0,"",(VLOOKUP($C385,REV!$C:$AA,23,0)-'TRADE IN'!$F385))</f>
        <v>999</v>
      </c>
      <c r="Z385" s="46">
        <f>IF(VLOOKUP($C385,REV!$C:$AA,24,0)-'TRADE IN'!$F385=0,"",(VLOOKUP($C385,REV!$C:$AA,24,0)-'TRADE IN'!$F385))</f>
        <v>999</v>
      </c>
      <c r="AA385" s="46">
        <f>IF(VLOOKUP($C385,REV!$C:$AA,25,0)-'TRADE IN'!$F385=0,"",(VLOOKUP($C385,REV!$C:$AA,25,0)-'TRADE IN'!$F385))</f>
        <v>999</v>
      </c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7"/>
      <c r="AW385" s="48" t="str">
        <f>REV!AW385</f>
        <v>01.12.2026</v>
      </c>
      <c r="AX385" s="153" t="str">
        <f>VLOOKUP(C385,REV!C:AX,48,0)</f>
        <v>5G</v>
      </c>
    </row>
    <row r="386" spans="1:50" ht="22.5" customHeight="1">
      <c r="A386" s="41" t="s">
        <v>63</v>
      </c>
      <c r="B386" s="42" t="s">
        <v>64</v>
      </c>
      <c r="C386" s="43">
        <v>4016020</v>
      </c>
      <c r="D386" s="58" t="s">
        <v>573</v>
      </c>
      <c r="E386" s="58" t="s">
        <v>576</v>
      </c>
      <c r="F386" s="45"/>
      <c r="G386" s="45"/>
      <c r="H386" s="45"/>
      <c r="I386" s="45"/>
      <c r="J386" s="46">
        <f>IF(VLOOKUP($C386,REV!$C:$AA,8,0)-'TRADE IN'!$F386=0,"",(VLOOKUP($C386,REV!$C:$AA,8,0)-'TRADE IN'!$F386))</f>
        <v>999</v>
      </c>
      <c r="K386" s="46">
        <f>IF(VLOOKUP($C386,REV!$C:$AA,9,0)-'TRADE IN'!$F386=0,"",(VLOOKUP($C386,REV!$C:$AA,9,0)-'TRADE IN'!$F386))</f>
        <v>999</v>
      </c>
      <c r="L386" s="46">
        <f>IF(VLOOKUP($C386,REV!$C:$AA,10,0)-'TRADE IN'!$F386=0,"",(VLOOKUP($C386,REV!$C:$AA,10,0)-'TRADE IN'!$F386))</f>
        <v>999</v>
      </c>
      <c r="M386" s="46">
        <f>IF(VLOOKUP($C386,REV!$C:$AA,11,0)-'TRADE IN'!$F386=0,"",(VLOOKUP($C386,REV!$C:$AA,11,0)-'TRADE IN'!$F386))</f>
        <v>999</v>
      </c>
      <c r="N386" s="46">
        <f>IF(VLOOKUP($C386,REV!$C:$AA,12,0)-'TRADE IN'!$F386=0,"",(VLOOKUP($C386,REV!$C:$AA,12,0)-'TRADE IN'!$F386))</f>
        <v>999</v>
      </c>
      <c r="O386" s="46">
        <f>IF(VLOOKUP($C386,REV!$C:$AA,13,0)-'TRADE IN'!$F386=0,"",(VLOOKUP($C386,REV!$C:$AA,13,0)-'TRADE IN'!$F386))</f>
        <v>999</v>
      </c>
      <c r="P386" s="46">
        <f>IF(VLOOKUP($C386,REV!$C:$AA,14,0)-'TRADE IN'!$F386=0,"",(VLOOKUP($C386,REV!$C:$AA,14,0)-'TRADE IN'!$F386))</f>
        <v>999</v>
      </c>
      <c r="Q386" s="46">
        <f>IF(VLOOKUP($C386,REV!$C:$AA,15,0)-'TRADE IN'!$F386=0,"",(VLOOKUP($C386,REV!$C:$AA,15,0)-'TRADE IN'!$F386))</f>
        <v>999</v>
      </c>
      <c r="R386" s="46">
        <f>IF(VLOOKUP($C386,REV!$C:$AA,16,0)-'TRADE IN'!$F386=0,"",(VLOOKUP($C386,REV!$C:$AA,16,0)-'TRADE IN'!$F386))</f>
        <v>999</v>
      </c>
      <c r="S386" s="46">
        <f>IF(VLOOKUP($C386,REV!$C:$AA,17,0)-'TRADE IN'!$F386=0,"",(VLOOKUP($C386,REV!$C:$AA,17,0)-'TRADE IN'!$F386))</f>
        <v>999</v>
      </c>
      <c r="T386" s="46">
        <f>IF(VLOOKUP($C386,REV!$C:$AA,18,0)-'TRADE IN'!$F386=0,"",(VLOOKUP($C386,REV!$C:$AA,18,0)-'TRADE IN'!$F386))</f>
        <v>999</v>
      </c>
      <c r="U386" s="46">
        <f>IF(VLOOKUP($C386,REV!$C:$AA,19,0)-'TRADE IN'!$F386=0,"",(VLOOKUP($C386,REV!$C:$AA,19,0)-'TRADE IN'!$F386))</f>
        <v>999</v>
      </c>
      <c r="V386" s="46">
        <f>IF(VLOOKUP($C386,REV!$C:$AA,20,0)-'TRADE IN'!$F386=0,"",(VLOOKUP($C386,REV!$C:$AA,20,0)-'TRADE IN'!$F386))</f>
        <v>999</v>
      </c>
      <c r="W386" s="46">
        <f>IF(VLOOKUP($C386,REV!$C:$AA,21,0)-'TRADE IN'!$F386=0,"",(VLOOKUP($C386,REV!$C:$AA,21,0)-'TRADE IN'!$F386))</f>
        <v>999</v>
      </c>
      <c r="X386" s="46">
        <f>IF(VLOOKUP($C386,REV!$C:$AA,22,0)-'TRADE IN'!$F386=0,"",(VLOOKUP($C386,REV!$C:$AA,22,0)-'TRADE IN'!$F386))</f>
        <v>999</v>
      </c>
      <c r="Y386" s="46">
        <f>IF(VLOOKUP($C386,REV!$C:$AA,23,0)-'TRADE IN'!$F386=0,"",(VLOOKUP($C386,REV!$C:$AA,23,0)-'TRADE IN'!$F386))</f>
        <v>999</v>
      </c>
      <c r="Z386" s="46">
        <f>IF(VLOOKUP($C386,REV!$C:$AA,24,0)-'TRADE IN'!$F386=0,"",(VLOOKUP($C386,REV!$C:$AA,24,0)-'TRADE IN'!$F386))</f>
        <v>999</v>
      </c>
      <c r="AA386" s="46">
        <f>IF(VLOOKUP($C386,REV!$C:$AA,25,0)-'TRADE IN'!$F386=0,"",(VLOOKUP($C386,REV!$C:$AA,25,0)-'TRADE IN'!$F386))</f>
        <v>999</v>
      </c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7"/>
      <c r="AW386" s="48" t="str">
        <f>REV!AW386</f>
        <v>01.12.2026</v>
      </c>
      <c r="AX386" s="153" t="str">
        <f>VLOOKUP(C386,REV!C:AX,48,0)</f>
        <v>5G</v>
      </c>
    </row>
    <row r="387" spans="1:50" ht="22.5" customHeight="1">
      <c r="A387" s="41" t="s">
        <v>63</v>
      </c>
      <c r="B387" s="42" t="s">
        <v>64</v>
      </c>
      <c r="C387" s="43">
        <v>4016048</v>
      </c>
      <c r="D387" s="58" t="s">
        <v>573</v>
      </c>
      <c r="E387" s="58" t="s">
        <v>577</v>
      </c>
      <c r="F387" s="45"/>
      <c r="G387" s="45"/>
      <c r="H387" s="45"/>
      <c r="I387" s="45"/>
      <c r="J387" s="46">
        <f>IF(VLOOKUP($C387,REV!$C:$AA,8,0)-'TRADE IN'!$F387=0,"",(VLOOKUP($C387,REV!$C:$AA,8,0)-'TRADE IN'!$F387))</f>
        <v>999</v>
      </c>
      <c r="K387" s="46">
        <f>IF(VLOOKUP($C387,REV!$C:$AA,9,0)-'TRADE IN'!$F387=0,"",(VLOOKUP($C387,REV!$C:$AA,9,0)-'TRADE IN'!$F387))</f>
        <v>999</v>
      </c>
      <c r="L387" s="46">
        <f>IF(VLOOKUP($C387,REV!$C:$AA,10,0)-'TRADE IN'!$F387=0,"",(VLOOKUP($C387,REV!$C:$AA,10,0)-'TRADE IN'!$F387))</f>
        <v>999</v>
      </c>
      <c r="M387" s="46">
        <f>IF(VLOOKUP($C387,REV!$C:$AA,11,0)-'TRADE IN'!$F387=0,"",(VLOOKUP($C387,REV!$C:$AA,11,0)-'TRADE IN'!$F387))</f>
        <v>999</v>
      </c>
      <c r="N387" s="46">
        <f>IF(VLOOKUP($C387,REV!$C:$AA,12,0)-'TRADE IN'!$F387=0,"",(VLOOKUP($C387,REV!$C:$AA,12,0)-'TRADE IN'!$F387))</f>
        <v>999</v>
      </c>
      <c r="O387" s="46">
        <f>IF(VLOOKUP($C387,REV!$C:$AA,13,0)-'TRADE IN'!$F387=0,"",(VLOOKUP($C387,REV!$C:$AA,13,0)-'TRADE IN'!$F387))</f>
        <v>999</v>
      </c>
      <c r="P387" s="46">
        <f>IF(VLOOKUP($C387,REV!$C:$AA,14,0)-'TRADE IN'!$F387=0,"",(VLOOKUP($C387,REV!$C:$AA,14,0)-'TRADE IN'!$F387))</f>
        <v>999</v>
      </c>
      <c r="Q387" s="46">
        <f>IF(VLOOKUP($C387,REV!$C:$AA,15,0)-'TRADE IN'!$F387=0,"",(VLOOKUP($C387,REV!$C:$AA,15,0)-'TRADE IN'!$F387))</f>
        <v>999</v>
      </c>
      <c r="R387" s="46">
        <f>IF(VLOOKUP($C387,REV!$C:$AA,16,0)-'TRADE IN'!$F387=0,"",(VLOOKUP($C387,REV!$C:$AA,16,0)-'TRADE IN'!$F387))</f>
        <v>999</v>
      </c>
      <c r="S387" s="46">
        <f>IF(VLOOKUP($C387,REV!$C:$AA,17,0)-'TRADE IN'!$F387=0,"",(VLOOKUP($C387,REV!$C:$AA,17,0)-'TRADE IN'!$F387))</f>
        <v>999</v>
      </c>
      <c r="T387" s="46">
        <f>IF(VLOOKUP($C387,REV!$C:$AA,18,0)-'TRADE IN'!$F387=0,"",(VLOOKUP($C387,REV!$C:$AA,18,0)-'TRADE IN'!$F387))</f>
        <v>999</v>
      </c>
      <c r="U387" s="46">
        <f>IF(VLOOKUP($C387,REV!$C:$AA,19,0)-'TRADE IN'!$F387=0,"",(VLOOKUP($C387,REV!$C:$AA,19,0)-'TRADE IN'!$F387))</f>
        <v>999</v>
      </c>
      <c r="V387" s="46">
        <f>IF(VLOOKUP($C387,REV!$C:$AA,20,0)-'TRADE IN'!$F387=0,"",(VLOOKUP($C387,REV!$C:$AA,20,0)-'TRADE IN'!$F387))</f>
        <v>999</v>
      </c>
      <c r="W387" s="46">
        <f>IF(VLOOKUP($C387,REV!$C:$AA,21,0)-'TRADE IN'!$F387=0,"",(VLOOKUP($C387,REV!$C:$AA,21,0)-'TRADE IN'!$F387))</f>
        <v>999</v>
      </c>
      <c r="X387" s="46">
        <f>IF(VLOOKUP($C387,REV!$C:$AA,22,0)-'TRADE IN'!$F387=0,"",(VLOOKUP($C387,REV!$C:$AA,22,0)-'TRADE IN'!$F387))</f>
        <v>999</v>
      </c>
      <c r="Y387" s="46">
        <f>IF(VLOOKUP($C387,REV!$C:$AA,23,0)-'TRADE IN'!$F387=0,"",(VLOOKUP($C387,REV!$C:$AA,23,0)-'TRADE IN'!$F387))</f>
        <v>999</v>
      </c>
      <c r="Z387" s="46">
        <f>IF(VLOOKUP($C387,REV!$C:$AA,24,0)-'TRADE IN'!$F387=0,"",(VLOOKUP($C387,REV!$C:$AA,24,0)-'TRADE IN'!$F387))</f>
        <v>999</v>
      </c>
      <c r="AA387" s="46">
        <f>IF(VLOOKUP($C387,REV!$C:$AA,25,0)-'TRADE IN'!$F387=0,"",(VLOOKUP($C387,REV!$C:$AA,25,0)-'TRADE IN'!$F387))</f>
        <v>999</v>
      </c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7"/>
      <c r="AW387" s="48" t="str">
        <f>REV!AW387</f>
        <v>01.12.2026</v>
      </c>
      <c r="AX387" s="153" t="str">
        <f>VLOOKUP(C387,REV!C:AX,48,0)</f>
        <v>5G</v>
      </c>
    </row>
    <row r="388" spans="1:50" ht="22.5" customHeight="1">
      <c r="A388" s="41" t="s">
        <v>63</v>
      </c>
      <c r="B388" s="42" t="s">
        <v>64</v>
      </c>
      <c r="C388" s="43">
        <v>4016042</v>
      </c>
      <c r="D388" s="58" t="s">
        <v>573</v>
      </c>
      <c r="E388" s="58" t="s">
        <v>578</v>
      </c>
      <c r="F388" s="45"/>
      <c r="G388" s="45"/>
      <c r="H388" s="45"/>
      <c r="I388" s="45"/>
      <c r="J388" s="46">
        <f>IF(VLOOKUP($C388,REV!$C:$AA,8,0)-'TRADE IN'!$F388=0,"",(VLOOKUP($C388,REV!$C:$AA,8,0)-'TRADE IN'!$F388))</f>
        <v>999</v>
      </c>
      <c r="K388" s="46">
        <f>IF(VLOOKUP($C388,REV!$C:$AA,9,0)-'TRADE IN'!$F388=0,"",(VLOOKUP($C388,REV!$C:$AA,9,0)-'TRADE IN'!$F388))</f>
        <v>999</v>
      </c>
      <c r="L388" s="46">
        <f>IF(VLOOKUP($C388,REV!$C:$AA,10,0)-'TRADE IN'!$F388=0,"",(VLOOKUP($C388,REV!$C:$AA,10,0)-'TRADE IN'!$F388))</f>
        <v>999</v>
      </c>
      <c r="M388" s="46">
        <f>IF(VLOOKUP($C388,REV!$C:$AA,11,0)-'TRADE IN'!$F388=0,"",(VLOOKUP($C388,REV!$C:$AA,11,0)-'TRADE IN'!$F388))</f>
        <v>999</v>
      </c>
      <c r="N388" s="46">
        <f>IF(VLOOKUP($C388,REV!$C:$AA,12,0)-'TRADE IN'!$F388=0,"",(VLOOKUP($C388,REV!$C:$AA,12,0)-'TRADE IN'!$F388))</f>
        <v>999</v>
      </c>
      <c r="O388" s="46">
        <f>IF(VLOOKUP($C388,REV!$C:$AA,13,0)-'TRADE IN'!$F388=0,"",(VLOOKUP($C388,REV!$C:$AA,13,0)-'TRADE IN'!$F388))</f>
        <v>999</v>
      </c>
      <c r="P388" s="46">
        <f>IF(VLOOKUP($C388,REV!$C:$AA,14,0)-'TRADE IN'!$F388=0,"",(VLOOKUP($C388,REV!$C:$AA,14,0)-'TRADE IN'!$F388))</f>
        <v>999</v>
      </c>
      <c r="Q388" s="46">
        <f>IF(VLOOKUP($C388,REV!$C:$AA,15,0)-'TRADE IN'!$F388=0,"",(VLOOKUP($C388,REV!$C:$AA,15,0)-'TRADE IN'!$F388))</f>
        <v>999</v>
      </c>
      <c r="R388" s="46">
        <f>IF(VLOOKUP($C388,REV!$C:$AA,16,0)-'TRADE IN'!$F388=0,"",(VLOOKUP($C388,REV!$C:$AA,16,0)-'TRADE IN'!$F388))</f>
        <v>999</v>
      </c>
      <c r="S388" s="46">
        <f>IF(VLOOKUP($C388,REV!$C:$AA,17,0)-'TRADE IN'!$F388=0,"",(VLOOKUP($C388,REV!$C:$AA,17,0)-'TRADE IN'!$F388))</f>
        <v>999</v>
      </c>
      <c r="T388" s="46">
        <f>IF(VLOOKUP($C388,REV!$C:$AA,18,0)-'TRADE IN'!$F388=0,"",(VLOOKUP($C388,REV!$C:$AA,18,0)-'TRADE IN'!$F388))</f>
        <v>999</v>
      </c>
      <c r="U388" s="46">
        <f>IF(VLOOKUP($C388,REV!$C:$AA,19,0)-'TRADE IN'!$F388=0,"",(VLOOKUP($C388,REV!$C:$AA,19,0)-'TRADE IN'!$F388))</f>
        <v>999</v>
      </c>
      <c r="V388" s="46">
        <f>IF(VLOOKUP($C388,REV!$C:$AA,20,0)-'TRADE IN'!$F388=0,"",(VLOOKUP($C388,REV!$C:$AA,20,0)-'TRADE IN'!$F388))</f>
        <v>999</v>
      </c>
      <c r="W388" s="46">
        <f>IF(VLOOKUP($C388,REV!$C:$AA,21,0)-'TRADE IN'!$F388=0,"",(VLOOKUP($C388,REV!$C:$AA,21,0)-'TRADE IN'!$F388))</f>
        <v>999</v>
      </c>
      <c r="X388" s="46">
        <f>IF(VLOOKUP($C388,REV!$C:$AA,22,0)-'TRADE IN'!$F388=0,"",(VLOOKUP($C388,REV!$C:$AA,22,0)-'TRADE IN'!$F388))</f>
        <v>999</v>
      </c>
      <c r="Y388" s="46">
        <f>IF(VLOOKUP($C388,REV!$C:$AA,23,0)-'TRADE IN'!$F388=0,"",(VLOOKUP($C388,REV!$C:$AA,23,0)-'TRADE IN'!$F388))</f>
        <v>999</v>
      </c>
      <c r="Z388" s="46">
        <f>IF(VLOOKUP($C388,REV!$C:$AA,24,0)-'TRADE IN'!$F388=0,"",(VLOOKUP($C388,REV!$C:$AA,24,0)-'TRADE IN'!$F388))</f>
        <v>999</v>
      </c>
      <c r="AA388" s="46">
        <f>IF(VLOOKUP($C388,REV!$C:$AA,25,0)-'TRADE IN'!$F388=0,"",(VLOOKUP($C388,REV!$C:$AA,25,0)-'TRADE IN'!$F388))</f>
        <v>999</v>
      </c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7"/>
      <c r="AW388" s="48" t="str">
        <f>REV!AW388</f>
        <v>01.12.2026</v>
      </c>
      <c r="AX388" s="153" t="str">
        <f>VLOOKUP(C388,REV!C:AX,48,0)</f>
        <v>5G</v>
      </c>
    </row>
    <row r="389" spans="1:50" ht="22.5" customHeight="1">
      <c r="A389" s="41" t="s">
        <v>63</v>
      </c>
      <c r="B389" s="42" t="s">
        <v>64</v>
      </c>
      <c r="C389" s="43">
        <v>4016076</v>
      </c>
      <c r="D389" s="58" t="s">
        <v>573</v>
      </c>
      <c r="E389" s="58" t="s">
        <v>579</v>
      </c>
      <c r="F389" s="45"/>
      <c r="G389" s="45"/>
      <c r="H389" s="45"/>
      <c r="I389" s="45"/>
      <c r="J389" s="46">
        <f>IF(VLOOKUP($C389,REV!$C:$AA,8,0)-'TRADE IN'!$F389=0,"",(VLOOKUP($C389,REV!$C:$AA,8,0)-'TRADE IN'!$F389))</f>
        <v>999</v>
      </c>
      <c r="K389" s="46">
        <f>IF(VLOOKUP($C389,REV!$C:$AA,9,0)-'TRADE IN'!$F389=0,"",(VLOOKUP($C389,REV!$C:$AA,9,0)-'TRADE IN'!$F389))</f>
        <v>999</v>
      </c>
      <c r="L389" s="46">
        <f>IF(VLOOKUP($C389,REV!$C:$AA,10,0)-'TRADE IN'!$F389=0,"",(VLOOKUP($C389,REV!$C:$AA,10,0)-'TRADE IN'!$F389))</f>
        <v>999</v>
      </c>
      <c r="M389" s="46">
        <f>IF(VLOOKUP($C389,REV!$C:$AA,11,0)-'TRADE IN'!$F389=0,"",(VLOOKUP($C389,REV!$C:$AA,11,0)-'TRADE IN'!$F389))</f>
        <v>999</v>
      </c>
      <c r="N389" s="46">
        <f>IF(VLOOKUP($C389,REV!$C:$AA,12,0)-'TRADE IN'!$F389=0,"",(VLOOKUP($C389,REV!$C:$AA,12,0)-'TRADE IN'!$F389))</f>
        <v>999</v>
      </c>
      <c r="O389" s="46">
        <f>IF(VLOOKUP($C389,REV!$C:$AA,13,0)-'TRADE IN'!$F389=0,"",(VLOOKUP($C389,REV!$C:$AA,13,0)-'TRADE IN'!$F389))</f>
        <v>999</v>
      </c>
      <c r="P389" s="46">
        <f>IF(VLOOKUP($C389,REV!$C:$AA,14,0)-'TRADE IN'!$F389=0,"",(VLOOKUP($C389,REV!$C:$AA,14,0)-'TRADE IN'!$F389))</f>
        <v>999</v>
      </c>
      <c r="Q389" s="46">
        <f>IF(VLOOKUP($C389,REV!$C:$AA,15,0)-'TRADE IN'!$F389=0,"",(VLOOKUP($C389,REV!$C:$AA,15,0)-'TRADE IN'!$F389))</f>
        <v>999</v>
      </c>
      <c r="R389" s="46">
        <f>IF(VLOOKUP($C389,REV!$C:$AA,16,0)-'TRADE IN'!$F389=0,"",(VLOOKUP($C389,REV!$C:$AA,16,0)-'TRADE IN'!$F389))</f>
        <v>999</v>
      </c>
      <c r="S389" s="46">
        <f>IF(VLOOKUP($C389,REV!$C:$AA,17,0)-'TRADE IN'!$F389=0,"",(VLOOKUP($C389,REV!$C:$AA,17,0)-'TRADE IN'!$F389))</f>
        <v>999</v>
      </c>
      <c r="T389" s="46">
        <f>IF(VLOOKUP($C389,REV!$C:$AA,18,0)-'TRADE IN'!$F389=0,"",(VLOOKUP($C389,REV!$C:$AA,18,0)-'TRADE IN'!$F389))</f>
        <v>999</v>
      </c>
      <c r="U389" s="46">
        <f>IF(VLOOKUP($C389,REV!$C:$AA,19,0)-'TRADE IN'!$F389=0,"",(VLOOKUP($C389,REV!$C:$AA,19,0)-'TRADE IN'!$F389))</f>
        <v>999</v>
      </c>
      <c r="V389" s="46">
        <f>IF(VLOOKUP($C389,REV!$C:$AA,20,0)-'TRADE IN'!$F389=0,"",(VLOOKUP($C389,REV!$C:$AA,20,0)-'TRADE IN'!$F389))</f>
        <v>999</v>
      </c>
      <c r="W389" s="46">
        <f>IF(VLOOKUP($C389,REV!$C:$AA,21,0)-'TRADE IN'!$F389=0,"",(VLOOKUP($C389,REV!$C:$AA,21,0)-'TRADE IN'!$F389))</f>
        <v>999</v>
      </c>
      <c r="X389" s="46">
        <f>IF(VLOOKUP($C389,REV!$C:$AA,22,0)-'TRADE IN'!$F389=0,"",(VLOOKUP($C389,REV!$C:$AA,22,0)-'TRADE IN'!$F389))</f>
        <v>999</v>
      </c>
      <c r="Y389" s="46">
        <f>IF(VLOOKUP($C389,REV!$C:$AA,23,0)-'TRADE IN'!$F389=0,"",(VLOOKUP($C389,REV!$C:$AA,23,0)-'TRADE IN'!$F389))</f>
        <v>999</v>
      </c>
      <c r="Z389" s="46">
        <f>IF(VLOOKUP($C389,REV!$C:$AA,24,0)-'TRADE IN'!$F389=0,"",(VLOOKUP($C389,REV!$C:$AA,24,0)-'TRADE IN'!$F389))</f>
        <v>999</v>
      </c>
      <c r="AA389" s="46">
        <f>IF(VLOOKUP($C389,REV!$C:$AA,25,0)-'TRADE IN'!$F389=0,"",(VLOOKUP($C389,REV!$C:$AA,25,0)-'TRADE IN'!$F389))</f>
        <v>999</v>
      </c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7"/>
      <c r="AW389" s="48" t="str">
        <f>REV!AW389</f>
        <v>01.12.2026</v>
      </c>
      <c r="AX389" s="153" t="str">
        <f>VLOOKUP(C389,REV!C:AX,48,0)</f>
        <v>5G</v>
      </c>
    </row>
    <row r="390" spans="1:50" ht="22.5" customHeight="1">
      <c r="A390" s="41" t="s">
        <v>63</v>
      </c>
      <c r="B390" s="42" t="s">
        <v>64</v>
      </c>
      <c r="C390" s="43">
        <v>4016040</v>
      </c>
      <c r="D390" s="58" t="s">
        <v>580</v>
      </c>
      <c r="E390" s="58" t="s">
        <v>581</v>
      </c>
      <c r="F390" s="45"/>
      <c r="G390" s="45"/>
      <c r="H390" s="45"/>
      <c r="I390" s="45"/>
      <c r="J390" s="46">
        <f>IF(VLOOKUP($C390,REV!$C:$AA,8,0)-'TRADE IN'!$F390=0,"",(VLOOKUP($C390,REV!$C:$AA,8,0)-'TRADE IN'!$F390))</f>
        <v>1499</v>
      </c>
      <c r="K390" s="46">
        <f>IF(VLOOKUP($C390,REV!$C:$AA,9,0)-'TRADE IN'!$F390=0,"",(VLOOKUP($C390,REV!$C:$AA,9,0)-'TRADE IN'!$F390))</f>
        <v>1499</v>
      </c>
      <c r="L390" s="46">
        <f>IF(VLOOKUP($C390,REV!$C:$AA,10,0)-'TRADE IN'!$F390=0,"",(VLOOKUP($C390,REV!$C:$AA,10,0)-'TRADE IN'!$F390))</f>
        <v>1499</v>
      </c>
      <c r="M390" s="46">
        <f>IF(VLOOKUP($C390,REV!$C:$AA,11,0)-'TRADE IN'!$F390=0,"",(VLOOKUP($C390,REV!$C:$AA,11,0)-'TRADE IN'!$F390))</f>
        <v>1499</v>
      </c>
      <c r="N390" s="46">
        <f>IF(VLOOKUP($C390,REV!$C:$AA,12,0)-'TRADE IN'!$F390=0,"",(VLOOKUP($C390,REV!$C:$AA,12,0)-'TRADE IN'!$F390))</f>
        <v>1499</v>
      </c>
      <c r="O390" s="46">
        <f>IF(VLOOKUP($C390,REV!$C:$AA,13,0)-'TRADE IN'!$F390=0,"",(VLOOKUP($C390,REV!$C:$AA,13,0)-'TRADE IN'!$F390))</f>
        <v>1499</v>
      </c>
      <c r="P390" s="46">
        <f>IF(VLOOKUP($C390,REV!$C:$AA,14,0)-'TRADE IN'!$F390=0,"",(VLOOKUP($C390,REV!$C:$AA,14,0)-'TRADE IN'!$F390))</f>
        <v>1499</v>
      </c>
      <c r="Q390" s="46">
        <f>IF(VLOOKUP($C390,REV!$C:$AA,15,0)-'TRADE IN'!$F390=0,"",(VLOOKUP($C390,REV!$C:$AA,15,0)-'TRADE IN'!$F390))</f>
        <v>1499</v>
      </c>
      <c r="R390" s="46">
        <f>IF(VLOOKUP($C390,REV!$C:$AA,16,0)-'TRADE IN'!$F390=0,"",(VLOOKUP($C390,REV!$C:$AA,16,0)-'TRADE IN'!$F390))</f>
        <v>1499</v>
      </c>
      <c r="S390" s="46">
        <f>IF(VLOOKUP($C390,REV!$C:$AA,17,0)-'TRADE IN'!$F390=0,"",(VLOOKUP($C390,REV!$C:$AA,17,0)-'TRADE IN'!$F390))</f>
        <v>1499</v>
      </c>
      <c r="T390" s="46">
        <f>IF(VLOOKUP($C390,REV!$C:$AA,18,0)-'TRADE IN'!$F390=0,"",(VLOOKUP($C390,REV!$C:$AA,18,0)-'TRADE IN'!$F390))</f>
        <v>1499</v>
      </c>
      <c r="U390" s="46">
        <f>IF(VLOOKUP($C390,REV!$C:$AA,19,0)-'TRADE IN'!$F390=0,"",(VLOOKUP($C390,REV!$C:$AA,19,0)-'TRADE IN'!$F390))</f>
        <v>1499</v>
      </c>
      <c r="V390" s="46">
        <f>IF(VLOOKUP($C390,REV!$C:$AA,20,0)-'TRADE IN'!$F390=0,"",(VLOOKUP($C390,REV!$C:$AA,20,0)-'TRADE IN'!$F390))</f>
        <v>1499</v>
      </c>
      <c r="W390" s="46">
        <f>IF(VLOOKUP($C390,REV!$C:$AA,21,0)-'TRADE IN'!$F390=0,"",(VLOOKUP($C390,REV!$C:$AA,21,0)-'TRADE IN'!$F390))</f>
        <v>1499</v>
      </c>
      <c r="X390" s="46">
        <f>IF(VLOOKUP($C390,REV!$C:$AA,22,0)-'TRADE IN'!$F390=0,"",(VLOOKUP($C390,REV!$C:$AA,22,0)-'TRADE IN'!$F390))</f>
        <v>1499</v>
      </c>
      <c r="Y390" s="46">
        <f>IF(VLOOKUP($C390,REV!$C:$AA,23,0)-'TRADE IN'!$F390=0,"",(VLOOKUP($C390,REV!$C:$AA,23,0)-'TRADE IN'!$F390))</f>
        <v>1499</v>
      </c>
      <c r="Z390" s="46">
        <f>IF(VLOOKUP($C390,REV!$C:$AA,24,0)-'TRADE IN'!$F390=0,"",(VLOOKUP($C390,REV!$C:$AA,24,0)-'TRADE IN'!$F390))</f>
        <v>1499</v>
      </c>
      <c r="AA390" s="46">
        <f>IF(VLOOKUP($C390,REV!$C:$AA,25,0)-'TRADE IN'!$F390=0,"",(VLOOKUP($C390,REV!$C:$AA,25,0)-'TRADE IN'!$F390))</f>
        <v>1499</v>
      </c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7"/>
      <c r="AW390" s="48" t="str">
        <f>REV!AW390</f>
        <v>01.12.2026</v>
      </c>
      <c r="AX390" s="153" t="str">
        <f>VLOOKUP(C390,REV!C:AX,48,0)</f>
        <v>5G</v>
      </c>
    </row>
    <row r="391" spans="1:50" ht="22.5" customHeight="1">
      <c r="A391" s="41" t="s">
        <v>63</v>
      </c>
      <c r="B391" s="42" t="s">
        <v>64</v>
      </c>
      <c r="C391" s="43">
        <v>4015889</v>
      </c>
      <c r="D391" s="58" t="s">
        <v>580</v>
      </c>
      <c r="E391" s="58" t="s">
        <v>582</v>
      </c>
      <c r="F391" s="45"/>
      <c r="G391" s="45"/>
      <c r="H391" s="45"/>
      <c r="I391" s="45"/>
      <c r="J391" s="46">
        <f>IF(VLOOKUP($C391,REV!$C:$AA,8,0)-'TRADE IN'!$F391=0,"",(VLOOKUP($C391,REV!$C:$AA,8,0)-'TRADE IN'!$F391))</f>
        <v>1499</v>
      </c>
      <c r="K391" s="46">
        <f>IF(VLOOKUP($C391,REV!$C:$AA,9,0)-'TRADE IN'!$F391=0,"",(VLOOKUP($C391,REV!$C:$AA,9,0)-'TRADE IN'!$F391))</f>
        <v>1499</v>
      </c>
      <c r="L391" s="46">
        <f>IF(VLOOKUP($C391,REV!$C:$AA,10,0)-'TRADE IN'!$F391=0,"",(VLOOKUP($C391,REV!$C:$AA,10,0)-'TRADE IN'!$F391))</f>
        <v>1499</v>
      </c>
      <c r="M391" s="46">
        <f>IF(VLOOKUP($C391,REV!$C:$AA,11,0)-'TRADE IN'!$F391=0,"",(VLOOKUP($C391,REV!$C:$AA,11,0)-'TRADE IN'!$F391))</f>
        <v>1499</v>
      </c>
      <c r="N391" s="46">
        <f>IF(VLOOKUP($C391,REV!$C:$AA,12,0)-'TRADE IN'!$F391=0,"",(VLOOKUP($C391,REV!$C:$AA,12,0)-'TRADE IN'!$F391))</f>
        <v>1499</v>
      </c>
      <c r="O391" s="46">
        <f>IF(VLOOKUP($C391,REV!$C:$AA,13,0)-'TRADE IN'!$F391=0,"",(VLOOKUP($C391,REV!$C:$AA,13,0)-'TRADE IN'!$F391))</f>
        <v>1499</v>
      </c>
      <c r="P391" s="46">
        <f>IF(VLOOKUP($C391,REV!$C:$AA,14,0)-'TRADE IN'!$F391=0,"",(VLOOKUP($C391,REV!$C:$AA,14,0)-'TRADE IN'!$F391))</f>
        <v>1499</v>
      </c>
      <c r="Q391" s="46">
        <f>IF(VLOOKUP($C391,REV!$C:$AA,15,0)-'TRADE IN'!$F391=0,"",(VLOOKUP($C391,REV!$C:$AA,15,0)-'TRADE IN'!$F391))</f>
        <v>1499</v>
      </c>
      <c r="R391" s="46">
        <f>IF(VLOOKUP($C391,REV!$C:$AA,16,0)-'TRADE IN'!$F391=0,"",(VLOOKUP($C391,REV!$C:$AA,16,0)-'TRADE IN'!$F391))</f>
        <v>1499</v>
      </c>
      <c r="S391" s="46">
        <f>IF(VLOOKUP($C391,REV!$C:$AA,17,0)-'TRADE IN'!$F391=0,"",(VLOOKUP($C391,REV!$C:$AA,17,0)-'TRADE IN'!$F391))</f>
        <v>1499</v>
      </c>
      <c r="T391" s="46">
        <f>IF(VLOOKUP($C391,REV!$C:$AA,18,0)-'TRADE IN'!$F391=0,"",(VLOOKUP($C391,REV!$C:$AA,18,0)-'TRADE IN'!$F391))</f>
        <v>1499</v>
      </c>
      <c r="U391" s="46">
        <f>IF(VLOOKUP($C391,REV!$C:$AA,19,0)-'TRADE IN'!$F391=0,"",(VLOOKUP($C391,REV!$C:$AA,19,0)-'TRADE IN'!$F391))</f>
        <v>1499</v>
      </c>
      <c r="V391" s="46">
        <f>IF(VLOOKUP($C391,REV!$C:$AA,20,0)-'TRADE IN'!$F391=0,"",(VLOOKUP($C391,REV!$C:$AA,20,0)-'TRADE IN'!$F391))</f>
        <v>1499</v>
      </c>
      <c r="W391" s="46">
        <f>IF(VLOOKUP($C391,REV!$C:$AA,21,0)-'TRADE IN'!$F391=0,"",(VLOOKUP($C391,REV!$C:$AA,21,0)-'TRADE IN'!$F391))</f>
        <v>1499</v>
      </c>
      <c r="X391" s="46">
        <f>IF(VLOOKUP($C391,REV!$C:$AA,22,0)-'TRADE IN'!$F391=0,"",(VLOOKUP($C391,REV!$C:$AA,22,0)-'TRADE IN'!$F391))</f>
        <v>1499</v>
      </c>
      <c r="Y391" s="46">
        <f>IF(VLOOKUP($C391,REV!$C:$AA,23,0)-'TRADE IN'!$F391=0,"",(VLOOKUP($C391,REV!$C:$AA,23,0)-'TRADE IN'!$F391))</f>
        <v>1499</v>
      </c>
      <c r="Z391" s="46">
        <f>IF(VLOOKUP($C391,REV!$C:$AA,24,0)-'TRADE IN'!$F391=0,"",(VLOOKUP($C391,REV!$C:$AA,24,0)-'TRADE IN'!$F391))</f>
        <v>1499</v>
      </c>
      <c r="AA391" s="46">
        <f>IF(VLOOKUP($C391,REV!$C:$AA,25,0)-'TRADE IN'!$F391=0,"",(VLOOKUP($C391,REV!$C:$AA,25,0)-'TRADE IN'!$F391))</f>
        <v>1499</v>
      </c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7"/>
      <c r="AW391" s="48" t="str">
        <f>REV!AW391</f>
        <v>01.12.2026</v>
      </c>
      <c r="AX391" s="153" t="str">
        <f>VLOOKUP(C391,REV!C:AX,48,0)</f>
        <v>5G</v>
      </c>
    </row>
    <row r="392" spans="1:50" ht="22.5" customHeight="1">
      <c r="A392" s="41" t="s">
        <v>63</v>
      </c>
      <c r="B392" s="42" t="s">
        <v>64</v>
      </c>
      <c r="C392" s="43">
        <v>4016049</v>
      </c>
      <c r="D392" s="58" t="s">
        <v>580</v>
      </c>
      <c r="E392" s="58" t="s">
        <v>583</v>
      </c>
      <c r="F392" s="45"/>
      <c r="G392" s="45"/>
      <c r="H392" s="45"/>
      <c r="I392" s="45"/>
      <c r="J392" s="46">
        <f>IF(VLOOKUP($C392,REV!$C:$AA,8,0)-'TRADE IN'!$F392=0,"",(VLOOKUP($C392,REV!$C:$AA,8,0)-'TRADE IN'!$F392))</f>
        <v>1499</v>
      </c>
      <c r="K392" s="46">
        <f>IF(VLOOKUP($C392,REV!$C:$AA,9,0)-'TRADE IN'!$F392=0,"",(VLOOKUP($C392,REV!$C:$AA,9,0)-'TRADE IN'!$F392))</f>
        <v>1499</v>
      </c>
      <c r="L392" s="46">
        <f>IF(VLOOKUP($C392,REV!$C:$AA,10,0)-'TRADE IN'!$F392=0,"",(VLOOKUP($C392,REV!$C:$AA,10,0)-'TRADE IN'!$F392))</f>
        <v>1499</v>
      </c>
      <c r="M392" s="46">
        <f>IF(VLOOKUP($C392,REV!$C:$AA,11,0)-'TRADE IN'!$F392=0,"",(VLOOKUP($C392,REV!$C:$AA,11,0)-'TRADE IN'!$F392))</f>
        <v>1499</v>
      </c>
      <c r="N392" s="46">
        <f>IF(VLOOKUP($C392,REV!$C:$AA,12,0)-'TRADE IN'!$F392=0,"",(VLOOKUP($C392,REV!$C:$AA,12,0)-'TRADE IN'!$F392))</f>
        <v>1499</v>
      </c>
      <c r="O392" s="46">
        <f>IF(VLOOKUP($C392,REV!$C:$AA,13,0)-'TRADE IN'!$F392=0,"",(VLOOKUP($C392,REV!$C:$AA,13,0)-'TRADE IN'!$F392))</f>
        <v>1499</v>
      </c>
      <c r="P392" s="46">
        <f>IF(VLOOKUP($C392,REV!$C:$AA,14,0)-'TRADE IN'!$F392=0,"",(VLOOKUP($C392,REV!$C:$AA,14,0)-'TRADE IN'!$F392))</f>
        <v>1499</v>
      </c>
      <c r="Q392" s="46">
        <f>IF(VLOOKUP($C392,REV!$C:$AA,15,0)-'TRADE IN'!$F392=0,"",(VLOOKUP($C392,REV!$C:$AA,15,0)-'TRADE IN'!$F392))</f>
        <v>1499</v>
      </c>
      <c r="R392" s="46">
        <f>IF(VLOOKUP($C392,REV!$C:$AA,16,0)-'TRADE IN'!$F392=0,"",(VLOOKUP($C392,REV!$C:$AA,16,0)-'TRADE IN'!$F392))</f>
        <v>1499</v>
      </c>
      <c r="S392" s="46">
        <f>IF(VLOOKUP($C392,REV!$C:$AA,17,0)-'TRADE IN'!$F392=0,"",(VLOOKUP($C392,REV!$C:$AA,17,0)-'TRADE IN'!$F392))</f>
        <v>1499</v>
      </c>
      <c r="T392" s="46">
        <f>IF(VLOOKUP($C392,REV!$C:$AA,18,0)-'TRADE IN'!$F392=0,"",(VLOOKUP($C392,REV!$C:$AA,18,0)-'TRADE IN'!$F392))</f>
        <v>1499</v>
      </c>
      <c r="U392" s="46">
        <f>IF(VLOOKUP($C392,REV!$C:$AA,19,0)-'TRADE IN'!$F392=0,"",(VLOOKUP($C392,REV!$C:$AA,19,0)-'TRADE IN'!$F392))</f>
        <v>1499</v>
      </c>
      <c r="V392" s="46">
        <f>IF(VLOOKUP($C392,REV!$C:$AA,20,0)-'TRADE IN'!$F392=0,"",(VLOOKUP($C392,REV!$C:$AA,20,0)-'TRADE IN'!$F392))</f>
        <v>1499</v>
      </c>
      <c r="W392" s="46">
        <f>IF(VLOOKUP($C392,REV!$C:$AA,21,0)-'TRADE IN'!$F392=0,"",(VLOOKUP($C392,REV!$C:$AA,21,0)-'TRADE IN'!$F392))</f>
        <v>1499</v>
      </c>
      <c r="X392" s="46">
        <f>IF(VLOOKUP($C392,REV!$C:$AA,22,0)-'TRADE IN'!$F392=0,"",(VLOOKUP($C392,REV!$C:$AA,22,0)-'TRADE IN'!$F392))</f>
        <v>1499</v>
      </c>
      <c r="Y392" s="46">
        <f>IF(VLOOKUP($C392,REV!$C:$AA,23,0)-'TRADE IN'!$F392=0,"",(VLOOKUP($C392,REV!$C:$AA,23,0)-'TRADE IN'!$F392))</f>
        <v>1499</v>
      </c>
      <c r="Z392" s="46">
        <f>IF(VLOOKUP($C392,REV!$C:$AA,24,0)-'TRADE IN'!$F392=0,"",(VLOOKUP($C392,REV!$C:$AA,24,0)-'TRADE IN'!$F392))</f>
        <v>1499</v>
      </c>
      <c r="AA392" s="46">
        <f>IF(VLOOKUP($C392,REV!$C:$AA,25,0)-'TRADE IN'!$F392=0,"",(VLOOKUP($C392,REV!$C:$AA,25,0)-'TRADE IN'!$F392))</f>
        <v>1499</v>
      </c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7"/>
      <c r="AW392" s="48" t="str">
        <f>REV!AW392</f>
        <v>01.12.2026</v>
      </c>
      <c r="AX392" s="153" t="str">
        <f>VLOOKUP(C392,REV!C:AX,48,0)</f>
        <v>5G</v>
      </c>
    </row>
    <row r="393" spans="1:50" ht="22.5" customHeight="1">
      <c r="A393" s="41" t="s">
        <v>63</v>
      </c>
      <c r="B393" s="42" t="s">
        <v>64</v>
      </c>
      <c r="C393" s="43">
        <v>4016072</v>
      </c>
      <c r="D393" s="58" t="s">
        <v>580</v>
      </c>
      <c r="E393" s="58" t="s">
        <v>584</v>
      </c>
      <c r="F393" s="45"/>
      <c r="G393" s="45"/>
      <c r="H393" s="45"/>
      <c r="I393" s="45"/>
      <c r="J393" s="46">
        <f>IF(VLOOKUP($C393,REV!$C:$AA,8,0)-'TRADE IN'!$F393=0,"",(VLOOKUP($C393,REV!$C:$AA,8,0)-'TRADE IN'!$F393))</f>
        <v>1499</v>
      </c>
      <c r="K393" s="46">
        <f>IF(VLOOKUP($C393,REV!$C:$AA,9,0)-'TRADE IN'!$F393=0,"",(VLOOKUP($C393,REV!$C:$AA,9,0)-'TRADE IN'!$F393))</f>
        <v>1499</v>
      </c>
      <c r="L393" s="46">
        <f>IF(VLOOKUP($C393,REV!$C:$AA,10,0)-'TRADE IN'!$F393=0,"",(VLOOKUP($C393,REV!$C:$AA,10,0)-'TRADE IN'!$F393))</f>
        <v>1499</v>
      </c>
      <c r="M393" s="46">
        <f>IF(VLOOKUP($C393,REV!$C:$AA,11,0)-'TRADE IN'!$F393=0,"",(VLOOKUP($C393,REV!$C:$AA,11,0)-'TRADE IN'!$F393))</f>
        <v>1499</v>
      </c>
      <c r="N393" s="46">
        <f>IF(VLOOKUP($C393,REV!$C:$AA,12,0)-'TRADE IN'!$F393=0,"",(VLOOKUP($C393,REV!$C:$AA,12,0)-'TRADE IN'!$F393))</f>
        <v>1499</v>
      </c>
      <c r="O393" s="46">
        <f>IF(VLOOKUP($C393,REV!$C:$AA,13,0)-'TRADE IN'!$F393=0,"",(VLOOKUP($C393,REV!$C:$AA,13,0)-'TRADE IN'!$F393))</f>
        <v>1499</v>
      </c>
      <c r="P393" s="46">
        <f>IF(VLOOKUP($C393,REV!$C:$AA,14,0)-'TRADE IN'!$F393=0,"",(VLOOKUP($C393,REV!$C:$AA,14,0)-'TRADE IN'!$F393))</f>
        <v>1499</v>
      </c>
      <c r="Q393" s="46">
        <f>IF(VLOOKUP($C393,REV!$C:$AA,15,0)-'TRADE IN'!$F393=0,"",(VLOOKUP($C393,REV!$C:$AA,15,0)-'TRADE IN'!$F393))</f>
        <v>1499</v>
      </c>
      <c r="R393" s="46">
        <f>IF(VLOOKUP($C393,REV!$C:$AA,16,0)-'TRADE IN'!$F393=0,"",(VLOOKUP($C393,REV!$C:$AA,16,0)-'TRADE IN'!$F393))</f>
        <v>1499</v>
      </c>
      <c r="S393" s="46">
        <f>IF(VLOOKUP($C393,REV!$C:$AA,17,0)-'TRADE IN'!$F393=0,"",(VLOOKUP($C393,REV!$C:$AA,17,0)-'TRADE IN'!$F393))</f>
        <v>1499</v>
      </c>
      <c r="T393" s="46">
        <f>IF(VLOOKUP($C393,REV!$C:$AA,18,0)-'TRADE IN'!$F393=0,"",(VLOOKUP($C393,REV!$C:$AA,18,0)-'TRADE IN'!$F393))</f>
        <v>1499</v>
      </c>
      <c r="U393" s="46">
        <f>IF(VLOOKUP($C393,REV!$C:$AA,19,0)-'TRADE IN'!$F393=0,"",(VLOOKUP($C393,REV!$C:$AA,19,0)-'TRADE IN'!$F393))</f>
        <v>1499</v>
      </c>
      <c r="V393" s="46">
        <f>IF(VLOOKUP($C393,REV!$C:$AA,20,0)-'TRADE IN'!$F393=0,"",(VLOOKUP($C393,REV!$C:$AA,20,0)-'TRADE IN'!$F393))</f>
        <v>1499</v>
      </c>
      <c r="W393" s="46">
        <f>IF(VLOOKUP($C393,REV!$C:$AA,21,0)-'TRADE IN'!$F393=0,"",(VLOOKUP($C393,REV!$C:$AA,21,0)-'TRADE IN'!$F393))</f>
        <v>1499</v>
      </c>
      <c r="X393" s="46">
        <f>IF(VLOOKUP($C393,REV!$C:$AA,22,0)-'TRADE IN'!$F393=0,"",(VLOOKUP($C393,REV!$C:$AA,22,0)-'TRADE IN'!$F393))</f>
        <v>1499</v>
      </c>
      <c r="Y393" s="46">
        <f>IF(VLOOKUP($C393,REV!$C:$AA,23,0)-'TRADE IN'!$F393=0,"",(VLOOKUP($C393,REV!$C:$AA,23,0)-'TRADE IN'!$F393))</f>
        <v>1499</v>
      </c>
      <c r="Z393" s="46">
        <f>IF(VLOOKUP($C393,REV!$C:$AA,24,0)-'TRADE IN'!$F393=0,"",(VLOOKUP($C393,REV!$C:$AA,24,0)-'TRADE IN'!$F393))</f>
        <v>1499</v>
      </c>
      <c r="AA393" s="46">
        <f>IF(VLOOKUP($C393,REV!$C:$AA,25,0)-'TRADE IN'!$F393=0,"",(VLOOKUP($C393,REV!$C:$AA,25,0)-'TRADE IN'!$F393))</f>
        <v>1499</v>
      </c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7"/>
      <c r="AW393" s="48" t="str">
        <f>REV!AW393</f>
        <v>01.12.2026</v>
      </c>
      <c r="AX393" s="153" t="str">
        <f>VLOOKUP(C393,REV!C:AX,48,0)</f>
        <v>5G</v>
      </c>
    </row>
    <row r="394" spans="1:50" ht="22.5" customHeight="1">
      <c r="A394" s="41" t="s">
        <v>63</v>
      </c>
      <c r="B394" s="42" t="s">
        <v>64</v>
      </c>
      <c r="C394" s="43">
        <v>4016064</v>
      </c>
      <c r="D394" s="58" t="s">
        <v>580</v>
      </c>
      <c r="E394" s="58" t="s">
        <v>585</v>
      </c>
      <c r="F394" s="45"/>
      <c r="G394" s="45"/>
      <c r="H394" s="45"/>
      <c r="I394" s="45"/>
      <c r="J394" s="46">
        <f>IF(VLOOKUP($C394,REV!$C:$AA,8,0)-'TRADE IN'!$F394=0,"",(VLOOKUP($C394,REV!$C:$AA,8,0)-'TRADE IN'!$F394))</f>
        <v>1499</v>
      </c>
      <c r="K394" s="46">
        <f>IF(VLOOKUP($C394,REV!$C:$AA,9,0)-'TRADE IN'!$F394=0,"",(VLOOKUP($C394,REV!$C:$AA,9,0)-'TRADE IN'!$F394))</f>
        <v>1499</v>
      </c>
      <c r="L394" s="46">
        <f>IF(VLOOKUP($C394,REV!$C:$AA,10,0)-'TRADE IN'!$F394=0,"",(VLOOKUP($C394,REV!$C:$AA,10,0)-'TRADE IN'!$F394))</f>
        <v>1499</v>
      </c>
      <c r="M394" s="46">
        <f>IF(VLOOKUP($C394,REV!$C:$AA,11,0)-'TRADE IN'!$F394=0,"",(VLOOKUP($C394,REV!$C:$AA,11,0)-'TRADE IN'!$F394))</f>
        <v>1499</v>
      </c>
      <c r="N394" s="46">
        <f>IF(VLOOKUP($C394,REV!$C:$AA,12,0)-'TRADE IN'!$F394=0,"",(VLOOKUP($C394,REV!$C:$AA,12,0)-'TRADE IN'!$F394))</f>
        <v>1499</v>
      </c>
      <c r="O394" s="46">
        <f>IF(VLOOKUP($C394,REV!$C:$AA,13,0)-'TRADE IN'!$F394=0,"",(VLOOKUP($C394,REV!$C:$AA,13,0)-'TRADE IN'!$F394))</f>
        <v>1499</v>
      </c>
      <c r="P394" s="46">
        <f>IF(VLOOKUP($C394,REV!$C:$AA,14,0)-'TRADE IN'!$F394=0,"",(VLOOKUP($C394,REV!$C:$AA,14,0)-'TRADE IN'!$F394))</f>
        <v>1499</v>
      </c>
      <c r="Q394" s="46">
        <f>IF(VLOOKUP($C394,REV!$C:$AA,15,0)-'TRADE IN'!$F394=0,"",(VLOOKUP($C394,REV!$C:$AA,15,0)-'TRADE IN'!$F394))</f>
        <v>1499</v>
      </c>
      <c r="R394" s="46">
        <f>IF(VLOOKUP($C394,REV!$C:$AA,16,0)-'TRADE IN'!$F394=0,"",(VLOOKUP($C394,REV!$C:$AA,16,0)-'TRADE IN'!$F394))</f>
        <v>1499</v>
      </c>
      <c r="S394" s="46">
        <f>IF(VLOOKUP($C394,REV!$C:$AA,17,0)-'TRADE IN'!$F394=0,"",(VLOOKUP($C394,REV!$C:$AA,17,0)-'TRADE IN'!$F394))</f>
        <v>1499</v>
      </c>
      <c r="T394" s="46">
        <f>IF(VLOOKUP($C394,REV!$C:$AA,18,0)-'TRADE IN'!$F394=0,"",(VLOOKUP($C394,REV!$C:$AA,18,0)-'TRADE IN'!$F394))</f>
        <v>1499</v>
      </c>
      <c r="U394" s="46">
        <f>IF(VLOOKUP($C394,REV!$C:$AA,19,0)-'TRADE IN'!$F394=0,"",(VLOOKUP($C394,REV!$C:$AA,19,0)-'TRADE IN'!$F394))</f>
        <v>1499</v>
      </c>
      <c r="V394" s="46">
        <f>IF(VLOOKUP($C394,REV!$C:$AA,20,0)-'TRADE IN'!$F394=0,"",(VLOOKUP($C394,REV!$C:$AA,20,0)-'TRADE IN'!$F394))</f>
        <v>1499</v>
      </c>
      <c r="W394" s="46">
        <f>IF(VLOOKUP($C394,REV!$C:$AA,21,0)-'TRADE IN'!$F394=0,"",(VLOOKUP($C394,REV!$C:$AA,21,0)-'TRADE IN'!$F394))</f>
        <v>1499</v>
      </c>
      <c r="X394" s="46">
        <f>IF(VLOOKUP($C394,REV!$C:$AA,22,0)-'TRADE IN'!$F394=0,"",(VLOOKUP($C394,REV!$C:$AA,22,0)-'TRADE IN'!$F394))</f>
        <v>1499</v>
      </c>
      <c r="Y394" s="46">
        <f>IF(VLOOKUP($C394,REV!$C:$AA,23,0)-'TRADE IN'!$F394=0,"",(VLOOKUP($C394,REV!$C:$AA,23,0)-'TRADE IN'!$F394))</f>
        <v>1499</v>
      </c>
      <c r="Z394" s="46">
        <f>IF(VLOOKUP($C394,REV!$C:$AA,24,0)-'TRADE IN'!$F394=0,"",(VLOOKUP($C394,REV!$C:$AA,24,0)-'TRADE IN'!$F394))</f>
        <v>1499</v>
      </c>
      <c r="AA394" s="46">
        <f>IF(VLOOKUP($C394,REV!$C:$AA,25,0)-'TRADE IN'!$F394=0,"",(VLOOKUP($C394,REV!$C:$AA,25,0)-'TRADE IN'!$F394))</f>
        <v>1499</v>
      </c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7"/>
      <c r="AW394" s="48" t="str">
        <f>REV!AW394</f>
        <v>01.12.2026</v>
      </c>
      <c r="AX394" s="153" t="str">
        <f>VLOOKUP(C394,REV!C:AX,48,0)</f>
        <v>5G</v>
      </c>
    </row>
    <row r="395" spans="1:50" ht="22.5" customHeight="1">
      <c r="A395" s="41" t="s">
        <v>63</v>
      </c>
      <c r="B395" s="42" t="s">
        <v>64</v>
      </c>
      <c r="C395" s="43">
        <v>4016033</v>
      </c>
      <c r="D395" s="58" t="s">
        <v>580</v>
      </c>
      <c r="E395" s="58" t="s">
        <v>586</v>
      </c>
      <c r="F395" s="45"/>
      <c r="G395" s="45"/>
      <c r="H395" s="45"/>
      <c r="I395" s="45"/>
      <c r="J395" s="46">
        <f>IF(VLOOKUP($C395,REV!$C:$AA,8,0)-'TRADE IN'!$F395=0,"",(VLOOKUP($C395,REV!$C:$AA,8,0)-'TRADE IN'!$F395))</f>
        <v>1499</v>
      </c>
      <c r="K395" s="46">
        <f>IF(VLOOKUP($C395,REV!$C:$AA,9,0)-'TRADE IN'!$F395=0,"",(VLOOKUP($C395,REV!$C:$AA,9,0)-'TRADE IN'!$F395))</f>
        <v>1499</v>
      </c>
      <c r="L395" s="46">
        <f>IF(VLOOKUP($C395,REV!$C:$AA,10,0)-'TRADE IN'!$F395=0,"",(VLOOKUP($C395,REV!$C:$AA,10,0)-'TRADE IN'!$F395))</f>
        <v>1499</v>
      </c>
      <c r="M395" s="46">
        <f>IF(VLOOKUP($C395,REV!$C:$AA,11,0)-'TRADE IN'!$F395=0,"",(VLOOKUP($C395,REV!$C:$AA,11,0)-'TRADE IN'!$F395))</f>
        <v>1499</v>
      </c>
      <c r="N395" s="46">
        <f>IF(VLOOKUP($C395,REV!$C:$AA,12,0)-'TRADE IN'!$F395=0,"",(VLOOKUP($C395,REV!$C:$AA,12,0)-'TRADE IN'!$F395))</f>
        <v>1499</v>
      </c>
      <c r="O395" s="46">
        <f>IF(VLOOKUP($C395,REV!$C:$AA,13,0)-'TRADE IN'!$F395=0,"",(VLOOKUP($C395,REV!$C:$AA,13,0)-'TRADE IN'!$F395))</f>
        <v>1499</v>
      </c>
      <c r="P395" s="46">
        <f>IF(VLOOKUP($C395,REV!$C:$AA,14,0)-'TRADE IN'!$F395=0,"",(VLOOKUP($C395,REV!$C:$AA,14,0)-'TRADE IN'!$F395))</f>
        <v>1499</v>
      </c>
      <c r="Q395" s="46">
        <f>IF(VLOOKUP($C395,REV!$C:$AA,15,0)-'TRADE IN'!$F395=0,"",(VLOOKUP($C395,REV!$C:$AA,15,0)-'TRADE IN'!$F395))</f>
        <v>1499</v>
      </c>
      <c r="R395" s="46">
        <f>IF(VLOOKUP($C395,REV!$C:$AA,16,0)-'TRADE IN'!$F395=0,"",(VLOOKUP($C395,REV!$C:$AA,16,0)-'TRADE IN'!$F395))</f>
        <v>1499</v>
      </c>
      <c r="S395" s="46">
        <f>IF(VLOOKUP($C395,REV!$C:$AA,17,0)-'TRADE IN'!$F395=0,"",(VLOOKUP($C395,REV!$C:$AA,17,0)-'TRADE IN'!$F395))</f>
        <v>1499</v>
      </c>
      <c r="T395" s="46">
        <f>IF(VLOOKUP($C395,REV!$C:$AA,18,0)-'TRADE IN'!$F395=0,"",(VLOOKUP($C395,REV!$C:$AA,18,0)-'TRADE IN'!$F395))</f>
        <v>1499</v>
      </c>
      <c r="U395" s="46">
        <f>IF(VLOOKUP($C395,REV!$C:$AA,19,0)-'TRADE IN'!$F395=0,"",(VLOOKUP($C395,REV!$C:$AA,19,0)-'TRADE IN'!$F395))</f>
        <v>1499</v>
      </c>
      <c r="V395" s="46">
        <f>IF(VLOOKUP($C395,REV!$C:$AA,20,0)-'TRADE IN'!$F395=0,"",(VLOOKUP($C395,REV!$C:$AA,20,0)-'TRADE IN'!$F395))</f>
        <v>1499</v>
      </c>
      <c r="W395" s="46">
        <f>IF(VLOOKUP($C395,REV!$C:$AA,21,0)-'TRADE IN'!$F395=0,"",(VLOOKUP($C395,REV!$C:$AA,21,0)-'TRADE IN'!$F395))</f>
        <v>1499</v>
      </c>
      <c r="X395" s="46">
        <f>IF(VLOOKUP($C395,REV!$C:$AA,22,0)-'TRADE IN'!$F395=0,"",(VLOOKUP($C395,REV!$C:$AA,22,0)-'TRADE IN'!$F395))</f>
        <v>1499</v>
      </c>
      <c r="Y395" s="46">
        <f>IF(VLOOKUP($C395,REV!$C:$AA,23,0)-'TRADE IN'!$F395=0,"",(VLOOKUP($C395,REV!$C:$AA,23,0)-'TRADE IN'!$F395))</f>
        <v>1499</v>
      </c>
      <c r="Z395" s="46">
        <f>IF(VLOOKUP($C395,REV!$C:$AA,24,0)-'TRADE IN'!$F395=0,"",(VLOOKUP($C395,REV!$C:$AA,24,0)-'TRADE IN'!$F395))</f>
        <v>1499</v>
      </c>
      <c r="AA395" s="46">
        <f>IF(VLOOKUP($C395,REV!$C:$AA,25,0)-'TRADE IN'!$F395=0,"",(VLOOKUP($C395,REV!$C:$AA,25,0)-'TRADE IN'!$F395))</f>
        <v>1499</v>
      </c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7"/>
      <c r="AW395" s="48" t="str">
        <f>REV!AW395</f>
        <v>01.12.2026</v>
      </c>
      <c r="AX395" s="153" t="str">
        <f>VLOOKUP(C395,REV!C:AX,48,0)</f>
        <v>5G</v>
      </c>
    </row>
    <row r="396" spans="1:50" ht="22.5" customHeight="1">
      <c r="A396" s="41" t="s">
        <v>63</v>
      </c>
      <c r="B396" s="42" t="s">
        <v>64</v>
      </c>
      <c r="C396" s="43">
        <v>4016026</v>
      </c>
      <c r="D396" s="58" t="s">
        <v>580</v>
      </c>
      <c r="E396" s="58" t="s">
        <v>587</v>
      </c>
      <c r="F396" s="45"/>
      <c r="G396" s="45"/>
      <c r="H396" s="45"/>
      <c r="I396" s="45"/>
      <c r="J396" s="46">
        <f>IF(VLOOKUP($C396,REV!$C:$AA,8,0)-'TRADE IN'!$F396=0,"",(VLOOKUP($C396,REV!$C:$AA,8,0)-'TRADE IN'!$F396))</f>
        <v>1499</v>
      </c>
      <c r="K396" s="46">
        <f>IF(VLOOKUP($C396,REV!$C:$AA,9,0)-'TRADE IN'!$F396=0,"",(VLOOKUP($C396,REV!$C:$AA,9,0)-'TRADE IN'!$F396))</f>
        <v>1499</v>
      </c>
      <c r="L396" s="46">
        <f>IF(VLOOKUP($C396,REV!$C:$AA,10,0)-'TRADE IN'!$F396=0,"",(VLOOKUP($C396,REV!$C:$AA,10,0)-'TRADE IN'!$F396))</f>
        <v>1499</v>
      </c>
      <c r="M396" s="46">
        <f>IF(VLOOKUP($C396,REV!$C:$AA,11,0)-'TRADE IN'!$F396=0,"",(VLOOKUP($C396,REV!$C:$AA,11,0)-'TRADE IN'!$F396))</f>
        <v>1499</v>
      </c>
      <c r="N396" s="46">
        <f>IF(VLOOKUP($C396,REV!$C:$AA,12,0)-'TRADE IN'!$F396=0,"",(VLOOKUP($C396,REV!$C:$AA,12,0)-'TRADE IN'!$F396))</f>
        <v>1499</v>
      </c>
      <c r="O396" s="46">
        <f>IF(VLOOKUP($C396,REV!$C:$AA,13,0)-'TRADE IN'!$F396=0,"",(VLOOKUP($C396,REV!$C:$AA,13,0)-'TRADE IN'!$F396))</f>
        <v>1499</v>
      </c>
      <c r="P396" s="46">
        <f>IF(VLOOKUP($C396,REV!$C:$AA,14,0)-'TRADE IN'!$F396=0,"",(VLOOKUP($C396,REV!$C:$AA,14,0)-'TRADE IN'!$F396))</f>
        <v>1499</v>
      </c>
      <c r="Q396" s="46">
        <f>IF(VLOOKUP($C396,REV!$C:$AA,15,0)-'TRADE IN'!$F396=0,"",(VLOOKUP($C396,REV!$C:$AA,15,0)-'TRADE IN'!$F396))</f>
        <v>1499</v>
      </c>
      <c r="R396" s="46">
        <f>IF(VLOOKUP($C396,REV!$C:$AA,16,0)-'TRADE IN'!$F396=0,"",(VLOOKUP($C396,REV!$C:$AA,16,0)-'TRADE IN'!$F396))</f>
        <v>1499</v>
      </c>
      <c r="S396" s="46">
        <f>IF(VLOOKUP($C396,REV!$C:$AA,17,0)-'TRADE IN'!$F396=0,"",(VLOOKUP($C396,REV!$C:$AA,17,0)-'TRADE IN'!$F396))</f>
        <v>1499</v>
      </c>
      <c r="T396" s="46">
        <f>IF(VLOOKUP($C396,REV!$C:$AA,18,0)-'TRADE IN'!$F396=0,"",(VLOOKUP($C396,REV!$C:$AA,18,0)-'TRADE IN'!$F396))</f>
        <v>1499</v>
      </c>
      <c r="U396" s="46">
        <f>IF(VLOOKUP($C396,REV!$C:$AA,19,0)-'TRADE IN'!$F396=0,"",(VLOOKUP($C396,REV!$C:$AA,19,0)-'TRADE IN'!$F396))</f>
        <v>1499</v>
      </c>
      <c r="V396" s="46">
        <f>IF(VLOOKUP($C396,REV!$C:$AA,20,0)-'TRADE IN'!$F396=0,"",(VLOOKUP($C396,REV!$C:$AA,20,0)-'TRADE IN'!$F396))</f>
        <v>1499</v>
      </c>
      <c r="W396" s="46">
        <f>IF(VLOOKUP($C396,REV!$C:$AA,21,0)-'TRADE IN'!$F396=0,"",(VLOOKUP($C396,REV!$C:$AA,21,0)-'TRADE IN'!$F396))</f>
        <v>1499</v>
      </c>
      <c r="X396" s="46">
        <f>IF(VLOOKUP($C396,REV!$C:$AA,22,0)-'TRADE IN'!$F396=0,"",(VLOOKUP($C396,REV!$C:$AA,22,0)-'TRADE IN'!$F396))</f>
        <v>1499</v>
      </c>
      <c r="Y396" s="46">
        <f>IF(VLOOKUP($C396,REV!$C:$AA,23,0)-'TRADE IN'!$F396=0,"",(VLOOKUP($C396,REV!$C:$AA,23,0)-'TRADE IN'!$F396))</f>
        <v>1499</v>
      </c>
      <c r="Z396" s="46">
        <f>IF(VLOOKUP($C396,REV!$C:$AA,24,0)-'TRADE IN'!$F396=0,"",(VLOOKUP($C396,REV!$C:$AA,24,0)-'TRADE IN'!$F396))</f>
        <v>1499</v>
      </c>
      <c r="AA396" s="46">
        <f>IF(VLOOKUP($C396,REV!$C:$AA,25,0)-'TRADE IN'!$F396=0,"",(VLOOKUP($C396,REV!$C:$AA,25,0)-'TRADE IN'!$F396))</f>
        <v>1499</v>
      </c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7"/>
      <c r="AW396" s="48" t="str">
        <f>REV!AW396</f>
        <v>01.12.2026</v>
      </c>
      <c r="AX396" s="153" t="str">
        <f>VLOOKUP(C396,REV!C:AX,48,0)</f>
        <v>5G</v>
      </c>
    </row>
    <row r="397" spans="1:50" ht="22.5" customHeight="1">
      <c r="A397" s="41" t="s">
        <v>63</v>
      </c>
      <c r="B397" s="42" t="s">
        <v>64</v>
      </c>
      <c r="C397" s="43">
        <v>4016056</v>
      </c>
      <c r="D397" s="58" t="s">
        <v>580</v>
      </c>
      <c r="E397" s="58" t="s">
        <v>588</v>
      </c>
      <c r="F397" s="45"/>
      <c r="G397" s="45"/>
      <c r="H397" s="45"/>
      <c r="I397" s="45"/>
      <c r="J397" s="46">
        <f>IF(VLOOKUP($C397,REV!$C:$AA,8,0)-'TRADE IN'!$F397=0,"",(VLOOKUP($C397,REV!$C:$AA,8,0)-'TRADE IN'!$F397))</f>
        <v>1499</v>
      </c>
      <c r="K397" s="46">
        <f>IF(VLOOKUP($C397,REV!$C:$AA,9,0)-'TRADE IN'!$F397=0,"",(VLOOKUP($C397,REV!$C:$AA,9,0)-'TRADE IN'!$F397))</f>
        <v>1499</v>
      </c>
      <c r="L397" s="46">
        <f>IF(VLOOKUP($C397,REV!$C:$AA,10,0)-'TRADE IN'!$F397=0,"",(VLOOKUP($C397,REV!$C:$AA,10,0)-'TRADE IN'!$F397))</f>
        <v>1499</v>
      </c>
      <c r="M397" s="46">
        <f>IF(VLOOKUP($C397,REV!$C:$AA,11,0)-'TRADE IN'!$F397=0,"",(VLOOKUP($C397,REV!$C:$AA,11,0)-'TRADE IN'!$F397))</f>
        <v>1499</v>
      </c>
      <c r="N397" s="46">
        <f>IF(VLOOKUP($C397,REV!$C:$AA,12,0)-'TRADE IN'!$F397=0,"",(VLOOKUP($C397,REV!$C:$AA,12,0)-'TRADE IN'!$F397))</f>
        <v>1499</v>
      </c>
      <c r="O397" s="46">
        <f>IF(VLOOKUP($C397,REV!$C:$AA,13,0)-'TRADE IN'!$F397=0,"",(VLOOKUP($C397,REV!$C:$AA,13,0)-'TRADE IN'!$F397))</f>
        <v>1499</v>
      </c>
      <c r="P397" s="46">
        <f>IF(VLOOKUP($C397,REV!$C:$AA,14,0)-'TRADE IN'!$F397=0,"",(VLOOKUP($C397,REV!$C:$AA,14,0)-'TRADE IN'!$F397))</f>
        <v>1499</v>
      </c>
      <c r="Q397" s="46">
        <f>IF(VLOOKUP($C397,REV!$C:$AA,15,0)-'TRADE IN'!$F397=0,"",(VLOOKUP($C397,REV!$C:$AA,15,0)-'TRADE IN'!$F397))</f>
        <v>1499</v>
      </c>
      <c r="R397" s="46">
        <f>IF(VLOOKUP($C397,REV!$C:$AA,16,0)-'TRADE IN'!$F397=0,"",(VLOOKUP($C397,REV!$C:$AA,16,0)-'TRADE IN'!$F397))</f>
        <v>1499</v>
      </c>
      <c r="S397" s="46">
        <f>IF(VLOOKUP($C397,REV!$C:$AA,17,0)-'TRADE IN'!$F397=0,"",(VLOOKUP($C397,REV!$C:$AA,17,0)-'TRADE IN'!$F397))</f>
        <v>1499</v>
      </c>
      <c r="T397" s="46">
        <f>IF(VLOOKUP($C397,REV!$C:$AA,18,0)-'TRADE IN'!$F397=0,"",(VLOOKUP($C397,REV!$C:$AA,18,0)-'TRADE IN'!$F397))</f>
        <v>1499</v>
      </c>
      <c r="U397" s="46">
        <f>IF(VLOOKUP($C397,REV!$C:$AA,19,0)-'TRADE IN'!$F397=0,"",(VLOOKUP($C397,REV!$C:$AA,19,0)-'TRADE IN'!$F397))</f>
        <v>1499</v>
      </c>
      <c r="V397" s="46">
        <f>IF(VLOOKUP($C397,REV!$C:$AA,20,0)-'TRADE IN'!$F397=0,"",(VLOOKUP($C397,REV!$C:$AA,20,0)-'TRADE IN'!$F397))</f>
        <v>1499</v>
      </c>
      <c r="W397" s="46">
        <f>IF(VLOOKUP($C397,REV!$C:$AA,21,0)-'TRADE IN'!$F397=0,"",(VLOOKUP($C397,REV!$C:$AA,21,0)-'TRADE IN'!$F397))</f>
        <v>1499</v>
      </c>
      <c r="X397" s="46">
        <f>IF(VLOOKUP($C397,REV!$C:$AA,22,0)-'TRADE IN'!$F397=0,"",(VLOOKUP($C397,REV!$C:$AA,22,0)-'TRADE IN'!$F397))</f>
        <v>1499</v>
      </c>
      <c r="Y397" s="46">
        <f>IF(VLOOKUP($C397,REV!$C:$AA,23,0)-'TRADE IN'!$F397=0,"",(VLOOKUP($C397,REV!$C:$AA,23,0)-'TRADE IN'!$F397))</f>
        <v>1499</v>
      </c>
      <c r="Z397" s="46">
        <f>IF(VLOOKUP($C397,REV!$C:$AA,24,0)-'TRADE IN'!$F397=0,"",(VLOOKUP($C397,REV!$C:$AA,24,0)-'TRADE IN'!$F397))</f>
        <v>1499</v>
      </c>
      <c r="AA397" s="46">
        <f>IF(VLOOKUP($C397,REV!$C:$AA,25,0)-'TRADE IN'!$F397=0,"",(VLOOKUP($C397,REV!$C:$AA,25,0)-'TRADE IN'!$F397))</f>
        <v>1499</v>
      </c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7"/>
      <c r="AW397" s="48" t="str">
        <f>REV!AW397</f>
        <v>01.12.2026</v>
      </c>
      <c r="AX397" s="153" t="str">
        <f>VLOOKUP(C397,REV!C:AX,48,0)</f>
        <v>5G</v>
      </c>
    </row>
    <row r="398" spans="1:50" ht="22.5" customHeight="1">
      <c r="A398" s="41" t="s">
        <v>63</v>
      </c>
      <c r="B398" s="42" t="s">
        <v>64</v>
      </c>
      <c r="C398" s="43">
        <v>4016036</v>
      </c>
      <c r="D398" s="58" t="s">
        <v>589</v>
      </c>
      <c r="E398" s="58" t="s">
        <v>590</v>
      </c>
      <c r="F398" s="45"/>
      <c r="G398" s="45"/>
      <c r="H398" s="45"/>
      <c r="I398" s="45"/>
      <c r="J398" s="46">
        <f>IF(VLOOKUP($C398,REV!$C:$AA,8,0)-'TRADE IN'!$F398=0,"",(VLOOKUP($C398,REV!$C:$AA,8,0)-'TRADE IN'!$F398))</f>
        <v>1499</v>
      </c>
      <c r="K398" s="46">
        <f>IF(VLOOKUP($C398,REV!$C:$AA,9,0)-'TRADE IN'!$F398=0,"",(VLOOKUP($C398,REV!$C:$AA,9,0)-'TRADE IN'!$F398))</f>
        <v>1499</v>
      </c>
      <c r="L398" s="46">
        <f>IF(VLOOKUP($C398,REV!$C:$AA,10,0)-'TRADE IN'!$F398=0,"",(VLOOKUP($C398,REV!$C:$AA,10,0)-'TRADE IN'!$F398))</f>
        <v>1499</v>
      </c>
      <c r="M398" s="46">
        <f>IF(VLOOKUP($C398,REV!$C:$AA,11,0)-'TRADE IN'!$F398=0,"",(VLOOKUP($C398,REV!$C:$AA,11,0)-'TRADE IN'!$F398))</f>
        <v>1499</v>
      </c>
      <c r="N398" s="46">
        <f>IF(VLOOKUP($C398,REV!$C:$AA,12,0)-'TRADE IN'!$F398=0,"",(VLOOKUP($C398,REV!$C:$AA,12,0)-'TRADE IN'!$F398))</f>
        <v>1499</v>
      </c>
      <c r="O398" s="46">
        <f>IF(VLOOKUP($C398,REV!$C:$AA,13,0)-'TRADE IN'!$F398=0,"",(VLOOKUP($C398,REV!$C:$AA,13,0)-'TRADE IN'!$F398))</f>
        <v>1499</v>
      </c>
      <c r="P398" s="46">
        <f>IF(VLOOKUP($C398,REV!$C:$AA,14,0)-'TRADE IN'!$F398=0,"",(VLOOKUP($C398,REV!$C:$AA,14,0)-'TRADE IN'!$F398))</f>
        <v>1499</v>
      </c>
      <c r="Q398" s="46">
        <f>IF(VLOOKUP($C398,REV!$C:$AA,15,0)-'TRADE IN'!$F398=0,"",(VLOOKUP($C398,REV!$C:$AA,15,0)-'TRADE IN'!$F398))</f>
        <v>1499</v>
      </c>
      <c r="R398" s="46">
        <f>IF(VLOOKUP($C398,REV!$C:$AA,16,0)-'TRADE IN'!$F398=0,"",(VLOOKUP($C398,REV!$C:$AA,16,0)-'TRADE IN'!$F398))</f>
        <v>1499</v>
      </c>
      <c r="S398" s="46">
        <f>IF(VLOOKUP($C398,REV!$C:$AA,17,0)-'TRADE IN'!$F398=0,"",(VLOOKUP($C398,REV!$C:$AA,17,0)-'TRADE IN'!$F398))</f>
        <v>1499</v>
      </c>
      <c r="T398" s="46">
        <f>IF(VLOOKUP($C398,REV!$C:$AA,18,0)-'TRADE IN'!$F398=0,"",(VLOOKUP($C398,REV!$C:$AA,18,0)-'TRADE IN'!$F398))</f>
        <v>1499</v>
      </c>
      <c r="U398" s="46">
        <f>IF(VLOOKUP($C398,REV!$C:$AA,19,0)-'TRADE IN'!$F398=0,"",(VLOOKUP($C398,REV!$C:$AA,19,0)-'TRADE IN'!$F398))</f>
        <v>1499</v>
      </c>
      <c r="V398" s="46">
        <f>IF(VLOOKUP($C398,REV!$C:$AA,20,0)-'TRADE IN'!$F398=0,"",(VLOOKUP($C398,REV!$C:$AA,20,0)-'TRADE IN'!$F398))</f>
        <v>1499</v>
      </c>
      <c r="W398" s="46">
        <f>IF(VLOOKUP($C398,REV!$C:$AA,21,0)-'TRADE IN'!$F398=0,"",(VLOOKUP($C398,REV!$C:$AA,21,0)-'TRADE IN'!$F398))</f>
        <v>1499</v>
      </c>
      <c r="X398" s="46">
        <f>IF(VLOOKUP($C398,REV!$C:$AA,22,0)-'TRADE IN'!$F398=0,"",(VLOOKUP($C398,REV!$C:$AA,22,0)-'TRADE IN'!$F398))</f>
        <v>1499</v>
      </c>
      <c r="Y398" s="46">
        <f>IF(VLOOKUP($C398,REV!$C:$AA,23,0)-'TRADE IN'!$F398=0,"",(VLOOKUP($C398,REV!$C:$AA,23,0)-'TRADE IN'!$F398))</f>
        <v>1499</v>
      </c>
      <c r="Z398" s="46">
        <f>IF(VLOOKUP($C398,REV!$C:$AA,24,0)-'TRADE IN'!$F398=0,"",(VLOOKUP($C398,REV!$C:$AA,24,0)-'TRADE IN'!$F398))</f>
        <v>1499</v>
      </c>
      <c r="AA398" s="46">
        <f>IF(VLOOKUP($C398,REV!$C:$AA,25,0)-'TRADE IN'!$F398=0,"",(VLOOKUP($C398,REV!$C:$AA,25,0)-'TRADE IN'!$F398))</f>
        <v>1499</v>
      </c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7"/>
      <c r="AW398" s="48" t="str">
        <f>REV!AW398</f>
        <v>01.12.2026</v>
      </c>
      <c r="AX398" s="153" t="str">
        <f>VLOOKUP(C398,REV!C:AX,48,0)</f>
        <v>5G</v>
      </c>
    </row>
    <row r="399" spans="1:50" ht="22.5" customHeight="1">
      <c r="A399" s="41" t="s">
        <v>63</v>
      </c>
      <c r="B399" s="42" t="s">
        <v>64</v>
      </c>
      <c r="C399" s="43">
        <v>4016068</v>
      </c>
      <c r="D399" s="58" t="s">
        <v>589</v>
      </c>
      <c r="E399" s="58" t="s">
        <v>591</v>
      </c>
      <c r="F399" s="45"/>
      <c r="G399" s="45"/>
      <c r="H399" s="45"/>
      <c r="I399" s="45"/>
      <c r="J399" s="46">
        <f>IF(VLOOKUP($C399,REV!$C:$AA,8,0)-'TRADE IN'!$F399=0,"",(VLOOKUP($C399,REV!$C:$AA,8,0)-'TRADE IN'!$F399))</f>
        <v>1499</v>
      </c>
      <c r="K399" s="46">
        <f>IF(VLOOKUP($C399,REV!$C:$AA,9,0)-'TRADE IN'!$F399=0,"",(VLOOKUP($C399,REV!$C:$AA,9,0)-'TRADE IN'!$F399))</f>
        <v>1499</v>
      </c>
      <c r="L399" s="46">
        <f>IF(VLOOKUP($C399,REV!$C:$AA,10,0)-'TRADE IN'!$F399=0,"",(VLOOKUP($C399,REV!$C:$AA,10,0)-'TRADE IN'!$F399))</f>
        <v>1499</v>
      </c>
      <c r="M399" s="46">
        <f>IF(VLOOKUP($C399,REV!$C:$AA,11,0)-'TRADE IN'!$F399=0,"",(VLOOKUP($C399,REV!$C:$AA,11,0)-'TRADE IN'!$F399))</f>
        <v>1499</v>
      </c>
      <c r="N399" s="46">
        <f>IF(VLOOKUP($C399,REV!$C:$AA,12,0)-'TRADE IN'!$F399=0,"",(VLOOKUP($C399,REV!$C:$AA,12,0)-'TRADE IN'!$F399))</f>
        <v>1499</v>
      </c>
      <c r="O399" s="46">
        <f>IF(VLOOKUP($C399,REV!$C:$AA,13,0)-'TRADE IN'!$F399=0,"",(VLOOKUP($C399,REV!$C:$AA,13,0)-'TRADE IN'!$F399))</f>
        <v>1499</v>
      </c>
      <c r="P399" s="46">
        <f>IF(VLOOKUP($C399,REV!$C:$AA,14,0)-'TRADE IN'!$F399=0,"",(VLOOKUP($C399,REV!$C:$AA,14,0)-'TRADE IN'!$F399))</f>
        <v>1499</v>
      </c>
      <c r="Q399" s="46">
        <f>IF(VLOOKUP($C399,REV!$C:$AA,15,0)-'TRADE IN'!$F399=0,"",(VLOOKUP($C399,REV!$C:$AA,15,0)-'TRADE IN'!$F399))</f>
        <v>1499</v>
      </c>
      <c r="R399" s="46">
        <f>IF(VLOOKUP($C399,REV!$C:$AA,16,0)-'TRADE IN'!$F399=0,"",(VLOOKUP($C399,REV!$C:$AA,16,0)-'TRADE IN'!$F399))</f>
        <v>1499</v>
      </c>
      <c r="S399" s="46">
        <f>IF(VLOOKUP($C399,REV!$C:$AA,17,0)-'TRADE IN'!$F399=0,"",(VLOOKUP($C399,REV!$C:$AA,17,0)-'TRADE IN'!$F399))</f>
        <v>1499</v>
      </c>
      <c r="T399" s="46">
        <f>IF(VLOOKUP($C399,REV!$C:$AA,18,0)-'TRADE IN'!$F399=0,"",(VLOOKUP($C399,REV!$C:$AA,18,0)-'TRADE IN'!$F399))</f>
        <v>1499</v>
      </c>
      <c r="U399" s="46">
        <f>IF(VLOOKUP($C399,REV!$C:$AA,19,0)-'TRADE IN'!$F399=0,"",(VLOOKUP($C399,REV!$C:$AA,19,0)-'TRADE IN'!$F399))</f>
        <v>1499</v>
      </c>
      <c r="V399" s="46">
        <f>IF(VLOOKUP($C399,REV!$C:$AA,20,0)-'TRADE IN'!$F399=0,"",(VLOOKUP($C399,REV!$C:$AA,20,0)-'TRADE IN'!$F399))</f>
        <v>1499</v>
      </c>
      <c r="W399" s="46">
        <f>IF(VLOOKUP($C399,REV!$C:$AA,21,0)-'TRADE IN'!$F399=0,"",(VLOOKUP($C399,REV!$C:$AA,21,0)-'TRADE IN'!$F399))</f>
        <v>1499</v>
      </c>
      <c r="X399" s="46">
        <f>IF(VLOOKUP($C399,REV!$C:$AA,22,0)-'TRADE IN'!$F399=0,"",(VLOOKUP($C399,REV!$C:$AA,22,0)-'TRADE IN'!$F399))</f>
        <v>1499</v>
      </c>
      <c r="Y399" s="46">
        <f>IF(VLOOKUP($C399,REV!$C:$AA,23,0)-'TRADE IN'!$F399=0,"",(VLOOKUP($C399,REV!$C:$AA,23,0)-'TRADE IN'!$F399))</f>
        <v>1499</v>
      </c>
      <c r="Z399" s="46">
        <f>IF(VLOOKUP($C399,REV!$C:$AA,24,0)-'TRADE IN'!$F399=0,"",(VLOOKUP($C399,REV!$C:$AA,24,0)-'TRADE IN'!$F399))</f>
        <v>1499</v>
      </c>
      <c r="AA399" s="46">
        <f>IF(VLOOKUP($C399,REV!$C:$AA,25,0)-'TRADE IN'!$F399=0,"",(VLOOKUP($C399,REV!$C:$AA,25,0)-'TRADE IN'!$F399))</f>
        <v>1499</v>
      </c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7"/>
      <c r="AW399" s="48" t="str">
        <f>REV!AW399</f>
        <v>01.12.2026</v>
      </c>
      <c r="AX399" s="153" t="str">
        <f>VLOOKUP(C399,REV!C:AX,48,0)</f>
        <v>5G</v>
      </c>
    </row>
    <row r="400" spans="1:50" ht="22.5" customHeight="1">
      <c r="A400" s="41" t="s">
        <v>63</v>
      </c>
      <c r="B400" s="42" t="s">
        <v>64</v>
      </c>
      <c r="C400" s="43">
        <v>4015888</v>
      </c>
      <c r="D400" s="58" t="s">
        <v>589</v>
      </c>
      <c r="E400" s="58" t="s">
        <v>592</v>
      </c>
      <c r="F400" s="45"/>
      <c r="G400" s="45"/>
      <c r="H400" s="45"/>
      <c r="I400" s="45"/>
      <c r="J400" s="46">
        <f>IF(VLOOKUP($C400,REV!$C:$AA,8,0)-'TRADE IN'!$F400=0,"",(VLOOKUP($C400,REV!$C:$AA,8,0)-'TRADE IN'!$F400))</f>
        <v>1499</v>
      </c>
      <c r="K400" s="46">
        <f>IF(VLOOKUP($C400,REV!$C:$AA,9,0)-'TRADE IN'!$F400=0,"",(VLOOKUP($C400,REV!$C:$AA,9,0)-'TRADE IN'!$F400))</f>
        <v>1499</v>
      </c>
      <c r="L400" s="46">
        <f>IF(VLOOKUP($C400,REV!$C:$AA,10,0)-'TRADE IN'!$F400=0,"",(VLOOKUP($C400,REV!$C:$AA,10,0)-'TRADE IN'!$F400))</f>
        <v>1499</v>
      </c>
      <c r="M400" s="46">
        <f>IF(VLOOKUP($C400,REV!$C:$AA,11,0)-'TRADE IN'!$F400=0,"",(VLOOKUP($C400,REV!$C:$AA,11,0)-'TRADE IN'!$F400))</f>
        <v>1499</v>
      </c>
      <c r="N400" s="46">
        <f>IF(VLOOKUP($C400,REV!$C:$AA,12,0)-'TRADE IN'!$F400=0,"",(VLOOKUP($C400,REV!$C:$AA,12,0)-'TRADE IN'!$F400))</f>
        <v>1499</v>
      </c>
      <c r="O400" s="46">
        <f>IF(VLOOKUP($C400,REV!$C:$AA,13,0)-'TRADE IN'!$F400=0,"",(VLOOKUP($C400,REV!$C:$AA,13,0)-'TRADE IN'!$F400))</f>
        <v>1499</v>
      </c>
      <c r="P400" s="46">
        <f>IF(VLOOKUP($C400,REV!$C:$AA,14,0)-'TRADE IN'!$F400=0,"",(VLOOKUP($C400,REV!$C:$AA,14,0)-'TRADE IN'!$F400))</f>
        <v>1499</v>
      </c>
      <c r="Q400" s="46">
        <f>IF(VLOOKUP($C400,REV!$C:$AA,15,0)-'TRADE IN'!$F400=0,"",(VLOOKUP($C400,REV!$C:$AA,15,0)-'TRADE IN'!$F400))</f>
        <v>1499</v>
      </c>
      <c r="R400" s="46">
        <f>IF(VLOOKUP($C400,REV!$C:$AA,16,0)-'TRADE IN'!$F400=0,"",(VLOOKUP($C400,REV!$C:$AA,16,0)-'TRADE IN'!$F400))</f>
        <v>1499</v>
      </c>
      <c r="S400" s="46">
        <f>IF(VLOOKUP($C400,REV!$C:$AA,17,0)-'TRADE IN'!$F400=0,"",(VLOOKUP($C400,REV!$C:$AA,17,0)-'TRADE IN'!$F400))</f>
        <v>1499</v>
      </c>
      <c r="T400" s="46">
        <f>IF(VLOOKUP($C400,REV!$C:$AA,18,0)-'TRADE IN'!$F400=0,"",(VLOOKUP($C400,REV!$C:$AA,18,0)-'TRADE IN'!$F400))</f>
        <v>1499</v>
      </c>
      <c r="U400" s="46">
        <f>IF(VLOOKUP($C400,REV!$C:$AA,19,0)-'TRADE IN'!$F400=0,"",(VLOOKUP($C400,REV!$C:$AA,19,0)-'TRADE IN'!$F400))</f>
        <v>1499</v>
      </c>
      <c r="V400" s="46">
        <f>IF(VLOOKUP($C400,REV!$C:$AA,20,0)-'TRADE IN'!$F400=0,"",(VLOOKUP($C400,REV!$C:$AA,20,0)-'TRADE IN'!$F400))</f>
        <v>1499</v>
      </c>
      <c r="W400" s="46">
        <f>IF(VLOOKUP($C400,REV!$C:$AA,21,0)-'TRADE IN'!$F400=0,"",(VLOOKUP($C400,REV!$C:$AA,21,0)-'TRADE IN'!$F400))</f>
        <v>1499</v>
      </c>
      <c r="X400" s="46">
        <f>IF(VLOOKUP($C400,REV!$C:$AA,22,0)-'TRADE IN'!$F400=0,"",(VLOOKUP($C400,REV!$C:$AA,22,0)-'TRADE IN'!$F400))</f>
        <v>1499</v>
      </c>
      <c r="Y400" s="46">
        <f>IF(VLOOKUP($C400,REV!$C:$AA,23,0)-'TRADE IN'!$F400=0,"",(VLOOKUP($C400,REV!$C:$AA,23,0)-'TRADE IN'!$F400))</f>
        <v>1499</v>
      </c>
      <c r="Z400" s="46">
        <f>IF(VLOOKUP($C400,REV!$C:$AA,24,0)-'TRADE IN'!$F400=0,"",(VLOOKUP($C400,REV!$C:$AA,24,0)-'TRADE IN'!$F400))</f>
        <v>1499</v>
      </c>
      <c r="AA400" s="46">
        <f>IF(VLOOKUP($C400,REV!$C:$AA,25,0)-'TRADE IN'!$F400=0,"",(VLOOKUP($C400,REV!$C:$AA,25,0)-'TRADE IN'!$F400))</f>
        <v>1499</v>
      </c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7"/>
      <c r="AW400" s="48" t="str">
        <f>REV!AW400</f>
        <v>01.12.2026</v>
      </c>
      <c r="AX400" s="153" t="str">
        <f>VLOOKUP(C400,REV!C:AX,48,0)</f>
        <v>5G</v>
      </c>
    </row>
    <row r="401" spans="1:50" ht="22.5" customHeight="1">
      <c r="A401" s="41" t="s">
        <v>63</v>
      </c>
      <c r="B401" s="42" t="s">
        <v>64</v>
      </c>
      <c r="C401" s="43">
        <v>4016044</v>
      </c>
      <c r="D401" s="58" t="s">
        <v>589</v>
      </c>
      <c r="E401" s="58" t="s">
        <v>593</v>
      </c>
      <c r="F401" s="45"/>
      <c r="G401" s="45"/>
      <c r="H401" s="45"/>
      <c r="I401" s="45"/>
      <c r="J401" s="46">
        <f>IF(VLOOKUP($C401,REV!$C:$AA,8,0)-'TRADE IN'!$F401=0,"",(VLOOKUP($C401,REV!$C:$AA,8,0)-'TRADE IN'!$F401))</f>
        <v>1499</v>
      </c>
      <c r="K401" s="46">
        <f>IF(VLOOKUP($C401,REV!$C:$AA,9,0)-'TRADE IN'!$F401=0,"",(VLOOKUP($C401,REV!$C:$AA,9,0)-'TRADE IN'!$F401))</f>
        <v>1499</v>
      </c>
      <c r="L401" s="46">
        <f>IF(VLOOKUP($C401,REV!$C:$AA,10,0)-'TRADE IN'!$F401=0,"",(VLOOKUP($C401,REV!$C:$AA,10,0)-'TRADE IN'!$F401))</f>
        <v>1499</v>
      </c>
      <c r="M401" s="46">
        <f>IF(VLOOKUP($C401,REV!$C:$AA,11,0)-'TRADE IN'!$F401=0,"",(VLOOKUP($C401,REV!$C:$AA,11,0)-'TRADE IN'!$F401))</f>
        <v>1499</v>
      </c>
      <c r="N401" s="46">
        <f>IF(VLOOKUP($C401,REV!$C:$AA,12,0)-'TRADE IN'!$F401=0,"",(VLOOKUP($C401,REV!$C:$AA,12,0)-'TRADE IN'!$F401))</f>
        <v>1499</v>
      </c>
      <c r="O401" s="46">
        <f>IF(VLOOKUP($C401,REV!$C:$AA,13,0)-'TRADE IN'!$F401=0,"",(VLOOKUP($C401,REV!$C:$AA,13,0)-'TRADE IN'!$F401))</f>
        <v>1499</v>
      </c>
      <c r="P401" s="46">
        <f>IF(VLOOKUP($C401,REV!$C:$AA,14,0)-'TRADE IN'!$F401=0,"",(VLOOKUP($C401,REV!$C:$AA,14,0)-'TRADE IN'!$F401))</f>
        <v>1499</v>
      </c>
      <c r="Q401" s="46">
        <f>IF(VLOOKUP($C401,REV!$C:$AA,15,0)-'TRADE IN'!$F401=0,"",(VLOOKUP($C401,REV!$C:$AA,15,0)-'TRADE IN'!$F401))</f>
        <v>1499</v>
      </c>
      <c r="R401" s="46">
        <f>IF(VLOOKUP($C401,REV!$C:$AA,16,0)-'TRADE IN'!$F401=0,"",(VLOOKUP($C401,REV!$C:$AA,16,0)-'TRADE IN'!$F401))</f>
        <v>1499</v>
      </c>
      <c r="S401" s="46">
        <f>IF(VLOOKUP($C401,REV!$C:$AA,17,0)-'TRADE IN'!$F401=0,"",(VLOOKUP($C401,REV!$C:$AA,17,0)-'TRADE IN'!$F401))</f>
        <v>1499</v>
      </c>
      <c r="T401" s="46">
        <f>IF(VLOOKUP($C401,REV!$C:$AA,18,0)-'TRADE IN'!$F401=0,"",(VLOOKUP($C401,REV!$C:$AA,18,0)-'TRADE IN'!$F401))</f>
        <v>1499</v>
      </c>
      <c r="U401" s="46">
        <f>IF(VLOOKUP($C401,REV!$C:$AA,19,0)-'TRADE IN'!$F401=0,"",(VLOOKUP($C401,REV!$C:$AA,19,0)-'TRADE IN'!$F401))</f>
        <v>1499</v>
      </c>
      <c r="V401" s="46">
        <f>IF(VLOOKUP($C401,REV!$C:$AA,20,0)-'TRADE IN'!$F401=0,"",(VLOOKUP($C401,REV!$C:$AA,20,0)-'TRADE IN'!$F401))</f>
        <v>1499</v>
      </c>
      <c r="W401" s="46">
        <f>IF(VLOOKUP($C401,REV!$C:$AA,21,0)-'TRADE IN'!$F401=0,"",(VLOOKUP($C401,REV!$C:$AA,21,0)-'TRADE IN'!$F401))</f>
        <v>1499</v>
      </c>
      <c r="X401" s="46">
        <f>IF(VLOOKUP($C401,REV!$C:$AA,22,0)-'TRADE IN'!$F401=0,"",(VLOOKUP($C401,REV!$C:$AA,22,0)-'TRADE IN'!$F401))</f>
        <v>1499</v>
      </c>
      <c r="Y401" s="46">
        <f>IF(VLOOKUP($C401,REV!$C:$AA,23,0)-'TRADE IN'!$F401=0,"",(VLOOKUP($C401,REV!$C:$AA,23,0)-'TRADE IN'!$F401))</f>
        <v>1499</v>
      </c>
      <c r="Z401" s="46">
        <f>IF(VLOOKUP($C401,REV!$C:$AA,24,0)-'TRADE IN'!$F401=0,"",(VLOOKUP($C401,REV!$C:$AA,24,0)-'TRADE IN'!$F401))</f>
        <v>1499</v>
      </c>
      <c r="AA401" s="46">
        <f>IF(VLOOKUP($C401,REV!$C:$AA,25,0)-'TRADE IN'!$F401=0,"",(VLOOKUP($C401,REV!$C:$AA,25,0)-'TRADE IN'!$F401))</f>
        <v>1499</v>
      </c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7"/>
      <c r="AW401" s="48" t="str">
        <f>REV!AW401</f>
        <v>01.12.2026</v>
      </c>
      <c r="AX401" s="153" t="str">
        <f>VLOOKUP(C401,REV!C:AX,48,0)</f>
        <v>5G</v>
      </c>
    </row>
    <row r="402" spans="1:50" ht="22.5" customHeight="1">
      <c r="A402" s="41" t="s">
        <v>63</v>
      </c>
      <c r="B402" s="42" t="s">
        <v>64</v>
      </c>
      <c r="C402" s="43">
        <v>4016074</v>
      </c>
      <c r="D402" s="58" t="s">
        <v>589</v>
      </c>
      <c r="E402" s="58" t="s">
        <v>594</v>
      </c>
      <c r="F402" s="45"/>
      <c r="G402" s="45"/>
      <c r="H402" s="45"/>
      <c r="I402" s="45"/>
      <c r="J402" s="46">
        <f>IF(VLOOKUP($C402,REV!$C:$AA,8,0)-'TRADE IN'!$F402=0,"",(VLOOKUP($C402,REV!$C:$AA,8,0)-'TRADE IN'!$F402))</f>
        <v>1499</v>
      </c>
      <c r="K402" s="46">
        <f>IF(VLOOKUP($C402,REV!$C:$AA,9,0)-'TRADE IN'!$F402=0,"",(VLOOKUP($C402,REV!$C:$AA,9,0)-'TRADE IN'!$F402))</f>
        <v>1499</v>
      </c>
      <c r="L402" s="46">
        <f>IF(VLOOKUP($C402,REV!$C:$AA,10,0)-'TRADE IN'!$F402=0,"",(VLOOKUP($C402,REV!$C:$AA,10,0)-'TRADE IN'!$F402))</f>
        <v>1499</v>
      </c>
      <c r="M402" s="46">
        <f>IF(VLOOKUP($C402,REV!$C:$AA,11,0)-'TRADE IN'!$F402=0,"",(VLOOKUP($C402,REV!$C:$AA,11,0)-'TRADE IN'!$F402))</f>
        <v>1499</v>
      </c>
      <c r="N402" s="46">
        <f>IF(VLOOKUP($C402,REV!$C:$AA,12,0)-'TRADE IN'!$F402=0,"",(VLOOKUP($C402,REV!$C:$AA,12,0)-'TRADE IN'!$F402))</f>
        <v>1499</v>
      </c>
      <c r="O402" s="46">
        <f>IF(VLOOKUP($C402,REV!$C:$AA,13,0)-'TRADE IN'!$F402=0,"",(VLOOKUP($C402,REV!$C:$AA,13,0)-'TRADE IN'!$F402))</f>
        <v>1499</v>
      </c>
      <c r="P402" s="46">
        <f>IF(VLOOKUP($C402,REV!$C:$AA,14,0)-'TRADE IN'!$F402=0,"",(VLOOKUP($C402,REV!$C:$AA,14,0)-'TRADE IN'!$F402))</f>
        <v>1499</v>
      </c>
      <c r="Q402" s="46">
        <f>IF(VLOOKUP($C402,REV!$C:$AA,15,0)-'TRADE IN'!$F402=0,"",(VLOOKUP($C402,REV!$C:$AA,15,0)-'TRADE IN'!$F402))</f>
        <v>1499</v>
      </c>
      <c r="R402" s="46">
        <f>IF(VLOOKUP($C402,REV!$C:$AA,16,0)-'TRADE IN'!$F402=0,"",(VLOOKUP($C402,REV!$C:$AA,16,0)-'TRADE IN'!$F402))</f>
        <v>1499</v>
      </c>
      <c r="S402" s="46">
        <f>IF(VLOOKUP($C402,REV!$C:$AA,17,0)-'TRADE IN'!$F402=0,"",(VLOOKUP($C402,REV!$C:$AA,17,0)-'TRADE IN'!$F402))</f>
        <v>1499</v>
      </c>
      <c r="T402" s="46">
        <f>IF(VLOOKUP($C402,REV!$C:$AA,18,0)-'TRADE IN'!$F402=0,"",(VLOOKUP($C402,REV!$C:$AA,18,0)-'TRADE IN'!$F402))</f>
        <v>1499</v>
      </c>
      <c r="U402" s="46">
        <f>IF(VLOOKUP($C402,REV!$C:$AA,19,0)-'TRADE IN'!$F402=0,"",(VLOOKUP($C402,REV!$C:$AA,19,0)-'TRADE IN'!$F402))</f>
        <v>1499</v>
      </c>
      <c r="V402" s="46">
        <f>IF(VLOOKUP($C402,REV!$C:$AA,20,0)-'TRADE IN'!$F402=0,"",(VLOOKUP($C402,REV!$C:$AA,20,0)-'TRADE IN'!$F402))</f>
        <v>1499</v>
      </c>
      <c r="W402" s="46">
        <f>IF(VLOOKUP($C402,REV!$C:$AA,21,0)-'TRADE IN'!$F402=0,"",(VLOOKUP($C402,REV!$C:$AA,21,0)-'TRADE IN'!$F402))</f>
        <v>1499</v>
      </c>
      <c r="X402" s="46">
        <f>IF(VLOOKUP($C402,REV!$C:$AA,22,0)-'TRADE IN'!$F402=0,"",(VLOOKUP($C402,REV!$C:$AA,22,0)-'TRADE IN'!$F402))</f>
        <v>1499</v>
      </c>
      <c r="Y402" s="46">
        <f>IF(VLOOKUP($C402,REV!$C:$AA,23,0)-'TRADE IN'!$F402=0,"",(VLOOKUP($C402,REV!$C:$AA,23,0)-'TRADE IN'!$F402))</f>
        <v>1499</v>
      </c>
      <c r="Z402" s="46">
        <f>IF(VLOOKUP($C402,REV!$C:$AA,24,0)-'TRADE IN'!$F402=0,"",(VLOOKUP($C402,REV!$C:$AA,24,0)-'TRADE IN'!$F402))</f>
        <v>1499</v>
      </c>
      <c r="AA402" s="46">
        <f>IF(VLOOKUP($C402,REV!$C:$AA,25,0)-'TRADE IN'!$F402=0,"",(VLOOKUP($C402,REV!$C:$AA,25,0)-'TRADE IN'!$F402))</f>
        <v>1499</v>
      </c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7"/>
      <c r="AW402" s="48" t="str">
        <f>REV!AW402</f>
        <v>01.12.2026</v>
      </c>
      <c r="AX402" s="153" t="str">
        <f>VLOOKUP(C402,REV!C:AX,48,0)</f>
        <v>5G</v>
      </c>
    </row>
    <row r="403" spans="1:50" ht="22.5" customHeight="1">
      <c r="A403" s="41" t="s">
        <v>63</v>
      </c>
      <c r="B403" s="42" t="s">
        <v>64</v>
      </c>
      <c r="C403" s="43">
        <v>4016032</v>
      </c>
      <c r="D403" s="58" t="s">
        <v>595</v>
      </c>
      <c r="E403" s="58" t="s">
        <v>596</v>
      </c>
      <c r="F403" s="45"/>
      <c r="G403" s="45"/>
      <c r="H403" s="45"/>
      <c r="I403" s="45"/>
      <c r="J403" s="46">
        <f>IF(VLOOKUP($C403,REV!$C:$AA,8,0)-'TRADE IN'!$F403=0,"",(VLOOKUP($C403,REV!$C:$AA,8,0)-'TRADE IN'!$F403))</f>
        <v>1999</v>
      </c>
      <c r="K403" s="46">
        <f>IF(VLOOKUP($C403,REV!$C:$AA,9,0)-'TRADE IN'!$F403=0,"",(VLOOKUP($C403,REV!$C:$AA,9,0)-'TRADE IN'!$F403))</f>
        <v>1999</v>
      </c>
      <c r="L403" s="46">
        <f>IF(VLOOKUP($C403,REV!$C:$AA,10,0)-'TRADE IN'!$F403=0,"",(VLOOKUP($C403,REV!$C:$AA,10,0)-'TRADE IN'!$F403))</f>
        <v>1999</v>
      </c>
      <c r="M403" s="46">
        <f>IF(VLOOKUP($C403,REV!$C:$AA,11,0)-'TRADE IN'!$F403=0,"",(VLOOKUP($C403,REV!$C:$AA,11,0)-'TRADE IN'!$F403))</f>
        <v>1999</v>
      </c>
      <c r="N403" s="46">
        <f>IF(VLOOKUP($C403,REV!$C:$AA,12,0)-'TRADE IN'!$F403=0,"",(VLOOKUP($C403,REV!$C:$AA,12,0)-'TRADE IN'!$F403))</f>
        <v>1999</v>
      </c>
      <c r="O403" s="46">
        <f>IF(VLOOKUP($C403,REV!$C:$AA,13,0)-'TRADE IN'!$F403=0,"",(VLOOKUP($C403,REV!$C:$AA,13,0)-'TRADE IN'!$F403))</f>
        <v>1999</v>
      </c>
      <c r="P403" s="46">
        <f>IF(VLOOKUP($C403,REV!$C:$AA,14,0)-'TRADE IN'!$F403=0,"",(VLOOKUP($C403,REV!$C:$AA,14,0)-'TRADE IN'!$F403))</f>
        <v>1999</v>
      </c>
      <c r="Q403" s="46">
        <f>IF(VLOOKUP($C403,REV!$C:$AA,15,0)-'TRADE IN'!$F403=0,"",(VLOOKUP($C403,REV!$C:$AA,15,0)-'TRADE IN'!$F403))</f>
        <v>1999</v>
      </c>
      <c r="R403" s="46">
        <f>IF(VLOOKUP($C403,REV!$C:$AA,16,0)-'TRADE IN'!$F403=0,"",(VLOOKUP($C403,REV!$C:$AA,16,0)-'TRADE IN'!$F403))</f>
        <v>1999</v>
      </c>
      <c r="S403" s="46">
        <f>IF(VLOOKUP($C403,REV!$C:$AA,17,0)-'TRADE IN'!$F403=0,"",(VLOOKUP($C403,REV!$C:$AA,17,0)-'TRADE IN'!$F403))</f>
        <v>1999</v>
      </c>
      <c r="T403" s="46">
        <f>IF(VLOOKUP($C403,REV!$C:$AA,18,0)-'TRADE IN'!$F403=0,"",(VLOOKUP($C403,REV!$C:$AA,18,0)-'TRADE IN'!$F403))</f>
        <v>1999</v>
      </c>
      <c r="U403" s="46">
        <f>IF(VLOOKUP($C403,REV!$C:$AA,19,0)-'TRADE IN'!$F403=0,"",(VLOOKUP($C403,REV!$C:$AA,19,0)-'TRADE IN'!$F403))</f>
        <v>1999</v>
      </c>
      <c r="V403" s="46">
        <f>IF(VLOOKUP($C403,REV!$C:$AA,20,0)-'TRADE IN'!$F403=0,"",(VLOOKUP($C403,REV!$C:$AA,20,0)-'TRADE IN'!$F403))</f>
        <v>1999</v>
      </c>
      <c r="W403" s="46">
        <f>IF(VLOOKUP($C403,REV!$C:$AA,21,0)-'TRADE IN'!$F403=0,"",(VLOOKUP($C403,REV!$C:$AA,21,0)-'TRADE IN'!$F403))</f>
        <v>1999</v>
      </c>
      <c r="X403" s="46">
        <f>IF(VLOOKUP($C403,REV!$C:$AA,22,0)-'TRADE IN'!$F403=0,"",(VLOOKUP($C403,REV!$C:$AA,22,0)-'TRADE IN'!$F403))</f>
        <v>1999</v>
      </c>
      <c r="Y403" s="46">
        <f>IF(VLOOKUP($C403,REV!$C:$AA,23,0)-'TRADE IN'!$F403=0,"",(VLOOKUP($C403,REV!$C:$AA,23,0)-'TRADE IN'!$F403))</f>
        <v>1999</v>
      </c>
      <c r="Z403" s="46">
        <f>IF(VLOOKUP($C403,REV!$C:$AA,24,0)-'TRADE IN'!$F403=0,"",(VLOOKUP($C403,REV!$C:$AA,24,0)-'TRADE IN'!$F403))</f>
        <v>1999</v>
      </c>
      <c r="AA403" s="46">
        <f>IF(VLOOKUP($C403,REV!$C:$AA,25,0)-'TRADE IN'!$F403=0,"",(VLOOKUP($C403,REV!$C:$AA,25,0)-'TRADE IN'!$F403))</f>
        <v>1999</v>
      </c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7"/>
      <c r="AW403" s="48" t="str">
        <f>REV!AW403</f>
        <v>01.12.2026</v>
      </c>
      <c r="AX403" s="153" t="str">
        <f>VLOOKUP(C403,REV!C:AX,48,0)</f>
        <v>5G</v>
      </c>
    </row>
    <row r="404" spans="1:50" ht="22.5" customHeight="1">
      <c r="A404" s="41" t="s">
        <v>63</v>
      </c>
      <c r="B404" s="42" t="s">
        <v>64</v>
      </c>
      <c r="C404" s="43">
        <v>4016065</v>
      </c>
      <c r="D404" s="58" t="s">
        <v>595</v>
      </c>
      <c r="E404" s="58" t="s">
        <v>597</v>
      </c>
      <c r="F404" s="45"/>
      <c r="G404" s="45"/>
      <c r="H404" s="45"/>
      <c r="I404" s="45"/>
      <c r="J404" s="46">
        <f>IF(VLOOKUP($C404,REV!$C:$AA,8,0)-'TRADE IN'!$F404=0,"",(VLOOKUP($C404,REV!$C:$AA,8,0)-'TRADE IN'!$F404))</f>
        <v>1999</v>
      </c>
      <c r="K404" s="46">
        <f>IF(VLOOKUP($C404,REV!$C:$AA,9,0)-'TRADE IN'!$F404=0,"",(VLOOKUP($C404,REV!$C:$AA,9,0)-'TRADE IN'!$F404))</f>
        <v>1999</v>
      </c>
      <c r="L404" s="46">
        <f>IF(VLOOKUP($C404,REV!$C:$AA,10,0)-'TRADE IN'!$F404=0,"",(VLOOKUP($C404,REV!$C:$AA,10,0)-'TRADE IN'!$F404))</f>
        <v>1999</v>
      </c>
      <c r="M404" s="46">
        <f>IF(VLOOKUP($C404,REV!$C:$AA,11,0)-'TRADE IN'!$F404=0,"",(VLOOKUP($C404,REV!$C:$AA,11,0)-'TRADE IN'!$F404))</f>
        <v>1999</v>
      </c>
      <c r="N404" s="46">
        <f>IF(VLOOKUP($C404,REV!$C:$AA,12,0)-'TRADE IN'!$F404=0,"",(VLOOKUP($C404,REV!$C:$AA,12,0)-'TRADE IN'!$F404))</f>
        <v>1999</v>
      </c>
      <c r="O404" s="46">
        <f>IF(VLOOKUP($C404,REV!$C:$AA,13,0)-'TRADE IN'!$F404=0,"",(VLOOKUP($C404,REV!$C:$AA,13,0)-'TRADE IN'!$F404))</f>
        <v>1999</v>
      </c>
      <c r="P404" s="46">
        <f>IF(VLOOKUP($C404,REV!$C:$AA,14,0)-'TRADE IN'!$F404=0,"",(VLOOKUP($C404,REV!$C:$AA,14,0)-'TRADE IN'!$F404))</f>
        <v>1999</v>
      </c>
      <c r="Q404" s="46">
        <f>IF(VLOOKUP($C404,REV!$C:$AA,15,0)-'TRADE IN'!$F404=0,"",(VLOOKUP($C404,REV!$C:$AA,15,0)-'TRADE IN'!$F404))</f>
        <v>1999</v>
      </c>
      <c r="R404" s="46">
        <f>IF(VLOOKUP($C404,REV!$C:$AA,16,0)-'TRADE IN'!$F404=0,"",(VLOOKUP($C404,REV!$C:$AA,16,0)-'TRADE IN'!$F404))</f>
        <v>1999</v>
      </c>
      <c r="S404" s="46">
        <f>IF(VLOOKUP($C404,REV!$C:$AA,17,0)-'TRADE IN'!$F404=0,"",(VLOOKUP($C404,REV!$C:$AA,17,0)-'TRADE IN'!$F404))</f>
        <v>1999</v>
      </c>
      <c r="T404" s="46">
        <f>IF(VLOOKUP($C404,REV!$C:$AA,18,0)-'TRADE IN'!$F404=0,"",(VLOOKUP($C404,REV!$C:$AA,18,0)-'TRADE IN'!$F404))</f>
        <v>1999</v>
      </c>
      <c r="U404" s="46">
        <f>IF(VLOOKUP($C404,REV!$C:$AA,19,0)-'TRADE IN'!$F404=0,"",(VLOOKUP($C404,REV!$C:$AA,19,0)-'TRADE IN'!$F404))</f>
        <v>1999</v>
      </c>
      <c r="V404" s="46">
        <f>IF(VLOOKUP($C404,REV!$C:$AA,20,0)-'TRADE IN'!$F404=0,"",(VLOOKUP($C404,REV!$C:$AA,20,0)-'TRADE IN'!$F404))</f>
        <v>1999</v>
      </c>
      <c r="W404" s="46">
        <f>IF(VLOOKUP($C404,REV!$C:$AA,21,0)-'TRADE IN'!$F404=0,"",(VLOOKUP($C404,REV!$C:$AA,21,0)-'TRADE IN'!$F404))</f>
        <v>1999</v>
      </c>
      <c r="X404" s="46">
        <f>IF(VLOOKUP($C404,REV!$C:$AA,22,0)-'TRADE IN'!$F404=0,"",(VLOOKUP($C404,REV!$C:$AA,22,0)-'TRADE IN'!$F404))</f>
        <v>1999</v>
      </c>
      <c r="Y404" s="46">
        <f>IF(VLOOKUP($C404,REV!$C:$AA,23,0)-'TRADE IN'!$F404=0,"",(VLOOKUP($C404,REV!$C:$AA,23,0)-'TRADE IN'!$F404))</f>
        <v>1999</v>
      </c>
      <c r="Z404" s="46">
        <f>IF(VLOOKUP($C404,REV!$C:$AA,24,0)-'TRADE IN'!$F404=0,"",(VLOOKUP($C404,REV!$C:$AA,24,0)-'TRADE IN'!$F404))</f>
        <v>1999</v>
      </c>
      <c r="AA404" s="46">
        <f>IF(VLOOKUP($C404,REV!$C:$AA,25,0)-'TRADE IN'!$F404=0,"",(VLOOKUP($C404,REV!$C:$AA,25,0)-'TRADE IN'!$F404))</f>
        <v>1999</v>
      </c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7"/>
      <c r="AW404" s="48" t="str">
        <f>REV!AW404</f>
        <v>01.12.2026</v>
      </c>
      <c r="AX404" s="153" t="str">
        <f>VLOOKUP(C404,REV!C:AX,48,0)</f>
        <v>5G</v>
      </c>
    </row>
    <row r="405" spans="1:50" ht="22.5" customHeight="1">
      <c r="A405" s="41" t="s">
        <v>63</v>
      </c>
      <c r="B405" s="42" t="s">
        <v>64</v>
      </c>
      <c r="C405" s="43">
        <v>4016041</v>
      </c>
      <c r="D405" s="58" t="s">
        <v>595</v>
      </c>
      <c r="E405" s="58" t="s">
        <v>598</v>
      </c>
      <c r="F405" s="45"/>
      <c r="G405" s="45"/>
      <c r="H405" s="45"/>
      <c r="I405" s="45"/>
      <c r="J405" s="46">
        <f>IF(VLOOKUP($C405,REV!$C:$AA,8,0)-'TRADE IN'!$F405=0,"",(VLOOKUP($C405,REV!$C:$AA,8,0)-'TRADE IN'!$F405))</f>
        <v>1999</v>
      </c>
      <c r="K405" s="46">
        <f>IF(VLOOKUP($C405,REV!$C:$AA,9,0)-'TRADE IN'!$F405=0,"",(VLOOKUP($C405,REV!$C:$AA,9,0)-'TRADE IN'!$F405))</f>
        <v>1999</v>
      </c>
      <c r="L405" s="46">
        <f>IF(VLOOKUP($C405,REV!$C:$AA,10,0)-'TRADE IN'!$F405=0,"",(VLOOKUP($C405,REV!$C:$AA,10,0)-'TRADE IN'!$F405))</f>
        <v>1999</v>
      </c>
      <c r="M405" s="46">
        <f>IF(VLOOKUP($C405,REV!$C:$AA,11,0)-'TRADE IN'!$F405=0,"",(VLOOKUP($C405,REV!$C:$AA,11,0)-'TRADE IN'!$F405))</f>
        <v>1999</v>
      </c>
      <c r="N405" s="46">
        <f>IF(VLOOKUP($C405,REV!$C:$AA,12,0)-'TRADE IN'!$F405=0,"",(VLOOKUP($C405,REV!$C:$AA,12,0)-'TRADE IN'!$F405))</f>
        <v>1999</v>
      </c>
      <c r="O405" s="46">
        <f>IF(VLOOKUP($C405,REV!$C:$AA,13,0)-'TRADE IN'!$F405=0,"",(VLOOKUP($C405,REV!$C:$AA,13,0)-'TRADE IN'!$F405))</f>
        <v>1999</v>
      </c>
      <c r="P405" s="46">
        <f>IF(VLOOKUP($C405,REV!$C:$AA,14,0)-'TRADE IN'!$F405=0,"",(VLOOKUP($C405,REV!$C:$AA,14,0)-'TRADE IN'!$F405))</f>
        <v>1999</v>
      </c>
      <c r="Q405" s="46">
        <f>IF(VLOOKUP($C405,REV!$C:$AA,15,0)-'TRADE IN'!$F405=0,"",(VLOOKUP($C405,REV!$C:$AA,15,0)-'TRADE IN'!$F405))</f>
        <v>1999</v>
      </c>
      <c r="R405" s="46">
        <f>IF(VLOOKUP($C405,REV!$C:$AA,16,0)-'TRADE IN'!$F405=0,"",(VLOOKUP($C405,REV!$C:$AA,16,0)-'TRADE IN'!$F405))</f>
        <v>1999</v>
      </c>
      <c r="S405" s="46">
        <f>IF(VLOOKUP($C405,REV!$C:$AA,17,0)-'TRADE IN'!$F405=0,"",(VLOOKUP($C405,REV!$C:$AA,17,0)-'TRADE IN'!$F405))</f>
        <v>1999</v>
      </c>
      <c r="T405" s="46">
        <f>IF(VLOOKUP($C405,REV!$C:$AA,18,0)-'TRADE IN'!$F405=0,"",(VLOOKUP($C405,REV!$C:$AA,18,0)-'TRADE IN'!$F405))</f>
        <v>1999</v>
      </c>
      <c r="U405" s="46">
        <f>IF(VLOOKUP($C405,REV!$C:$AA,19,0)-'TRADE IN'!$F405=0,"",(VLOOKUP($C405,REV!$C:$AA,19,0)-'TRADE IN'!$F405))</f>
        <v>1999</v>
      </c>
      <c r="V405" s="46">
        <f>IF(VLOOKUP($C405,REV!$C:$AA,20,0)-'TRADE IN'!$F405=0,"",(VLOOKUP($C405,REV!$C:$AA,20,0)-'TRADE IN'!$F405))</f>
        <v>1999</v>
      </c>
      <c r="W405" s="46">
        <f>IF(VLOOKUP($C405,REV!$C:$AA,21,0)-'TRADE IN'!$F405=0,"",(VLOOKUP($C405,REV!$C:$AA,21,0)-'TRADE IN'!$F405))</f>
        <v>1999</v>
      </c>
      <c r="X405" s="46">
        <f>IF(VLOOKUP($C405,REV!$C:$AA,22,0)-'TRADE IN'!$F405=0,"",(VLOOKUP($C405,REV!$C:$AA,22,0)-'TRADE IN'!$F405))</f>
        <v>1999</v>
      </c>
      <c r="Y405" s="46">
        <f>IF(VLOOKUP($C405,REV!$C:$AA,23,0)-'TRADE IN'!$F405=0,"",(VLOOKUP($C405,REV!$C:$AA,23,0)-'TRADE IN'!$F405))</f>
        <v>1999</v>
      </c>
      <c r="Z405" s="46">
        <f>IF(VLOOKUP($C405,REV!$C:$AA,24,0)-'TRADE IN'!$F405=0,"",(VLOOKUP($C405,REV!$C:$AA,24,0)-'TRADE IN'!$F405))</f>
        <v>1999</v>
      </c>
      <c r="AA405" s="46">
        <f>IF(VLOOKUP($C405,REV!$C:$AA,25,0)-'TRADE IN'!$F405=0,"",(VLOOKUP($C405,REV!$C:$AA,25,0)-'TRADE IN'!$F405))</f>
        <v>1999</v>
      </c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7"/>
      <c r="AW405" s="48" t="str">
        <f>REV!AW405</f>
        <v>01.12.2026</v>
      </c>
      <c r="AX405" s="153" t="str">
        <f>VLOOKUP(C405,REV!C:AX,48,0)</f>
        <v>5G</v>
      </c>
    </row>
    <row r="406" spans="1:50" ht="22.5" customHeight="1">
      <c r="A406" s="41" t="s">
        <v>63</v>
      </c>
      <c r="B406" s="42" t="s">
        <v>64</v>
      </c>
      <c r="C406" s="43">
        <v>4016073</v>
      </c>
      <c r="D406" s="58" t="s">
        <v>595</v>
      </c>
      <c r="E406" s="58" t="s">
        <v>599</v>
      </c>
      <c r="F406" s="45"/>
      <c r="G406" s="45"/>
      <c r="H406" s="45"/>
      <c r="I406" s="45"/>
      <c r="J406" s="46">
        <f>IF(VLOOKUP($C406,REV!$C:$AA,8,0)-'TRADE IN'!$F406=0,"",(VLOOKUP($C406,REV!$C:$AA,8,0)-'TRADE IN'!$F406))</f>
        <v>1999</v>
      </c>
      <c r="K406" s="46">
        <f>IF(VLOOKUP($C406,REV!$C:$AA,9,0)-'TRADE IN'!$F406=0,"",(VLOOKUP($C406,REV!$C:$AA,9,0)-'TRADE IN'!$F406))</f>
        <v>1999</v>
      </c>
      <c r="L406" s="46">
        <f>IF(VLOOKUP($C406,REV!$C:$AA,10,0)-'TRADE IN'!$F406=0,"",(VLOOKUP($C406,REV!$C:$AA,10,0)-'TRADE IN'!$F406))</f>
        <v>1999</v>
      </c>
      <c r="M406" s="46">
        <f>IF(VLOOKUP($C406,REV!$C:$AA,11,0)-'TRADE IN'!$F406=0,"",(VLOOKUP($C406,REV!$C:$AA,11,0)-'TRADE IN'!$F406))</f>
        <v>1999</v>
      </c>
      <c r="N406" s="46">
        <f>IF(VLOOKUP($C406,REV!$C:$AA,12,0)-'TRADE IN'!$F406=0,"",(VLOOKUP($C406,REV!$C:$AA,12,0)-'TRADE IN'!$F406))</f>
        <v>1999</v>
      </c>
      <c r="O406" s="46">
        <f>IF(VLOOKUP($C406,REV!$C:$AA,13,0)-'TRADE IN'!$F406=0,"",(VLOOKUP($C406,REV!$C:$AA,13,0)-'TRADE IN'!$F406))</f>
        <v>1999</v>
      </c>
      <c r="P406" s="46">
        <f>IF(VLOOKUP($C406,REV!$C:$AA,14,0)-'TRADE IN'!$F406=0,"",(VLOOKUP($C406,REV!$C:$AA,14,0)-'TRADE IN'!$F406))</f>
        <v>1999</v>
      </c>
      <c r="Q406" s="46">
        <f>IF(VLOOKUP($C406,REV!$C:$AA,15,0)-'TRADE IN'!$F406=0,"",(VLOOKUP($C406,REV!$C:$AA,15,0)-'TRADE IN'!$F406))</f>
        <v>1999</v>
      </c>
      <c r="R406" s="46">
        <f>IF(VLOOKUP($C406,REV!$C:$AA,16,0)-'TRADE IN'!$F406=0,"",(VLOOKUP($C406,REV!$C:$AA,16,0)-'TRADE IN'!$F406))</f>
        <v>1999</v>
      </c>
      <c r="S406" s="46">
        <f>IF(VLOOKUP($C406,REV!$C:$AA,17,0)-'TRADE IN'!$F406=0,"",(VLOOKUP($C406,REV!$C:$AA,17,0)-'TRADE IN'!$F406))</f>
        <v>1999</v>
      </c>
      <c r="T406" s="46">
        <f>IF(VLOOKUP($C406,REV!$C:$AA,18,0)-'TRADE IN'!$F406=0,"",(VLOOKUP($C406,REV!$C:$AA,18,0)-'TRADE IN'!$F406))</f>
        <v>1999</v>
      </c>
      <c r="U406" s="46">
        <f>IF(VLOOKUP($C406,REV!$C:$AA,19,0)-'TRADE IN'!$F406=0,"",(VLOOKUP($C406,REV!$C:$AA,19,0)-'TRADE IN'!$F406))</f>
        <v>1999</v>
      </c>
      <c r="V406" s="46">
        <f>IF(VLOOKUP($C406,REV!$C:$AA,20,0)-'TRADE IN'!$F406=0,"",(VLOOKUP($C406,REV!$C:$AA,20,0)-'TRADE IN'!$F406))</f>
        <v>1999</v>
      </c>
      <c r="W406" s="46">
        <f>IF(VLOOKUP($C406,REV!$C:$AA,21,0)-'TRADE IN'!$F406=0,"",(VLOOKUP($C406,REV!$C:$AA,21,0)-'TRADE IN'!$F406))</f>
        <v>1999</v>
      </c>
      <c r="X406" s="46">
        <f>IF(VLOOKUP($C406,REV!$C:$AA,22,0)-'TRADE IN'!$F406=0,"",(VLOOKUP($C406,REV!$C:$AA,22,0)-'TRADE IN'!$F406))</f>
        <v>1999</v>
      </c>
      <c r="Y406" s="46">
        <f>IF(VLOOKUP($C406,REV!$C:$AA,23,0)-'TRADE IN'!$F406=0,"",(VLOOKUP($C406,REV!$C:$AA,23,0)-'TRADE IN'!$F406))</f>
        <v>1999</v>
      </c>
      <c r="Z406" s="46">
        <f>IF(VLOOKUP($C406,REV!$C:$AA,24,0)-'TRADE IN'!$F406=0,"",(VLOOKUP($C406,REV!$C:$AA,24,0)-'TRADE IN'!$F406))</f>
        <v>1999</v>
      </c>
      <c r="AA406" s="46">
        <f>IF(VLOOKUP($C406,REV!$C:$AA,25,0)-'TRADE IN'!$F406=0,"",(VLOOKUP($C406,REV!$C:$AA,25,0)-'TRADE IN'!$F406))</f>
        <v>1999</v>
      </c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7"/>
      <c r="AW406" s="48" t="str">
        <f>REV!AW406</f>
        <v>01.12.2026</v>
      </c>
      <c r="AX406" s="153" t="str">
        <f>VLOOKUP(C406,REV!C:AX,48,0)</f>
        <v>5G</v>
      </c>
    </row>
    <row r="407" spans="1:50" ht="22.5" customHeight="1">
      <c r="A407" s="41" t="s">
        <v>63</v>
      </c>
      <c r="B407" s="42" t="s">
        <v>64</v>
      </c>
      <c r="C407" s="43">
        <v>4016554</v>
      </c>
      <c r="D407" s="58" t="s">
        <v>600</v>
      </c>
      <c r="E407" s="58" t="s">
        <v>601</v>
      </c>
      <c r="F407" s="45"/>
      <c r="G407" s="45"/>
      <c r="H407" s="45"/>
      <c r="I407" s="45"/>
      <c r="J407" s="46">
        <f>IF(VLOOKUP($C407,REV!$C:$AA,8,0)-'TRADE IN'!$F407=0,"",(VLOOKUP($C407,REV!$C:$AA,8,0)-'TRADE IN'!$F407))</f>
        <v>799</v>
      </c>
      <c r="K407" s="46">
        <f>IF(VLOOKUP($C407,REV!$C:$AA,9,0)-'TRADE IN'!$F407=0,"",(VLOOKUP($C407,REV!$C:$AA,9,0)-'TRADE IN'!$F407))</f>
        <v>799</v>
      </c>
      <c r="L407" s="46">
        <f>IF(VLOOKUP($C407,REV!$C:$AA,10,0)-'TRADE IN'!$F407=0,"",(VLOOKUP($C407,REV!$C:$AA,10,0)-'TRADE IN'!$F407))</f>
        <v>799</v>
      </c>
      <c r="M407" s="46">
        <f>IF(VLOOKUP($C407,REV!$C:$AA,11,0)-'TRADE IN'!$F407=0,"",(VLOOKUP($C407,REV!$C:$AA,11,0)-'TRADE IN'!$F407))</f>
        <v>799</v>
      </c>
      <c r="N407" s="46">
        <f>IF(VLOOKUP($C407,REV!$C:$AA,12,0)-'TRADE IN'!$F407=0,"",(VLOOKUP($C407,REV!$C:$AA,12,0)-'TRADE IN'!$F407))</f>
        <v>799</v>
      </c>
      <c r="O407" s="46">
        <f>IF(VLOOKUP($C407,REV!$C:$AA,13,0)-'TRADE IN'!$F407=0,"",(VLOOKUP($C407,REV!$C:$AA,13,0)-'TRADE IN'!$F407))</f>
        <v>799</v>
      </c>
      <c r="P407" s="46">
        <f>IF(VLOOKUP($C407,REV!$C:$AA,14,0)-'TRADE IN'!$F407=0,"",(VLOOKUP($C407,REV!$C:$AA,14,0)-'TRADE IN'!$F407))</f>
        <v>799</v>
      </c>
      <c r="Q407" s="46">
        <f>IF(VLOOKUP($C407,REV!$C:$AA,15,0)-'TRADE IN'!$F407=0,"",(VLOOKUP($C407,REV!$C:$AA,15,0)-'TRADE IN'!$F407))</f>
        <v>799</v>
      </c>
      <c r="R407" s="46">
        <f>IF(VLOOKUP($C407,REV!$C:$AA,16,0)-'TRADE IN'!$F407=0,"",(VLOOKUP($C407,REV!$C:$AA,16,0)-'TRADE IN'!$F407))</f>
        <v>799</v>
      </c>
      <c r="S407" s="46">
        <f>IF(VLOOKUP($C407,REV!$C:$AA,17,0)-'TRADE IN'!$F407=0,"",(VLOOKUP($C407,REV!$C:$AA,17,0)-'TRADE IN'!$F407))</f>
        <v>799</v>
      </c>
      <c r="T407" s="46">
        <f>IF(VLOOKUP($C407,REV!$C:$AA,18,0)-'TRADE IN'!$F407=0,"",(VLOOKUP($C407,REV!$C:$AA,18,0)-'TRADE IN'!$F407))</f>
        <v>799</v>
      </c>
      <c r="U407" s="46">
        <f>IF(VLOOKUP($C407,REV!$C:$AA,19,0)-'TRADE IN'!$F407=0,"",(VLOOKUP($C407,REV!$C:$AA,19,0)-'TRADE IN'!$F407))</f>
        <v>799</v>
      </c>
      <c r="V407" s="46">
        <f>IF(VLOOKUP($C407,REV!$C:$AA,20,0)-'TRADE IN'!$F407=0,"",(VLOOKUP($C407,REV!$C:$AA,20,0)-'TRADE IN'!$F407))</f>
        <v>799</v>
      </c>
      <c r="W407" s="46">
        <f>IF(VLOOKUP($C407,REV!$C:$AA,21,0)-'TRADE IN'!$F407=0,"",(VLOOKUP($C407,REV!$C:$AA,21,0)-'TRADE IN'!$F407))</f>
        <v>799</v>
      </c>
      <c r="X407" s="46">
        <f>IF(VLOOKUP($C407,REV!$C:$AA,22,0)-'TRADE IN'!$F407=0,"",(VLOOKUP($C407,REV!$C:$AA,22,0)-'TRADE IN'!$F407))</f>
        <v>799</v>
      </c>
      <c r="Y407" s="46">
        <f>IF(VLOOKUP($C407,REV!$C:$AA,23,0)-'TRADE IN'!$F407=0,"",(VLOOKUP($C407,REV!$C:$AA,23,0)-'TRADE IN'!$F407))</f>
        <v>799</v>
      </c>
      <c r="Z407" s="46">
        <f>IF(VLOOKUP($C407,REV!$C:$AA,24,0)-'TRADE IN'!$F407=0,"",(VLOOKUP($C407,REV!$C:$AA,24,0)-'TRADE IN'!$F407))</f>
        <v>799</v>
      </c>
      <c r="AA407" s="46">
        <f>IF(VLOOKUP($C407,REV!$C:$AA,25,0)-'TRADE IN'!$F407=0,"",(VLOOKUP($C407,REV!$C:$AA,25,0)-'TRADE IN'!$F407))</f>
        <v>799</v>
      </c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7"/>
      <c r="AW407" s="48" t="str">
        <f>REV!AW407</f>
        <v>01.12.2026</v>
      </c>
      <c r="AX407" s="153" t="str">
        <f>VLOOKUP(C407,REV!C:AX,48,0)</f>
        <v>5G</v>
      </c>
    </row>
    <row r="408" spans="1:50" ht="22.5" customHeight="1">
      <c r="A408" s="41" t="s">
        <v>63</v>
      </c>
      <c r="B408" s="42" t="s">
        <v>64</v>
      </c>
      <c r="C408" s="43">
        <v>4016558</v>
      </c>
      <c r="D408" s="58" t="s">
        <v>600</v>
      </c>
      <c r="E408" s="58" t="s">
        <v>602</v>
      </c>
      <c r="F408" s="45"/>
      <c r="G408" s="45"/>
      <c r="H408" s="45"/>
      <c r="I408" s="45"/>
      <c r="J408" s="46">
        <f>IF(VLOOKUP($C408,REV!$C:$AA,8,0)-'TRADE IN'!$F408=0,"",(VLOOKUP($C408,REV!$C:$AA,8,0)-'TRADE IN'!$F408))</f>
        <v>799</v>
      </c>
      <c r="K408" s="46">
        <f>IF(VLOOKUP($C408,REV!$C:$AA,9,0)-'TRADE IN'!$F408=0,"",(VLOOKUP($C408,REV!$C:$AA,9,0)-'TRADE IN'!$F408))</f>
        <v>799</v>
      </c>
      <c r="L408" s="46">
        <f>IF(VLOOKUP($C408,REV!$C:$AA,10,0)-'TRADE IN'!$F408=0,"",(VLOOKUP($C408,REV!$C:$AA,10,0)-'TRADE IN'!$F408))</f>
        <v>799</v>
      </c>
      <c r="M408" s="46">
        <f>IF(VLOOKUP($C408,REV!$C:$AA,11,0)-'TRADE IN'!$F408=0,"",(VLOOKUP($C408,REV!$C:$AA,11,0)-'TRADE IN'!$F408))</f>
        <v>799</v>
      </c>
      <c r="N408" s="46">
        <f>IF(VLOOKUP($C408,REV!$C:$AA,12,0)-'TRADE IN'!$F408=0,"",(VLOOKUP($C408,REV!$C:$AA,12,0)-'TRADE IN'!$F408))</f>
        <v>799</v>
      </c>
      <c r="O408" s="46">
        <f>IF(VLOOKUP($C408,REV!$C:$AA,13,0)-'TRADE IN'!$F408=0,"",(VLOOKUP($C408,REV!$C:$AA,13,0)-'TRADE IN'!$F408))</f>
        <v>799</v>
      </c>
      <c r="P408" s="46">
        <f>IF(VLOOKUP($C408,REV!$C:$AA,14,0)-'TRADE IN'!$F408=0,"",(VLOOKUP($C408,REV!$C:$AA,14,0)-'TRADE IN'!$F408))</f>
        <v>799</v>
      </c>
      <c r="Q408" s="46">
        <f>IF(VLOOKUP($C408,REV!$C:$AA,15,0)-'TRADE IN'!$F408=0,"",(VLOOKUP($C408,REV!$C:$AA,15,0)-'TRADE IN'!$F408))</f>
        <v>799</v>
      </c>
      <c r="R408" s="46">
        <f>IF(VLOOKUP($C408,REV!$C:$AA,16,0)-'TRADE IN'!$F408=0,"",(VLOOKUP($C408,REV!$C:$AA,16,0)-'TRADE IN'!$F408))</f>
        <v>799</v>
      </c>
      <c r="S408" s="46">
        <f>IF(VLOOKUP($C408,REV!$C:$AA,17,0)-'TRADE IN'!$F408=0,"",(VLOOKUP($C408,REV!$C:$AA,17,0)-'TRADE IN'!$F408))</f>
        <v>799</v>
      </c>
      <c r="T408" s="46">
        <f>IF(VLOOKUP($C408,REV!$C:$AA,18,0)-'TRADE IN'!$F408=0,"",(VLOOKUP($C408,REV!$C:$AA,18,0)-'TRADE IN'!$F408))</f>
        <v>799</v>
      </c>
      <c r="U408" s="46">
        <f>IF(VLOOKUP($C408,REV!$C:$AA,19,0)-'TRADE IN'!$F408=0,"",(VLOOKUP($C408,REV!$C:$AA,19,0)-'TRADE IN'!$F408))</f>
        <v>799</v>
      </c>
      <c r="V408" s="46">
        <f>IF(VLOOKUP($C408,REV!$C:$AA,20,0)-'TRADE IN'!$F408=0,"",(VLOOKUP($C408,REV!$C:$AA,20,0)-'TRADE IN'!$F408))</f>
        <v>799</v>
      </c>
      <c r="W408" s="46">
        <f>IF(VLOOKUP($C408,REV!$C:$AA,21,0)-'TRADE IN'!$F408=0,"",(VLOOKUP($C408,REV!$C:$AA,21,0)-'TRADE IN'!$F408))</f>
        <v>799</v>
      </c>
      <c r="X408" s="46">
        <f>IF(VLOOKUP($C408,REV!$C:$AA,22,0)-'TRADE IN'!$F408=0,"",(VLOOKUP($C408,REV!$C:$AA,22,0)-'TRADE IN'!$F408))</f>
        <v>799</v>
      </c>
      <c r="Y408" s="46">
        <f>IF(VLOOKUP($C408,REV!$C:$AA,23,0)-'TRADE IN'!$F408=0,"",(VLOOKUP($C408,REV!$C:$AA,23,0)-'TRADE IN'!$F408))</f>
        <v>799</v>
      </c>
      <c r="Z408" s="46">
        <f>IF(VLOOKUP($C408,REV!$C:$AA,24,0)-'TRADE IN'!$F408=0,"",(VLOOKUP($C408,REV!$C:$AA,24,0)-'TRADE IN'!$F408))</f>
        <v>799</v>
      </c>
      <c r="AA408" s="46">
        <f>IF(VLOOKUP($C408,REV!$C:$AA,25,0)-'TRADE IN'!$F408=0,"",(VLOOKUP($C408,REV!$C:$AA,25,0)-'TRADE IN'!$F408))</f>
        <v>799</v>
      </c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7"/>
      <c r="AW408" s="48" t="str">
        <f>REV!AW408</f>
        <v>01.12.2026</v>
      </c>
      <c r="AX408" s="153" t="str">
        <f>VLOOKUP(C408,REV!C:AX,48,0)</f>
        <v>5G</v>
      </c>
    </row>
    <row r="409" spans="1:50" ht="22.5" customHeight="1">
      <c r="A409" s="41" t="s">
        <v>63</v>
      </c>
      <c r="B409" s="42" t="s">
        <v>64</v>
      </c>
      <c r="C409" s="43">
        <v>4016555</v>
      </c>
      <c r="D409" s="58" t="s">
        <v>600</v>
      </c>
      <c r="E409" s="58" t="s">
        <v>603</v>
      </c>
      <c r="F409" s="45"/>
      <c r="G409" s="45"/>
      <c r="H409" s="45"/>
      <c r="I409" s="45"/>
      <c r="J409" s="46">
        <f>IF(VLOOKUP($C409,REV!$C:$AA,8,0)-'TRADE IN'!$F409=0,"",(VLOOKUP($C409,REV!$C:$AA,8,0)-'TRADE IN'!$F409))</f>
        <v>799</v>
      </c>
      <c r="K409" s="46">
        <f>IF(VLOOKUP($C409,REV!$C:$AA,9,0)-'TRADE IN'!$F409=0,"",(VLOOKUP($C409,REV!$C:$AA,9,0)-'TRADE IN'!$F409))</f>
        <v>799</v>
      </c>
      <c r="L409" s="46">
        <f>IF(VLOOKUP($C409,REV!$C:$AA,10,0)-'TRADE IN'!$F409=0,"",(VLOOKUP($C409,REV!$C:$AA,10,0)-'TRADE IN'!$F409))</f>
        <v>799</v>
      </c>
      <c r="M409" s="46">
        <f>IF(VLOOKUP($C409,REV!$C:$AA,11,0)-'TRADE IN'!$F409=0,"",(VLOOKUP($C409,REV!$C:$AA,11,0)-'TRADE IN'!$F409))</f>
        <v>799</v>
      </c>
      <c r="N409" s="46">
        <f>IF(VLOOKUP($C409,REV!$C:$AA,12,0)-'TRADE IN'!$F409=0,"",(VLOOKUP($C409,REV!$C:$AA,12,0)-'TRADE IN'!$F409))</f>
        <v>799</v>
      </c>
      <c r="O409" s="46">
        <f>IF(VLOOKUP($C409,REV!$C:$AA,13,0)-'TRADE IN'!$F409=0,"",(VLOOKUP($C409,REV!$C:$AA,13,0)-'TRADE IN'!$F409))</f>
        <v>799</v>
      </c>
      <c r="P409" s="46">
        <f>IF(VLOOKUP($C409,REV!$C:$AA,14,0)-'TRADE IN'!$F409=0,"",(VLOOKUP($C409,REV!$C:$AA,14,0)-'TRADE IN'!$F409))</f>
        <v>799</v>
      </c>
      <c r="Q409" s="46">
        <f>IF(VLOOKUP($C409,REV!$C:$AA,15,0)-'TRADE IN'!$F409=0,"",(VLOOKUP($C409,REV!$C:$AA,15,0)-'TRADE IN'!$F409))</f>
        <v>799</v>
      </c>
      <c r="R409" s="46">
        <f>IF(VLOOKUP($C409,REV!$C:$AA,16,0)-'TRADE IN'!$F409=0,"",(VLOOKUP($C409,REV!$C:$AA,16,0)-'TRADE IN'!$F409))</f>
        <v>799</v>
      </c>
      <c r="S409" s="46">
        <f>IF(VLOOKUP($C409,REV!$C:$AA,17,0)-'TRADE IN'!$F409=0,"",(VLOOKUP($C409,REV!$C:$AA,17,0)-'TRADE IN'!$F409))</f>
        <v>799</v>
      </c>
      <c r="T409" s="46">
        <f>IF(VLOOKUP($C409,REV!$C:$AA,18,0)-'TRADE IN'!$F409=0,"",(VLOOKUP($C409,REV!$C:$AA,18,0)-'TRADE IN'!$F409))</f>
        <v>799</v>
      </c>
      <c r="U409" s="46">
        <f>IF(VLOOKUP($C409,REV!$C:$AA,19,0)-'TRADE IN'!$F409=0,"",(VLOOKUP($C409,REV!$C:$AA,19,0)-'TRADE IN'!$F409))</f>
        <v>799</v>
      </c>
      <c r="V409" s="46">
        <f>IF(VLOOKUP($C409,REV!$C:$AA,20,0)-'TRADE IN'!$F409=0,"",(VLOOKUP($C409,REV!$C:$AA,20,0)-'TRADE IN'!$F409))</f>
        <v>799</v>
      </c>
      <c r="W409" s="46">
        <f>IF(VLOOKUP($C409,REV!$C:$AA,21,0)-'TRADE IN'!$F409=0,"",(VLOOKUP($C409,REV!$C:$AA,21,0)-'TRADE IN'!$F409))</f>
        <v>799</v>
      </c>
      <c r="X409" s="46">
        <f>IF(VLOOKUP($C409,REV!$C:$AA,22,0)-'TRADE IN'!$F409=0,"",(VLOOKUP($C409,REV!$C:$AA,22,0)-'TRADE IN'!$F409))</f>
        <v>799</v>
      </c>
      <c r="Y409" s="46">
        <f>IF(VLOOKUP($C409,REV!$C:$AA,23,0)-'TRADE IN'!$F409=0,"",(VLOOKUP($C409,REV!$C:$AA,23,0)-'TRADE IN'!$F409))</f>
        <v>799</v>
      </c>
      <c r="Z409" s="46">
        <f>IF(VLOOKUP($C409,REV!$C:$AA,24,0)-'TRADE IN'!$F409=0,"",(VLOOKUP($C409,REV!$C:$AA,24,0)-'TRADE IN'!$F409))</f>
        <v>799</v>
      </c>
      <c r="AA409" s="46">
        <f>IF(VLOOKUP($C409,REV!$C:$AA,25,0)-'TRADE IN'!$F409=0,"",(VLOOKUP($C409,REV!$C:$AA,25,0)-'TRADE IN'!$F409))</f>
        <v>799</v>
      </c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7"/>
      <c r="AW409" s="48" t="str">
        <f>REV!AW409</f>
        <v>01.12.2026</v>
      </c>
      <c r="AX409" s="153" t="str">
        <f>VLOOKUP(C409,REV!C:AX,48,0)</f>
        <v>5G</v>
      </c>
    </row>
    <row r="410" spans="1:50" ht="22.5" customHeight="1">
      <c r="A410" s="41" t="s">
        <v>63</v>
      </c>
      <c r="B410" s="42" t="s">
        <v>64</v>
      </c>
      <c r="C410" s="43">
        <v>4016559</v>
      </c>
      <c r="D410" s="58" t="s">
        <v>600</v>
      </c>
      <c r="E410" s="58" t="s">
        <v>604</v>
      </c>
      <c r="F410" s="45"/>
      <c r="G410" s="45"/>
      <c r="H410" s="45"/>
      <c r="I410" s="45"/>
      <c r="J410" s="46">
        <f>IF(VLOOKUP($C410,REV!$C:$AA,8,0)-'TRADE IN'!$F410=0,"",(VLOOKUP($C410,REV!$C:$AA,8,0)-'TRADE IN'!$F410))</f>
        <v>799</v>
      </c>
      <c r="K410" s="46">
        <f>IF(VLOOKUP($C410,REV!$C:$AA,9,0)-'TRADE IN'!$F410=0,"",(VLOOKUP($C410,REV!$C:$AA,9,0)-'TRADE IN'!$F410))</f>
        <v>799</v>
      </c>
      <c r="L410" s="46">
        <f>IF(VLOOKUP($C410,REV!$C:$AA,10,0)-'TRADE IN'!$F410=0,"",(VLOOKUP($C410,REV!$C:$AA,10,0)-'TRADE IN'!$F410))</f>
        <v>799</v>
      </c>
      <c r="M410" s="46">
        <f>IF(VLOOKUP($C410,REV!$C:$AA,11,0)-'TRADE IN'!$F410=0,"",(VLOOKUP($C410,REV!$C:$AA,11,0)-'TRADE IN'!$F410))</f>
        <v>799</v>
      </c>
      <c r="N410" s="46">
        <f>IF(VLOOKUP($C410,REV!$C:$AA,12,0)-'TRADE IN'!$F410=0,"",(VLOOKUP($C410,REV!$C:$AA,12,0)-'TRADE IN'!$F410))</f>
        <v>799</v>
      </c>
      <c r="O410" s="46">
        <f>IF(VLOOKUP($C410,REV!$C:$AA,13,0)-'TRADE IN'!$F410=0,"",(VLOOKUP($C410,REV!$C:$AA,13,0)-'TRADE IN'!$F410))</f>
        <v>799</v>
      </c>
      <c r="P410" s="46">
        <f>IF(VLOOKUP($C410,REV!$C:$AA,14,0)-'TRADE IN'!$F410=0,"",(VLOOKUP($C410,REV!$C:$AA,14,0)-'TRADE IN'!$F410))</f>
        <v>799</v>
      </c>
      <c r="Q410" s="46">
        <f>IF(VLOOKUP($C410,REV!$C:$AA,15,0)-'TRADE IN'!$F410=0,"",(VLOOKUP($C410,REV!$C:$AA,15,0)-'TRADE IN'!$F410))</f>
        <v>799</v>
      </c>
      <c r="R410" s="46">
        <f>IF(VLOOKUP($C410,REV!$C:$AA,16,0)-'TRADE IN'!$F410=0,"",(VLOOKUP($C410,REV!$C:$AA,16,0)-'TRADE IN'!$F410))</f>
        <v>799</v>
      </c>
      <c r="S410" s="46">
        <f>IF(VLOOKUP($C410,REV!$C:$AA,17,0)-'TRADE IN'!$F410=0,"",(VLOOKUP($C410,REV!$C:$AA,17,0)-'TRADE IN'!$F410))</f>
        <v>799</v>
      </c>
      <c r="T410" s="46">
        <f>IF(VLOOKUP($C410,REV!$C:$AA,18,0)-'TRADE IN'!$F410=0,"",(VLOOKUP($C410,REV!$C:$AA,18,0)-'TRADE IN'!$F410))</f>
        <v>799</v>
      </c>
      <c r="U410" s="46">
        <f>IF(VLOOKUP($C410,REV!$C:$AA,19,0)-'TRADE IN'!$F410=0,"",(VLOOKUP($C410,REV!$C:$AA,19,0)-'TRADE IN'!$F410))</f>
        <v>799</v>
      </c>
      <c r="V410" s="46">
        <f>IF(VLOOKUP($C410,REV!$C:$AA,20,0)-'TRADE IN'!$F410=0,"",(VLOOKUP($C410,REV!$C:$AA,20,0)-'TRADE IN'!$F410))</f>
        <v>799</v>
      </c>
      <c r="W410" s="46">
        <f>IF(VLOOKUP($C410,REV!$C:$AA,21,0)-'TRADE IN'!$F410=0,"",(VLOOKUP($C410,REV!$C:$AA,21,0)-'TRADE IN'!$F410))</f>
        <v>799</v>
      </c>
      <c r="X410" s="46">
        <f>IF(VLOOKUP($C410,REV!$C:$AA,22,0)-'TRADE IN'!$F410=0,"",(VLOOKUP($C410,REV!$C:$AA,22,0)-'TRADE IN'!$F410))</f>
        <v>799</v>
      </c>
      <c r="Y410" s="46">
        <f>IF(VLOOKUP($C410,REV!$C:$AA,23,0)-'TRADE IN'!$F410=0,"",(VLOOKUP($C410,REV!$C:$AA,23,0)-'TRADE IN'!$F410))</f>
        <v>799</v>
      </c>
      <c r="Z410" s="46">
        <f>IF(VLOOKUP($C410,REV!$C:$AA,24,0)-'TRADE IN'!$F410=0,"",(VLOOKUP($C410,REV!$C:$AA,24,0)-'TRADE IN'!$F410))</f>
        <v>799</v>
      </c>
      <c r="AA410" s="46">
        <f>IF(VLOOKUP($C410,REV!$C:$AA,25,0)-'TRADE IN'!$F410=0,"",(VLOOKUP($C410,REV!$C:$AA,25,0)-'TRADE IN'!$F410))</f>
        <v>799</v>
      </c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7"/>
      <c r="AW410" s="48" t="str">
        <f>REV!AW410</f>
        <v>01.12.2026</v>
      </c>
      <c r="AX410" s="153" t="str">
        <f>VLOOKUP(C410,REV!C:AX,48,0)</f>
        <v>5G</v>
      </c>
    </row>
    <row r="411" spans="1:50" ht="22.5" customHeight="1">
      <c r="A411" s="41" t="s">
        <v>63</v>
      </c>
      <c r="B411" s="42" t="s">
        <v>64</v>
      </c>
      <c r="C411" s="43">
        <v>4016552</v>
      </c>
      <c r="D411" s="58" t="s">
        <v>600</v>
      </c>
      <c r="E411" s="58" t="s">
        <v>605</v>
      </c>
      <c r="F411" s="45"/>
      <c r="G411" s="45"/>
      <c r="H411" s="45"/>
      <c r="I411" s="45"/>
      <c r="J411" s="46">
        <f>IF(VLOOKUP($C411,REV!$C:$AA,8,0)-'TRADE IN'!$F411=0,"",(VLOOKUP($C411,REV!$C:$AA,8,0)-'TRADE IN'!$F411))</f>
        <v>799</v>
      </c>
      <c r="K411" s="46">
        <f>IF(VLOOKUP($C411,REV!$C:$AA,9,0)-'TRADE IN'!$F411=0,"",(VLOOKUP($C411,REV!$C:$AA,9,0)-'TRADE IN'!$F411))</f>
        <v>799</v>
      </c>
      <c r="L411" s="46">
        <f>IF(VLOOKUP($C411,REV!$C:$AA,10,0)-'TRADE IN'!$F411=0,"",(VLOOKUP($C411,REV!$C:$AA,10,0)-'TRADE IN'!$F411))</f>
        <v>799</v>
      </c>
      <c r="M411" s="46">
        <f>IF(VLOOKUP($C411,REV!$C:$AA,11,0)-'TRADE IN'!$F411=0,"",(VLOOKUP($C411,REV!$C:$AA,11,0)-'TRADE IN'!$F411))</f>
        <v>799</v>
      </c>
      <c r="N411" s="46">
        <f>IF(VLOOKUP($C411,REV!$C:$AA,12,0)-'TRADE IN'!$F411=0,"",(VLOOKUP($C411,REV!$C:$AA,12,0)-'TRADE IN'!$F411))</f>
        <v>799</v>
      </c>
      <c r="O411" s="46">
        <f>IF(VLOOKUP($C411,REV!$C:$AA,13,0)-'TRADE IN'!$F411=0,"",(VLOOKUP($C411,REV!$C:$AA,13,0)-'TRADE IN'!$F411))</f>
        <v>799</v>
      </c>
      <c r="P411" s="46">
        <f>IF(VLOOKUP($C411,REV!$C:$AA,14,0)-'TRADE IN'!$F411=0,"",(VLOOKUP($C411,REV!$C:$AA,14,0)-'TRADE IN'!$F411))</f>
        <v>799</v>
      </c>
      <c r="Q411" s="46">
        <f>IF(VLOOKUP($C411,REV!$C:$AA,15,0)-'TRADE IN'!$F411=0,"",(VLOOKUP($C411,REV!$C:$AA,15,0)-'TRADE IN'!$F411))</f>
        <v>799</v>
      </c>
      <c r="R411" s="46">
        <f>IF(VLOOKUP($C411,REV!$C:$AA,16,0)-'TRADE IN'!$F411=0,"",(VLOOKUP($C411,REV!$C:$AA,16,0)-'TRADE IN'!$F411))</f>
        <v>799</v>
      </c>
      <c r="S411" s="46">
        <f>IF(VLOOKUP($C411,REV!$C:$AA,17,0)-'TRADE IN'!$F411=0,"",(VLOOKUP($C411,REV!$C:$AA,17,0)-'TRADE IN'!$F411))</f>
        <v>799</v>
      </c>
      <c r="T411" s="46">
        <f>IF(VLOOKUP($C411,REV!$C:$AA,18,0)-'TRADE IN'!$F411=0,"",(VLOOKUP($C411,REV!$C:$AA,18,0)-'TRADE IN'!$F411))</f>
        <v>799</v>
      </c>
      <c r="U411" s="46">
        <f>IF(VLOOKUP($C411,REV!$C:$AA,19,0)-'TRADE IN'!$F411=0,"",(VLOOKUP($C411,REV!$C:$AA,19,0)-'TRADE IN'!$F411))</f>
        <v>799</v>
      </c>
      <c r="V411" s="46">
        <f>IF(VLOOKUP($C411,REV!$C:$AA,20,0)-'TRADE IN'!$F411=0,"",(VLOOKUP($C411,REV!$C:$AA,20,0)-'TRADE IN'!$F411))</f>
        <v>799</v>
      </c>
      <c r="W411" s="46">
        <f>IF(VLOOKUP($C411,REV!$C:$AA,21,0)-'TRADE IN'!$F411=0,"",(VLOOKUP($C411,REV!$C:$AA,21,0)-'TRADE IN'!$F411))</f>
        <v>799</v>
      </c>
      <c r="X411" s="46">
        <f>IF(VLOOKUP($C411,REV!$C:$AA,22,0)-'TRADE IN'!$F411=0,"",(VLOOKUP($C411,REV!$C:$AA,22,0)-'TRADE IN'!$F411))</f>
        <v>799</v>
      </c>
      <c r="Y411" s="46">
        <f>IF(VLOOKUP($C411,REV!$C:$AA,23,0)-'TRADE IN'!$F411=0,"",(VLOOKUP($C411,REV!$C:$AA,23,0)-'TRADE IN'!$F411))</f>
        <v>799</v>
      </c>
      <c r="Z411" s="46">
        <f>IF(VLOOKUP($C411,REV!$C:$AA,24,0)-'TRADE IN'!$F411=0,"",(VLOOKUP($C411,REV!$C:$AA,24,0)-'TRADE IN'!$F411))</f>
        <v>799</v>
      </c>
      <c r="AA411" s="46">
        <f>IF(VLOOKUP($C411,REV!$C:$AA,25,0)-'TRADE IN'!$F411=0,"",(VLOOKUP($C411,REV!$C:$AA,25,0)-'TRADE IN'!$F411))</f>
        <v>799</v>
      </c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7"/>
      <c r="AW411" s="48" t="str">
        <f>REV!AW411</f>
        <v>01.12.2026</v>
      </c>
      <c r="AX411" s="153" t="str">
        <f>VLOOKUP(C411,REV!C:AX,48,0)</f>
        <v>5G</v>
      </c>
    </row>
    <row r="412" spans="1:50" ht="22.5" customHeight="1">
      <c r="A412" s="41" t="s">
        <v>63</v>
      </c>
      <c r="B412" s="42" t="s">
        <v>64</v>
      </c>
      <c r="C412" s="43">
        <v>4016551</v>
      </c>
      <c r="D412" s="58" t="s">
        <v>600</v>
      </c>
      <c r="E412" s="58" t="s">
        <v>606</v>
      </c>
      <c r="F412" s="45"/>
      <c r="G412" s="45"/>
      <c r="H412" s="45"/>
      <c r="I412" s="45"/>
      <c r="J412" s="46">
        <f>IF(VLOOKUP($C412,REV!$C:$AA,8,0)-'TRADE IN'!$F412=0,"",(VLOOKUP($C412,REV!$C:$AA,8,0)-'TRADE IN'!$F412))</f>
        <v>799</v>
      </c>
      <c r="K412" s="46">
        <f>IF(VLOOKUP($C412,REV!$C:$AA,9,0)-'TRADE IN'!$F412=0,"",(VLOOKUP($C412,REV!$C:$AA,9,0)-'TRADE IN'!$F412))</f>
        <v>799</v>
      </c>
      <c r="L412" s="46">
        <f>IF(VLOOKUP($C412,REV!$C:$AA,10,0)-'TRADE IN'!$F412=0,"",(VLOOKUP($C412,REV!$C:$AA,10,0)-'TRADE IN'!$F412))</f>
        <v>799</v>
      </c>
      <c r="M412" s="46">
        <f>IF(VLOOKUP($C412,REV!$C:$AA,11,0)-'TRADE IN'!$F412=0,"",(VLOOKUP($C412,REV!$C:$AA,11,0)-'TRADE IN'!$F412))</f>
        <v>799</v>
      </c>
      <c r="N412" s="46">
        <f>IF(VLOOKUP($C412,REV!$C:$AA,12,0)-'TRADE IN'!$F412=0,"",(VLOOKUP($C412,REV!$C:$AA,12,0)-'TRADE IN'!$F412))</f>
        <v>799</v>
      </c>
      <c r="O412" s="46">
        <f>IF(VLOOKUP($C412,REV!$C:$AA,13,0)-'TRADE IN'!$F412=0,"",(VLOOKUP($C412,REV!$C:$AA,13,0)-'TRADE IN'!$F412))</f>
        <v>799</v>
      </c>
      <c r="P412" s="46">
        <f>IF(VLOOKUP($C412,REV!$C:$AA,14,0)-'TRADE IN'!$F412=0,"",(VLOOKUP($C412,REV!$C:$AA,14,0)-'TRADE IN'!$F412))</f>
        <v>799</v>
      </c>
      <c r="Q412" s="46">
        <f>IF(VLOOKUP($C412,REV!$C:$AA,15,0)-'TRADE IN'!$F412=0,"",(VLOOKUP($C412,REV!$C:$AA,15,0)-'TRADE IN'!$F412))</f>
        <v>799</v>
      </c>
      <c r="R412" s="46">
        <f>IF(VLOOKUP($C412,REV!$C:$AA,16,0)-'TRADE IN'!$F412=0,"",(VLOOKUP($C412,REV!$C:$AA,16,0)-'TRADE IN'!$F412))</f>
        <v>799</v>
      </c>
      <c r="S412" s="46">
        <f>IF(VLOOKUP($C412,REV!$C:$AA,17,0)-'TRADE IN'!$F412=0,"",(VLOOKUP($C412,REV!$C:$AA,17,0)-'TRADE IN'!$F412))</f>
        <v>799</v>
      </c>
      <c r="T412" s="46">
        <f>IF(VLOOKUP($C412,REV!$C:$AA,18,0)-'TRADE IN'!$F412=0,"",(VLOOKUP($C412,REV!$C:$AA,18,0)-'TRADE IN'!$F412))</f>
        <v>799</v>
      </c>
      <c r="U412" s="46">
        <f>IF(VLOOKUP($C412,REV!$C:$AA,19,0)-'TRADE IN'!$F412=0,"",(VLOOKUP($C412,REV!$C:$AA,19,0)-'TRADE IN'!$F412))</f>
        <v>799</v>
      </c>
      <c r="V412" s="46">
        <f>IF(VLOOKUP($C412,REV!$C:$AA,20,0)-'TRADE IN'!$F412=0,"",(VLOOKUP($C412,REV!$C:$AA,20,0)-'TRADE IN'!$F412))</f>
        <v>799</v>
      </c>
      <c r="W412" s="46">
        <f>IF(VLOOKUP($C412,REV!$C:$AA,21,0)-'TRADE IN'!$F412=0,"",(VLOOKUP($C412,REV!$C:$AA,21,0)-'TRADE IN'!$F412))</f>
        <v>799</v>
      </c>
      <c r="X412" s="46">
        <f>IF(VLOOKUP($C412,REV!$C:$AA,22,0)-'TRADE IN'!$F412=0,"",(VLOOKUP($C412,REV!$C:$AA,22,0)-'TRADE IN'!$F412))</f>
        <v>799</v>
      </c>
      <c r="Y412" s="46">
        <f>IF(VLOOKUP($C412,REV!$C:$AA,23,0)-'TRADE IN'!$F412=0,"",(VLOOKUP($C412,REV!$C:$AA,23,0)-'TRADE IN'!$F412))</f>
        <v>799</v>
      </c>
      <c r="Z412" s="46">
        <f>IF(VLOOKUP($C412,REV!$C:$AA,24,0)-'TRADE IN'!$F412=0,"",(VLOOKUP($C412,REV!$C:$AA,24,0)-'TRADE IN'!$F412))</f>
        <v>799</v>
      </c>
      <c r="AA412" s="46">
        <f>IF(VLOOKUP($C412,REV!$C:$AA,25,0)-'TRADE IN'!$F412=0,"",(VLOOKUP($C412,REV!$C:$AA,25,0)-'TRADE IN'!$F412))</f>
        <v>799</v>
      </c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7"/>
      <c r="AW412" s="48" t="str">
        <f>REV!AW412</f>
        <v>01.12.2026</v>
      </c>
      <c r="AX412" s="153" t="str">
        <f>VLOOKUP(C412,REV!C:AX,48,0)</f>
        <v>5G</v>
      </c>
    </row>
    <row r="413" spans="1:50" ht="22.5" customHeight="1">
      <c r="A413" s="41" t="s">
        <v>63</v>
      </c>
      <c r="B413" s="42" t="s">
        <v>64</v>
      </c>
      <c r="C413" s="43">
        <v>4016839</v>
      </c>
      <c r="D413" s="58" t="s">
        <v>607</v>
      </c>
      <c r="E413" s="58" t="s">
        <v>608</v>
      </c>
      <c r="F413" s="45">
        <v>700</v>
      </c>
      <c r="G413" s="45"/>
      <c r="H413" s="45"/>
      <c r="I413" s="45"/>
      <c r="J413" s="46">
        <f>IF(VLOOKUP($C413,REV!$C:$AA,8,0)-'TRADE IN'!$F413=0,"",(VLOOKUP($C413,REV!$C:$AA,8,0)-'TRADE IN'!$F413))</f>
        <v>3799</v>
      </c>
      <c r="K413" s="46">
        <f>IF(VLOOKUP($C413,REV!$C:$AA,9,0)-'TRADE IN'!$F413=0,"",(VLOOKUP($C413,REV!$C:$AA,9,0)-'TRADE IN'!$F413))</f>
        <v>3799</v>
      </c>
      <c r="L413" s="46">
        <f>IF(VLOOKUP($C413,REV!$C:$AA,10,0)-'TRADE IN'!$F413=0,"",(VLOOKUP($C413,REV!$C:$AA,10,0)-'TRADE IN'!$F413))</f>
        <v>3799</v>
      </c>
      <c r="M413" s="46">
        <f>IF(VLOOKUP($C413,REV!$C:$AA,11,0)-'TRADE IN'!$F413=0,"",(VLOOKUP($C413,REV!$C:$AA,11,0)-'TRADE IN'!$F413))</f>
        <v>3799</v>
      </c>
      <c r="N413" s="46">
        <f>IF(VLOOKUP($C413,REV!$C:$AA,12,0)-'TRADE IN'!$F413=0,"",(VLOOKUP($C413,REV!$C:$AA,12,0)-'TRADE IN'!$F413))</f>
        <v>3799</v>
      </c>
      <c r="O413" s="46">
        <f>IF(VLOOKUP($C413,REV!$C:$AA,13,0)-'TRADE IN'!$F413=0,"",(VLOOKUP($C413,REV!$C:$AA,13,0)-'TRADE IN'!$F413))</f>
        <v>3699</v>
      </c>
      <c r="P413" s="46">
        <f>IF(VLOOKUP($C413,REV!$C:$AA,14,0)-'TRADE IN'!$F413=0,"",(VLOOKUP($C413,REV!$C:$AA,14,0)-'TRADE IN'!$F413))</f>
        <v>3599</v>
      </c>
      <c r="Q413" s="46">
        <f>IF(VLOOKUP($C413,REV!$C:$AA,15,0)-'TRADE IN'!$F413=0,"",(VLOOKUP($C413,REV!$C:$AA,15,0)-'TRADE IN'!$F413))</f>
        <v>2599</v>
      </c>
      <c r="R413" s="46">
        <f>IF(VLOOKUP($C413,REV!$C:$AA,16,0)-'TRADE IN'!$F413=0,"",(VLOOKUP($C413,REV!$C:$AA,16,0)-'TRADE IN'!$F413))</f>
        <v>3699</v>
      </c>
      <c r="S413" s="46">
        <f>IF(VLOOKUP($C413,REV!$C:$AA,17,0)-'TRADE IN'!$F413=0,"",(VLOOKUP($C413,REV!$C:$AA,17,0)-'TRADE IN'!$F413))</f>
        <v>3599</v>
      </c>
      <c r="T413" s="46">
        <f>IF(VLOOKUP($C413,REV!$C:$AA,18,0)-'TRADE IN'!$F413=0,"",(VLOOKUP($C413,REV!$C:$AA,18,0)-'TRADE IN'!$F413))</f>
        <v>2599</v>
      </c>
      <c r="U413" s="46">
        <f>IF(VLOOKUP($C413,REV!$C:$AA,19,0)-'TRADE IN'!$F413=0,"",(VLOOKUP($C413,REV!$C:$AA,19,0)-'TRADE IN'!$F413))</f>
        <v>2599</v>
      </c>
      <c r="V413" s="46">
        <f>IF(VLOOKUP($C413,REV!$C:$AA,20,0)-'TRADE IN'!$F413=0,"",(VLOOKUP($C413,REV!$C:$AA,20,0)-'TRADE IN'!$F413))</f>
        <v>2599</v>
      </c>
      <c r="W413" s="46">
        <f>IF(VLOOKUP($C413,REV!$C:$AA,21,0)-'TRADE IN'!$F413=0,"",(VLOOKUP($C413,REV!$C:$AA,21,0)-'TRADE IN'!$F413))</f>
        <v>2599</v>
      </c>
      <c r="X413" s="46">
        <f>IF(VLOOKUP($C413,REV!$C:$AA,22,0)-'TRADE IN'!$F413=0,"",(VLOOKUP($C413,REV!$C:$AA,22,0)-'TRADE IN'!$F413))</f>
        <v>2499</v>
      </c>
      <c r="Y413" s="46">
        <f>IF(VLOOKUP($C413,REV!$C:$AA,23,0)-'TRADE IN'!$F413=0,"",(VLOOKUP($C413,REV!$C:$AA,23,0)-'TRADE IN'!$F413))</f>
        <v>2099</v>
      </c>
      <c r="Z413" s="46">
        <f>IF(VLOOKUP($C413,REV!$C:$AA,24,0)-'TRADE IN'!$F413=0,"",(VLOOKUP($C413,REV!$C:$AA,24,0)-'TRADE IN'!$F413))</f>
        <v>2099</v>
      </c>
      <c r="AA413" s="46">
        <f>IF(VLOOKUP($C413,REV!$C:$AA,25,0)-'TRADE IN'!$F413=0,"",(VLOOKUP($C413,REV!$C:$AA,25,0)-'TRADE IN'!$F413))</f>
        <v>1899</v>
      </c>
      <c r="AB413" s="45">
        <f>IF(VLOOKUP($C413,REV!$C:$AL,27,0)-'TRADE IN'!$F413=0,"",(VLOOKUP($C413,REV!$C:$AL,27,0)-'TRADE IN'!$F413))</f>
        <v>3799</v>
      </c>
      <c r="AC413" s="45">
        <f>IF(VLOOKUP($C413,REV!$C:$AL,28,0)-'TRADE IN'!$F413=0,"",(VLOOKUP($C413,REV!$C:$AL,28,0)-'TRADE IN'!$F413))</f>
        <v>3799</v>
      </c>
      <c r="AD413" s="45">
        <f>IF(VLOOKUP($C413,REV!$C:$AL,29,0)-'TRADE IN'!$F413=0,"",(VLOOKUP($C413,REV!$C:$AL,29,0)-'TRADE IN'!$F413))</f>
        <v>3699</v>
      </c>
      <c r="AE413" s="45">
        <f>IF(VLOOKUP($C413,REV!$C:$AL,30,0)-'TRADE IN'!$F413=0,"",(VLOOKUP($C413,REV!$C:$AL,30,0)-'TRADE IN'!$F413))</f>
        <v>3599</v>
      </c>
      <c r="AF413" s="45">
        <f>IF(VLOOKUP($C413,REV!$C:$AL,31,0)-'TRADE IN'!$F413=0,"",(VLOOKUP($C413,REV!$C:$AL,31,0)-'TRADE IN'!$F413))</f>
        <v>3599</v>
      </c>
      <c r="AG413" s="45">
        <f>IF(VLOOKUP($C413,REV!$C:$AL,31,0)-'TRADE IN'!$F413=0,"",(VLOOKUP($C413,REV!$C:$AL,31,0)-'TRADE IN'!$F413))</f>
        <v>3599</v>
      </c>
      <c r="AH413" s="45">
        <f>IF(VLOOKUP($C413,REV!$C:$AL,32,0)-'TRADE IN'!$F413=0,"",(VLOOKUP($C413,REV!$C:$AL,32,0)-'TRADE IN'!$F413))</f>
        <v>2599</v>
      </c>
      <c r="AI413" s="45">
        <f>IF(VLOOKUP($C413,REV!$C:$AL,33,0)-'TRADE IN'!$F413=0,"",(VLOOKUP($C413,REV!$C:$AL,33,0)-'TRADE IN'!$F413))</f>
        <v>2599</v>
      </c>
      <c r="AJ413" s="45">
        <f>IF(VLOOKUP($C413,REV!$C:$AL,34,0)-'TRADE IN'!$F413=0,"",(VLOOKUP($C413,REV!$C:$AL,34,0)-'TRADE IN'!$F413))</f>
        <v>2599</v>
      </c>
      <c r="AK413" s="45">
        <f>IF(VLOOKUP($C413,REV!$C:$AL,35,0)-'TRADE IN'!$F413=0,"",(VLOOKUP($C413,REV!$C:$AL,35,0)-'TRADE IN'!$F413))</f>
        <v>2599</v>
      </c>
      <c r="AL413" s="45">
        <f>IF(VLOOKUP($C413,REV!$C:$AL,36,0)-'TRADE IN'!$F413=0,"",(VLOOKUP($C413,REV!$C:$AL,36,0)-'TRADE IN'!$F413))</f>
        <v>2099</v>
      </c>
      <c r="AM413" s="45"/>
      <c r="AN413" s="45"/>
      <c r="AO413" s="45"/>
      <c r="AP413" s="45"/>
      <c r="AQ413" s="45"/>
      <c r="AR413" s="45"/>
      <c r="AS413" s="45"/>
      <c r="AT413" s="45"/>
      <c r="AU413" s="45"/>
      <c r="AV413" s="47"/>
      <c r="AW413" s="48" t="str">
        <f>REV!AW413</f>
        <v>01.12.2026</v>
      </c>
      <c r="AX413" s="153" t="str">
        <f>VLOOKUP(C413,REV!C:AX,48,0)</f>
        <v>5G</v>
      </c>
    </row>
    <row r="414" spans="1:50" ht="22.5" customHeight="1">
      <c r="A414" s="41" t="s">
        <v>63</v>
      </c>
      <c r="B414" s="42" t="s">
        <v>64</v>
      </c>
      <c r="C414" s="43">
        <v>4016872</v>
      </c>
      <c r="D414" s="58" t="s">
        <v>607</v>
      </c>
      <c r="E414" s="58" t="s">
        <v>609</v>
      </c>
      <c r="F414" s="45">
        <v>700</v>
      </c>
      <c r="G414" s="45"/>
      <c r="H414" s="45"/>
      <c r="I414" s="45"/>
      <c r="J414" s="46">
        <f>IF(VLOOKUP($C414,REV!$C:$AA,8,0)-'TRADE IN'!$F414=0,"",(VLOOKUP($C414,REV!$C:$AA,8,0)-'TRADE IN'!$F414))</f>
        <v>3799</v>
      </c>
      <c r="K414" s="46">
        <f>IF(VLOOKUP($C414,REV!$C:$AA,9,0)-'TRADE IN'!$F414=0,"",(VLOOKUP($C414,REV!$C:$AA,9,0)-'TRADE IN'!$F414))</f>
        <v>3799</v>
      </c>
      <c r="L414" s="46">
        <f>IF(VLOOKUP($C414,REV!$C:$AA,10,0)-'TRADE IN'!$F414=0,"",(VLOOKUP($C414,REV!$C:$AA,10,0)-'TRADE IN'!$F414))</f>
        <v>3799</v>
      </c>
      <c r="M414" s="46">
        <f>IF(VLOOKUP($C414,REV!$C:$AA,11,0)-'TRADE IN'!$F414=0,"",(VLOOKUP($C414,REV!$C:$AA,11,0)-'TRADE IN'!$F414))</f>
        <v>3799</v>
      </c>
      <c r="N414" s="46">
        <f>IF(VLOOKUP($C414,REV!$C:$AA,12,0)-'TRADE IN'!$F414=0,"",(VLOOKUP($C414,REV!$C:$AA,12,0)-'TRADE IN'!$F414))</f>
        <v>3799</v>
      </c>
      <c r="O414" s="46">
        <f>IF(VLOOKUP($C414,REV!$C:$AA,13,0)-'TRADE IN'!$F414=0,"",(VLOOKUP($C414,REV!$C:$AA,13,0)-'TRADE IN'!$F414))</f>
        <v>3699</v>
      </c>
      <c r="P414" s="46">
        <f>IF(VLOOKUP($C414,REV!$C:$AA,14,0)-'TRADE IN'!$F414=0,"",(VLOOKUP($C414,REV!$C:$AA,14,0)-'TRADE IN'!$F414))</f>
        <v>3599</v>
      </c>
      <c r="Q414" s="46">
        <f>IF(VLOOKUP($C414,REV!$C:$AA,15,0)-'TRADE IN'!$F414=0,"",(VLOOKUP($C414,REV!$C:$AA,15,0)-'TRADE IN'!$F414))</f>
        <v>2599</v>
      </c>
      <c r="R414" s="46">
        <f>IF(VLOOKUP($C414,REV!$C:$AA,16,0)-'TRADE IN'!$F414=0,"",(VLOOKUP($C414,REV!$C:$AA,16,0)-'TRADE IN'!$F414))</f>
        <v>3699</v>
      </c>
      <c r="S414" s="46">
        <f>IF(VLOOKUP($C414,REV!$C:$AA,17,0)-'TRADE IN'!$F414=0,"",(VLOOKUP($C414,REV!$C:$AA,17,0)-'TRADE IN'!$F414))</f>
        <v>3599</v>
      </c>
      <c r="T414" s="46">
        <f>IF(VLOOKUP($C414,REV!$C:$AA,18,0)-'TRADE IN'!$F414=0,"",(VLOOKUP($C414,REV!$C:$AA,18,0)-'TRADE IN'!$F414))</f>
        <v>2599</v>
      </c>
      <c r="U414" s="46">
        <f>IF(VLOOKUP($C414,REV!$C:$AA,19,0)-'TRADE IN'!$F414=0,"",(VLOOKUP($C414,REV!$C:$AA,19,0)-'TRADE IN'!$F414))</f>
        <v>2599</v>
      </c>
      <c r="V414" s="46">
        <f>IF(VLOOKUP($C414,REV!$C:$AA,20,0)-'TRADE IN'!$F414=0,"",(VLOOKUP($C414,REV!$C:$AA,20,0)-'TRADE IN'!$F414))</f>
        <v>2599</v>
      </c>
      <c r="W414" s="46">
        <f>IF(VLOOKUP($C414,REV!$C:$AA,21,0)-'TRADE IN'!$F414=0,"",(VLOOKUP($C414,REV!$C:$AA,21,0)-'TRADE IN'!$F414))</f>
        <v>2599</v>
      </c>
      <c r="X414" s="46">
        <f>IF(VLOOKUP($C414,REV!$C:$AA,22,0)-'TRADE IN'!$F414=0,"",(VLOOKUP($C414,REV!$C:$AA,22,0)-'TRADE IN'!$F414))</f>
        <v>2499</v>
      </c>
      <c r="Y414" s="46">
        <f>IF(VLOOKUP($C414,REV!$C:$AA,23,0)-'TRADE IN'!$F414=0,"",(VLOOKUP($C414,REV!$C:$AA,23,0)-'TRADE IN'!$F414))</f>
        <v>2099</v>
      </c>
      <c r="Z414" s="46">
        <f>IF(VLOOKUP($C414,REV!$C:$AA,24,0)-'TRADE IN'!$F414=0,"",(VLOOKUP($C414,REV!$C:$AA,24,0)-'TRADE IN'!$F414))</f>
        <v>2099</v>
      </c>
      <c r="AA414" s="46">
        <f>IF(VLOOKUP($C414,REV!$C:$AA,25,0)-'TRADE IN'!$F414=0,"",(VLOOKUP($C414,REV!$C:$AA,25,0)-'TRADE IN'!$F414))</f>
        <v>1899</v>
      </c>
      <c r="AB414" s="45">
        <f>IF(VLOOKUP($C414,REV!$C:$AL,27,0)-'TRADE IN'!$F414=0,"",(VLOOKUP($C414,REV!$C:$AL,27,0)-'TRADE IN'!$F414))</f>
        <v>3799</v>
      </c>
      <c r="AC414" s="45">
        <f>IF(VLOOKUP($C414,REV!$C:$AL,28,0)-'TRADE IN'!$F414=0,"",(VLOOKUP($C414,REV!$C:$AL,28,0)-'TRADE IN'!$F414))</f>
        <v>3799</v>
      </c>
      <c r="AD414" s="45">
        <f>IF(VLOOKUP($C414,REV!$C:$AL,29,0)-'TRADE IN'!$F414=0,"",(VLOOKUP($C414,REV!$C:$AL,29,0)-'TRADE IN'!$F414))</f>
        <v>3699</v>
      </c>
      <c r="AE414" s="45">
        <f>IF(VLOOKUP($C414,REV!$C:$AL,30,0)-'TRADE IN'!$F414=0,"",(VLOOKUP($C414,REV!$C:$AL,30,0)-'TRADE IN'!$F414))</f>
        <v>3599</v>
      </c>
      <c r="AF414" s="45">
        <f>IF(VLOOKUP($C414,REV!$C:$AL,31,0)-'TRADE IN'!$F414=0,"",(VLOOKUP($C414,REV!$C:$AL,31,0)-'TRADE IN'!$F414))</f>
        <v>3599</v>
      </c>
      <c r="AG414" s="45">
        <f>IF(VLOOKUP($C414,REV!$C:$AL,31,0)-'TRADE IN'!$F414=0,"",(VLOOKUP($C414,REV!$C:$AL,31,0)-'TRADE IN'!$F414))</f>
        <v>3599</v>
      </c>
      <c r="AH414" s="45">
        <f>IF(VLOOKUP($C414,REV!$C:$AL,32,0)-'TRADE IN'!$F414=0,"",(VLOOKUP($C414,REV!$C:$AL,32,0)-'TRADE IN'!$F414))</f>
        <v>2599</v>
      </c>
      <c r="AI414" s="45">
        <f>IF(VLOOKUP($C414,REV!$C:$AL,33,0)-'TRADE IN'!$F414=0,"",(VLOOKUP($C414,REV!$C:$AL,33,0)-'TRADE IN'!$F414))</f>
        <v>2599</v>
      </c>
      <c r="AJ414" s="45">
        <f>IF(VLOOKUP($C414,REV!$C:$AL,34,0)-'TRADE IN'!$F414=0,"",(VLOOKUP($C414,REV!$C:$AL,34,0)-'TRADE IN'!$F414))</f>
        <v>2599</v>
      </c>
      <c r="AK414" s="45">
        <f>IF(VLOOKUP($C414,REV!$C:$AL,35,0)-'TRADE IN'!$F414=0,"",(VLOOKUP($C414,REV!$C:$AL,35,0)-'TRADE IN'!$F414))</f>
        <v>2599</v>
      </c>
      <c r="AL414" s="45">
        <f>IF(VLOOKUP($C414,REV!$C:$AL,36,0)-'TRADE IN'!$F414=0,"",(VLOOKUP($C414,REV!$C:$AL,36,0)-'TRADE IN'!$F414))</f>
        <v>2099</v>
      </c>
      <c r="AM414" s="45"/>
      <c r="AN414" s="45"/>
      <c r="AO414" s="45"/>
      <c r="AP414" s="45"/>
      <c r="AQ414" s="45"/>
      <c r="AR414" s="45"/>
      <c r="AS414" s="45"/>
      <c r="AT414" s="45"/>
      <c r="AU414" s="45"/>
      <c r="AV414" s="47"/>
      <c r="AW414" s="48" t="str">
        <f>REV!AW414</f>
        <v>01.12.2026</v>
      </c>
      <c r="AX414" s="153" t="str">
        <f>VLOOKUP(C414,REV!C:AX,48,0)</f>
        <v>5G</v>
      </c>
    </row>
    <row r="415" spans="1:50" ht="22.5" customHeight="1">
      <c r="A415" s="41" t="s">
        <v>63</v>
      </c>
      <c r="B415" s="42" t="s">
        <v>64</v>
      </c>
      <c r="C415" s="43">
        <v>4016858</v>
      </c>
      <c r="D415" s="58" t="s">
        <v>607</v>
      </c>
      <c r="E415" s="58" t="s">
        <v>610</v>
      </c>
      <c r="F415" s="45">
        <v>700</v>
      </c>
      <c r="G415" s="45"/>
      <c r="H415" s="45"/>
      <c r="I415" s="45"/>
      <c r="J415" s="46">
        <f>IF(VLOOKUP($C415,REV!$C:$AA,8,0)-'TRADE IN'!$F415=0,"",(VLOOKUP($C415,REV!$C:$AA,8,0)-'TRADE IN'!$F415))</f>
        <v>3799</v>
      </c>
      <c r="K415" s="46">
        <f>IF(VLOOKUP($C415,REV!$C:$AA,9,0)-'TRADE IN'!$F415=0,"",(VLOOKUP($C415,REV!$C:$AA,9,0)-'TRADE IN'!$F415))</f>
        <v>3799</v>
      </c>
      <c r="L415" s="46">
        <f>IF(VLOOKUP($C415,REV!$C:$AA,10,0)-'TRADE IN'!$F415=0,"",(VLOOKUP($C415,REV!$C:$AA,10,0)-'TRADE IN'!$F415))</f>
        <v>3799</v>
      </c>
      <c r="M415" s="46">
        <f>IF(VLOOKUP($C415,REV!$C:$AA,11,0)-'TRADE IN'!$F415=0,"",(VLOOKUP($C415,REV!$C:$AA,11,0)-'TRADE IN'!$F415))</f>
        <v>3799</v>
      </c>
      <c r="N415" s="46">
        <f>IF(VLOOKUP($C415,REV!$C:$AA,12,0)-'TRADE IN'!$F415=0,"",(VLOOKUP($C415,REV!$C:$AA,12,0)-'TRADE IN'!$F415))</f>
        <v>3799</v>
      </c>
      <c r="O415" s="46">
        <f>IF(VLOOKUP($C415,REV!$C:$AA,13,0)-'TRADE IN'!$F415=0,"",(VLOOKUP($C415,REV!$C:$AA,13,0)-'TRADE IN'!$F415))</f>
        <v>3699</v>
      </c>
      <c r="P415" s="46">
        <f>IF(VLOOKUP($C415,REV!$C:$AA,14,0)-'TRADE IN'!$F415=0,"",(VLOOKUP($C415,REV!$C:$AA,14,0)-'TRADE IN'!$F415))</f>
        <v>3599</v>
      </c>
      <c r="Q415" s="46">
        <f>IF(VLOOKUP($C415,REV!$C:$AA,15,0)-'TRADE IN'!$F415=0,"",(VLOOKUP($C415,REV!$C:$AA,15,0)-'TRADE IN'!$F415))</f>
        <v>2599</v>
      </c>
      <c r="R415" s="46">
        <f>IF(VLOOKUP($C415,REV!$C:$AA,16,0)-'TRADE IN'!$F415=0,"",(VLOOKUP($C415,REV!$C:$AA,16,0)-'TRADE IN'!$F415))</f>
        <v>3699</v>
      </c>
      <c r="S415" s="46">
        <f>IF(VLOOKUP($C415,REV!$C:$AA,17,0)-'TRADE IN'!$F415=0,"",(VLOOKUP($C415,REV!$C:$AA,17,0)-'TRADE IN'!$F415))</f>
        <v>3599</v>
      </c>
      <c r="T415" s="46">
        <f>IF(VLOOKUP($C415,REV!$C:$AA,18,0)-'TRADE IN'!$F415=0,"",(VLOOKUP($C415,REV!$C:$AA,18,0)-'TRADE IN'!$F415))</f>
        <v>2599</v>
      </c>
      <c r="U415" s="46">
        <f>IF(VLOOKUP($C415,REV!$C:$AA,19,0)-'TRADE IN'!$F415=0,"",(VLOOKUP($C415,REV!$C:$AA,19,0)-'TRADE IN'!$F415))</f>
        <v>2599</v>
      </c>
      <c r="V415" s="46">
        <f>IF(VLOOKUP($C415,REV!$C:$AA,20,0)-'TRADE IN'!$F415=0,"",(VLOOKUP($C415,REV!$C:$AA,20,0)-'TRADE IN'!$F415))</f>
        <v>2599</v>
      </c>
      <c r="W415" s="46">
        <f>IF(VLOOKUP($C415,REV!$C:$AA,21,0)-'TRADE IN'!$F415=0,"",(VLOOKUP($C415,REV!$C:$AA,21,0)-'TRADE IN'!$F415))</f>
        <v>2599</v>
      </c>
      <c r="X415" s="46">
        <f>IF(VLOOKUP($C415,REV!$C:$AA,22,0)-'TRADE IN'!$F415=0,"",(VLOOKUP($C415,REV!$C:$AA,22,0)-'TRADE IN'!$F415))</f>
        <v>2499</v>
      </c>
      <c r="Y415" s="46">
        <f>IF(VLOOKUP($C415,REV!$C:$AA,23,0)-'TRADE IN'!$F415=0,"",(VLOOKUP($C415,REV!$C:$AA,23,0)-'TRADE IN'!$F415))</f>
        <v>2099</v>
      </c>
      <c r="Z415" s="46">
        <f>IF(VLOOKUP($C415,REV!$C:$AA,24,0)-'TRADE IN'!$F415=0,"",(VLOOKUP($C415,REV!$C:$AA,24,0)-'TRADE IN'!$F415))</f>
        <v>2099</v>
      </c>
      <c r="AA415" s="46">
        <f>IF(VLOOKUP($C415,REV!$C:$AA,25,0)-'TRADE IN'!$F415=0,"",(VLOOKUP($C415,REV!$C:$AA,25,0)-'TRADE IN'!$F415))</f>
        <v>1899</v>
      </c>
      <c r="AB415" s="45">
        <f>IF(VLOOKUP($C415,REV!$C:$AL,27,0)-'TRADE IN'!$F415=0,"",(VLOOKUP($C415,REV!$C:$AL,27,0)-'TRADE IN'!$F415))</f>
        <v>3799</v>
      </c>
      <c r="AC415" s="45">
        <f>IF(VLOOKUP($C415,REV!$C:$AL,28,0)-'TRADE IN'!$F415=0,"",(VLOOKUP($C415,REV!$C:$AL,28,0)-'TRADE IN'!$F415))</f>
        <v>3799</v>
      </c>
      <c r="AD415" s="45">
        <f>IF(VLOOKUP($C415,REV!$C:$AL,29,0)-'TRADE IN'!$F415=0,"",(VLOOKUP($C415,REV!$C:$AL,29,0)-'TRADE IN'!$F415))</f>
        <v>3699</v>
      </c>
      <c r="AE415" s="45">
        <f>IF(VLOOKUP($C415,REV!$C:$AL,30,0)-'TRADE IN'!$F415=0,"",(VLOOKUP($C415,REV!$C:$AL,30,0)-'TRADE IN'!$F415))</f>
        <v>3599</v>
      </c>
      <c r="AF415" s="45">
        <f>IF(VLOOKUP($C415,REV!$C:$AL,31,0)-'TRADE IN'!$F415=0,"",(VLOOKUP($C415,REV!$C:$AL,31,0)-'TRADE IN'!$F415))</f>
        <v>3599</v>
      </c>
      <c r="AG415" s="45">
        <f>IF(VLOOKUP($C415,REV!$C:$AL,31,0)-'TRADE IN'!$F415=0,"",(VLOOKUP($C415,REV!$C:$AL,31,0)-'TRADE IN'!$F415))</f>
        <v>3599</v>
      </c>
      <c r="AH415" s="45">
        <f>IF(VLOOKUP($C415,REV!$C:$AL,32,0)-'TRADE IN'!$F415=0,"",(VLOOKUP($C415,REV!$C:$AL,32,0)-'TRADE IN'!$F415))</f>
        <v>2599</v>
      </c>
      <c r="AI415" s="45">
        <f>IF(VLOOKUP($C415,REV!$C:$AL,33,0)-'TRADE IN'!$F415=0,"",(VLOOKUP($C415,REV!$C:$AL,33,0)-'TRADE IN'!$F415))</f>
        <v>2599</v>
      </c>
      <c r="AJ415" s="45">
        <f>IF(VLOOKUP($C415,REV!$C:$AL,34,0)-'TRADE IN'!$F415=0,"",(VLOOKUP($C415,REV!$C:$AL,34,0)-'TRADE IN'!$F415))</f>
        <v>2599</v>
      </c>
      <c r="AK415" s="45">
        <f>IF(VLOOKUP($C415,REV!$C:$AL,35,0)-'TRADE IN'!$F415=0,"",(VLOOKUP($C415,REV!$C:$AL,35,0)-'TRADE IN'!$F415))</f>
        <v>2599</v>
      </c>
      <c r="AL415" s="45">
        <f>IF(VLOOKUP($C415,REV!$C:$AL,36,0)-'TRADE IN'!$F415=0,"",(VLOOKUP($C415,REV!$C:$AL,36,0)-'TRADE IN'!$F415))</f>
        <v>2099</v>
      </c>
      <c r="AM415" s="45"/>
      <c r="AN415" s="45"/>
      <c r="AO415" s="45"/>
      <c r="AP415" s="45"/>
      <c r="AQ415" s="45"/>
      <c r="AR415" s="45"/>
      <c r="AS415" s="45"/>
      <c r="AT415" s="45"/>
      <c r="AU415" s="45"/>
      <c r="AV415" s="47"/>
      <c r="AW415" s="48" t="str">
        <f>REV!AW415</f>
        <v>01.12.2026</v>
      </c>
      <c r="AX415" s="153" t="str">
        <f>VLOOKUP(C415,REV!C:AX,48,0)</f>
        <v>5G</v>
      </c>
    </row>
    <row r="416" spans="1:50" ht="22.5" customHeight="1">
      <c r="A416" s="41" t="s">
        <v>63</v>
      </c>
      <c r="B416" s="42" t="s">
        <v>64</v>
      </c>
      <c r="C416" s="43">
        <v>4016863</v>
      </c>
      <c r="D416" s="58" t="s">
        <v>607</v>
      </c>
      <c r="E416" s="58" t="s">
        <v>611</v>
      </c>
      <c r="F416" s="45">
        <v>700</v>
      </c>
      <c r="G416" s="45"/>
      <c r="H416" s="45"/>
      <c r="I416" s="45"/>
      <c r="J416" s="46">
        <f>IF(VLOOKUP($C416,REV!$C:$AA,8,0)-'TRADE IN'!$F416=0,"",(VLOOKUP($C416,REV!$C:$AA,8,0)-'TRADE IN'!$F416))</f>
        <v>3799</v>
      </c>
      <c r="K416" s="46">
        <f>IF(VLOOKUP($C416,REV!$C:$AA,9,0)-'TRADE IN'!$F416=0,"",(VLOOKUP($C416,REV!$C:$AA,9,0)-'TRADE IN'!$F416))</f>
        <v>3799</v>
      </c>
      <c r="L416" s="46">
        <f>IF(VLOOKUP($C416,REV!$C:$AA,10,0)-'TRADE IN'!$F416=0,"",(VLOOKUP($C416,REV!$C:$AA,10,0)-'TRADE IN'!$F416))</f>
        <v>3799</v>
      </c>
      <c r="M416" s="46">
        <f>IF(VLOOKUP($C416,REV!$C:$AA,11,0)-'TRADE IN'!$F416=0,"",(VLOOKUP($C416,REV!$C:$AA,11,0)-'TRADE IN'!$F416))</f>
        <v>3799</v>
      </c>
      <c r="N416" s="46">
        <f>IF(VLOOKUP($C416,REV!$C:$AA,12,0)-'TRADE IN'!$F416=0,"",(VLOOKUP($C416,REV!$C:$AA,12,0)-'TRADE IN'!$F416))</f>
        <v>3799</v>
      </c>
      <c r="O416" s="46">
        <f>IF(VLOOKUP($C416,REV!$C:$AA,13,0)-'TRADE IN'!$F416=0,"",(VLOOKUP($C416,REV!$C:$AA,13,0)-'TRADE IN'!$F416))</f>
        <v>3699</v>
      </c>
      <c r="P416" s="46">
        <f>IF(VLOOKUP($C416,REV!$C:$AA,14,0)-'TRADE IN'!$F416=0,"",(VLOOKUP($C416,REV!$C:$AA,14,0)-'TRADE IN'!$F416))</f>
        <v>3599</v>
      </c>
      <c r="Q416" s="46">
        <f>IF(VLOOKUP($C416,REV!$C:$AA,15,0)-'TRADE IN'!$F416=0,"",(VLOOKUP($C416,REV!$C:$AA,15,0)-'TRADE IN'!$F416))</f>
        <v>2599</v>
      </c>
      <c r="R416" s="46">
        <f>IF(VLOOKUP($C416,REV!$C:$AA,16,0)-'TRADE IN'!$F416=0,"",(VLOOKUP($C416,REV!$C:$AA,16,0)-'TRADE IN'!$F416))</f>
        <v>3699</v>
      </c>
      <c r="S416" s="46">
        <f>IF(VLOOKUP($C416,REV!$C:$AA,17,0)-'TRADE IN'!$F416=0,"",(VLOOKUP($C416,REV!$C:$AA,17,0)-'TRADE IN'!$F416))</f>
        <v>3599</v>
      </c>
      <c r="T416" s="46">
        <f>IF(VLOOKUP($C416,REV!$C:$AA,18,0)-'TRADE IN'!$F416=0,"",(VLOOKUP($C416,REV!$C:$AA,18,0)-'TRADE IN'!$F416))</f>
        <v>2599</v>
      </c>
      <c r="U416" s="46">
        <f>IF(VLOOKUP($C416,REV!$C:$AA,19,0)-'TRADE IN'!$F416=0,"",(VLOOKUP($C416,REV!$C:$AA,19,0)-'TRADE IN'!$F416))</f>
        <v>2599</v>
      </c>
      <c r="V416" s="46">
        <f>IF(VLOOKUP($C416,REV!$C:$AA,20,0)-'TRADE IN'!$F416=0,"",(VLOOKUP($C416,REV!$C:$AA,20,0)-'TRADE IN'!$F416))</f>
        <v>2599</v>
      </c>
      <c r="W416" s="46">
        <f>IF(VLOOKUP($C416,REV!$C:$AA,21,0)-'TRADE IN'!$F416=0,"",(VLOOKUP($C416,REV!$C:$AA,21,0)-'TRADE IN'!$F416))</f>
        <v>2599</v>
      </c>
      <c r="X416" s="46">
        <f>IF(VLOOKUP($C416,REV!$C:$AA,22,0)-'TRADE IN'!$F416=0,"",(VLOOKUP($C416,REV!$C:$AA,22,0)-'TRADE IN'!$F416))</f>
        <v>2499</v>
      </c>
      <c r="Y416" s="46">
        <f>IF(VLOOKUP($C416,REV!$C:$AA,23,0)-'TRADE IN'!$F416=0,"",(VLOOKUP($C416,REV!$C:$AA,23,0)-'TRADE IN'!$F416))</f>
        <v>2099</v>
      </c>
      <c r="Z416" s="46">
        <f>IF(VLOOKUP($C416,REV!$C:$AA,24,0)-'TRADE IN'!$F416=0,"",(VLOOKUP($C416,REV!$C:$AA,24,0)-'TRADE IN'!$F416))</f>
        <v>2099</v>
      </c>
      <c r="AA416" s="46">
        <f>IF(VLOOKUP($C416,REV!$C:$AA,25,0)-'TRADE IN'!$F416=0,"",(VLOOKUP($C416,REV!$C:$AA,25,0)-'TRADE IN'!$F416))</f>
        <v>1899</v>
      </c>
      <c r="AB416" s="45">
        <f>IF(VLOOKUP($C416,REV!$C:$AL,27,0)-'TRADE IN'!$F416=0,"",(VLOOKUP($C416,REV!$C:$AL,27,0)-'TRADE IN'!$F416))</f>
        <v>3799</v>
      </c>
      <c r="AC416" s="45">
        <f>IF(VLOOKUP($C416,REV!$C:$AL,28,0)-'TRADE IN'!$F416=0,"",(VLOOKUP($C416,REV!$C:$AL,28,0)-'TRADE IN'!$F416))</f>
        <v>3799</v>
      </c>
      <c r="AD416" s="45">
        <f>IF(VLOOKUP($C416,REV!$C:$AL,29,0)-'TRADE IN'!$F416=0,"",(VLOOKUP($C416,REV!$C:$AL,29,0)-'TRADE IN'!$F416))</f>
        <v>3699</v>
      </c>
      <c r="AE416" s="45">
        <f>IF(VLOOKUP($C416,REV!$C:$AL,30,0)-'TRADE IN'!$F416=0,"",(VLOOKUP($C416,REV!$C:$AL,30,0)-'TRADE IN'!$F416))</f>
        <v>3599</v>
      </c>
      <c r="AF416" s="45">
        <f>IF(VLOOKUP($C416,REV!$C:$AL,31,0)-'TRADE IN'!$F416=0,"",(VLOOKUP($C416,REV!$C:$AL,31,0)-'TRADE IN'!$F416))</f>
        <v>3599</v>
      </c>
      <c r="AG416" s="45">
        <f>IF(VLOOKUP($C416,REV!$C:$AL,31,0)-'TRADE IN'!$F416=0,"",(VLOOKUP($C416,REV!$C:$AL,31,0)-'TRADE IN'!$F416))</f>
        <v>3599</v>
      </c>
      <c r="AH416" s="45">
        <f>IF(VLOOKUP($C416,REV!$C:$AL,32,0)-'TRADE IN'!$F416=0,"",(VLOOKUP($C416,REV!$C:$AL,32,0)-'TRADE IN'!$F416))</f>
        <v>2599</v>
      </c>
      <c r="AI416" s="45">
        <f>IF(VLOOKUP($C416,REV!$C:$AL,33,0)-'TRADE IN'!$F416=0,"",(VLOOKUP($C416,REV!$C:$AL,33,0)-'TRADE IN'!$F416))</f>
        <v>2599</v>
      </c>
      <c r="AJ416" s="45">
        <f>IF(VLOOKUP($C416,REV!$C:$AL,34,0)-'TRADE IN'!$F416=0,"",(VLOOKUP($C416,REV!$C:$AL,34,0)-'TRADE IN'!$F416))</f>
        <v>2599</v>
      </c>
      <c r="AK416" s="45">
        <f>IF(VLOOKUP($C416,REV!$C:$AL,35,0)-'TRADE IN'!$F416=0,"",(VLOOKUP($C416,REV!$C:$AL,35,0)-'TRADE IN'!$F416))</f>
        <v>2599</v>
      </c>
      <c r="AL416" s="45">
        <f>IF(VLOOKUP($C416,REV!$C:$AL,36,0)-'TRADE IN'!$F416=0,"",(VLOOKUP($C416,REV!$C:$AL,36,0)-'TRADE IN'!$F416))</f>
        <v>2099</v>
      </c>
      <c r="AM416" s="45"/>
      <c r="AN416" s="45"/>
      <c r="AO416" s="45"/>
      <c r="AP416" s="45"/>
      <c r="AQ416" s="45"/>
      <c r="AR416" s="45"/>
      <c r="AS416" s="45"/>
      <c r="AT416" s="45"/>
      <c r="AU416" s="45"/>
      <c r="AV416" s="47"/>
      <c r="AW416" s="48" t="str">
        <f>REV!AW416</f>
        <v>01.12.2026</v>
      </c>
      <c r="AX416" s="153" t="str">
        <f>VLOOKUP(C416,REV!C:AX,48,0)</f>
        <v>5G</v>
      </c>
    </row>
    <row r="417" spans="1:50" ht="22.5" customHeight="1">
      <c r="A417" s="41" t="s">
        <v>63</v>
      </c>
      <c r="B417" s="42" t="s">
        <v>64</v>
      </c>
      <c r="C417" s="43">
        <v>4016886</v>
      </c>
      <c r="D417" s="58" t="s">
        <v>607</v>
      </c>
      <c r="E417" s="58" t="s">
        <v>612</v>
      </c>
      <c r="F417" s="45">
        <v>700</v>
      </c>
      <c r="G417" s="45"/>
      <c r="H417" s="45"/>
      <c r="I417" s="45"/>
      <c r="J417" s="46">
        <f>IF(VLOOKUP($C417,REV!$C:$AA,8,0)-'TRADE IN'!$F417=0,"",(VLOOKUP($C417,REV!$C:$AA,8,0)-'TRADE IN'!$F417))</f>
        <v>3799</v>
      </c>
      <c r="K417" s="46">
        <f>IF(VLOOKUP($C417,REV!$C:$AA,9,0)-'TRADE IN'!$F417=0,"",(VLOOKUP($C417,REV!$C:$AA,9,0)-'TRADE IN'!$F417))</f>
        <v>3799</v>
      </c>
      <c r="L417" s="46">
        <f>IF(VLOOKUP($C417,REV!$C:$AA,10,0)-'TRADE IN'!$F417=0,"",(VLOOKUP($C417,REV!$C:$AA,10,0)-'TRADE IN'!$F417))</f>
        <v>3799</v>
      </c>
      <c r="M417" s="46">
        <f>IF(VLOOKUP($C417,REV!$C:$AA,11,0)-'TRADE IN'!$F417=0,"",(VLOOKUP($C417,REV!$C:$AA,11,0)-'TRADE IN'!$F417))</f>
        <v>3799</v>
      </c>
      <c r="N417" s="46">
        <f>IF(VLOOKUP($C417,REV!$C:$AA,12,0)-'TRADE IN'!$F417=0,"",(VLOOKUP($C417,REV!$C:$AA,12,0)-'TRADE IN'!$F417))</f>
        <v>3799</v>
      </c>
      <c r="O417" s="46">
        <f>IF(VLOOKUP($C417,REV!$C:$AA,13,0)-'TRADE IN'!$F417=0,"",(VLOOKUP($C417,REV!$C:$AA,13,0)-'TRADE IN'!$F417))</f>
        <v>3699</v>
      </c>
      <c r="P417" s="46">
        <f>IF(VLOOKUP($C417,REV!$C:$AA,14,0)-'TRADE IN'!$F417=0,"",(VLOOKUP($C417,REV!$C:$AA,14,0)-'TRADE IN'!$F417))</f>
        <v>3599</v>
      </c>
      <c r="Q417" s="46">
        <f>IF(VLOOKUP($C417,REV!$C:$AA,15,0)-'TRADE IN'!$F417=0,"",(VLOOKUP($C417,REV!$C:$AA,15,0)-'TRADE IN'!$F417))</f>
        <v>2599</v>
      </c>
      <c r="R417" s="46">
        <f>IF(VLOOKUP($C417,REV!$C:$AA,16,0)-'TRADE IN'!$F417=0,"",(VLOOKUP($C417,REV!$C:$AA,16,0)-'TRADE IN'!$F417))</f>
        <v>3699</v>
      </c>
      <c r="S417" s="46">
        <f>IF(VLOOKUP($C417,REV!$C:$AA,17,0)-'TRADE IN'!$F417=0,"",(VLOOKUP($C417,REV!$C:$AA,17,0)-'TRADE IN'!$F417))</f>
        <v>3599</v>
      </c>
      <c r="T417" s="46">
        <f>IF(VLOOKUP($C417,REV!$C:$AA,18,0)-'TRADE IN'!$F417=0,"",(VLOOKUP($C417,REV!$C:$AA,18,0)-'TRADE IN'!$F417))</f>
        <v>2599</v>
      </c>
      <c r="U417" s="46">
        <f>IF(VLOOKUP($C417,REV!$C:$AA,19,0)-'TRADE IN'!$F417=0,"",(VLOOKUP($C417,REV!$C:$AA,19,0)-'TRADE IN'!$F417))</f>
        <v>2599</v>
      </c>
      <c r="V417" s="46">
        <f>IF(VLOOKUP($C417,REV!$C:$AA,20,0)-'TRADE IN'!$F417=0,"",(VLOOKUP($C417,REV!$C:$AA,20,0)-'TRADE IN'!$F417))</f>
        <v>2599</v>
      </c>
      <c r="W417" s="46">
        <f>IF(VLOOKUP($C417,REV!$C:$AA,21,0)-'TRADE IN'!$F417=0,"",(VLOOKUP($C417,REV!$C:$AA,21,0)-'TRADE IN'!$F417))</f>
        <v>2599</v>
      </c>
      <c r="X417" s="46">
        <f>IF(VLOOKUP($C417,REV!$C:$AA,22,0)-'TRADE IN'!$F417=0,"",(VLOOKUP($C417,REV!$C:$AA,22,0)-'TRADE IN'!$F417))</f>
        <v>2499</v>
      </c>
      <c r="Y417" s="46">
        <f>IF(VLOOKUP($C417,REV!$C:$AA,23,0)-'TRADE IN'!$F417=0,"",(VLOOKUP($C417,REV!$C:$AA,23,0)-'TRADE IN'!$F417))</f>
        <v>2099</v>
      </c>
      <c r="Z417" s="46">
        <f>IF(VLOOKUP($C417,REV!$C:$AA,24,0)-'TRADE IN'!$F417=0,"",(VLOOKUP($C417,REV!$C:$AA,24,0)-'TRADE IN'!$F417))</f>
        <v>2099</v>
      </c>
      <c r="AA417" s="46">
        <f>IF(VLOOKUP($C417,REV!$C:$AA,25,0)-'TRADE IN'!$F417=0,"",(VLOOKUP($C417,REV!$C:$AA,25,0)-'TRADE IN'!$F417))</f>
        <v>1899</v>
      </c>
      <c r="AB417" s="45">
        <f>IF(VLOOKUP($C417,REV!$C:$AL,27,0)-'TRADE IN'!$F417=0,"",(VLOOKUP($C417,REV!$C:$AL,27,0)-'TRADE IN'!$F417))</f>
        <v>3799</v>
      </c>
      <c r="AC417" s="45">
        <f>IF(VLOOKUP($C417,REV!$C:$AL,28,0)-'TRADE IN'!$F417=0,"",(VLOOKUP($C417,REV!$C:$AL,28,0)-'TRADE IN'!$F417))</f>
        <v>3799</v>
      </c>
      <c r="AD417" s="45">
        <f>IF(VLOOKUP($C417,REV!$C:$AL,29,0)-'TRADE IN'!$F417=0,"",(VLOOKUP($C417,REV!$C:$AL,29,0)-'TRADE IN'!$F417))</f>
        <v>3699</v>
      </c>
      <c r="AE417" s="45">
        <f>IF(VLOOKUP($C417,REV!$C:$AL,30,0)-'TRADE IN'!$F417=0,"",(VLOOKUP($C417,REV!$C:$AL,30,0)-'TRADE IN'!$F417))</f>
        <v>3599</v>
      </c>
      <c r="AF417" s="45">
        <f>IF(VLOOKUP($C417,REV!$C:$AL,31,0)-'TRADE IN'!$F417=0,"",(VLOOKUP($C417,REV!$C:$AL,31,0)-'TRADE IN'!$F417))</f>
        <v>3599</v>
      </c>
      <c r="AG417" s="45">
        <f>IF(VLOOKUP($C417,REV!$C:$AL,31,0)-'TRADE IN'!$F417=0,"",(VLOOKUP($C417,REV!$C:$AL,31,0)-'TRADE IN'!$F417))</f>
        <v>3599</v>
      </c>
      <c r="AH417" s="45">
        <f>IF(VLOOKUP($C417,REV!$C:$AL,32,0)-'TRADE IN'!$F417=0,"",(VLOOKUP($C417,REV!$C:$AL,32,0)-'TRADE IN'!$F417))</f>
        <v>2599</v>
      </c>
      <c r="AI417" s="45">
        <f>IF(VLOOKUP($C417,REV!$C:$AL,33,0)-'TRADE IN'!$F417=0,"",(VLOOKUP($C417,REV!$C:$AL,33,0)-'TRADE IN'!$F417))</f>
        <v>2599</v>
      </c>
      <c r="AJ417" s="45">
        <f>IF(VLOOKUP($C417,REV!$C:$AL,34,0)-'TRADE IN'!$F417=0,"",(VLOOKUP($C417,REV!$C:$AL,34,0)-'TRADE IN'!$F417))</f>
        <v>2599</v>
      </c>
      <c r="AK417" s="45">
        <f>IF(VLOOKUP($C417,REV!$C:$AL,35,0)-'TRADE IN'!$F417=0,"",(VLOOKUP($C417,REV!$C:$AL,35,0)-'TRADE IN'!$F417))</f>
        <v>2599</v>
      </c>
      <c r="AL417" s="45">
        <f>IF(VLOOKUP($C417,REV!$C:$AL,36,0)-'TRADE IN'!$F417=0,"",(VLOOKUP($C417,REV!$C:$AL,36,0)-'TRADE IN'!$F417))</f>
        <v>2099</v>
      </c>
      <c r="AM417" s="45"/>
      <c r="AN417" s="45"/>
      <c r="AO417" s="45"/>
      <c r="AP417" s="45"/>
      <c r="AQ417" s="45"/>
      <c r="AR417" s="45"/>
      <c r="AS417" s="45"/>
      <c r="AT417" s="45"/>
      <c r="AU417" s="45"/>
      <c r="AV417" s="47"/>
      <c r="AW417" s="48" t="str">
        <f>REV!AW417</f>
        <v>01.12.2026</v>
      </c>
      <c r="AX417" s="153" t="str">
        <f>VLOOKUP(C417,REV!C:AX,48,0)</f>
        <v>5G</v>
      </c>
    </row>
    <row r="418" spans="1:50" ht="22.5" customHeight="1">
      <c r="A418" s="41" t="s">
        <v>63</v>
      </c>
      <c r="B418" s="42" t="s">
        <v>64</v>
      </c>
      <c r="C418" s="43">
        <v>4016901</v>
      </c>
      <c r="D418" s="58" t="s">
        <v>607</v>
      </c>
      <c r="E418" s="58" t="s">
        <v>613</v>
      </c>
      <c r="F418" s="45">
        <v>700</v>
      </c>
      <c r="G418" s="45"/>
      <c r="H418" s="45"/>
      <c r="I418" s="45"/>
      <c r="J418" s="46">
        <f>IF(VLOOKUP($C418,REV!$C:$AA,8,0)-'TRADE IN'!$F418=0,"",(VLOOKUP($C418,REV!$C:$AA,8,0)-'TRADE IN'!$F418))</f>
        <v>3799</v>
      </c>
      <c r="K418" s="46">
        <f>IF(VLOOKUP($C418,REV!$C:$AA,9,0)-'TRADE IN'!$F418=0,"",(VLOOKUP($C418,REV!$C:$AA,9,0)-'TRADE IN'!$F418))</f>
        <v>3799</v>
      </c>
      <c r="L418" s="46">
        <f>IF(VLOOKUP($C418,REV!$C:$AA,10,0)-'TRADE IN'!$F418=0,"",(VLOOKUP($C418,REV!$C:$AA,10,0)-'TRADE IN'!$F418))</f>
        <v>3799</v>
      </c>
      <c r="M418" s="46">
        <f>IF(VLOOKUP($C418,REV!$C:$AA,11,0)-'TRADE IN'!$F418=0,"",(VLOOKUP($C418,REV!$C:$AA,11,0)-'TRADE IN'!$F418))</f>
        <v>3799</v>
      </c>
      <c r="N418" s="46">
        <f>IF(VLOOKUP($C418,REV!$C:$AA,12,0)-'TRADE IN'!$F418=0,"",(VLOOKUP($C418,REV!$C:$AA,12,0)-'TRADE IN'!$F418))</f>
        <v>3799</v>
      </c>
      <c r="O418" s="46">
        <f>IF(VLOOKUP($C418,REV!$C:$AA,13,0)-'TRADE IN'!$F418=0,"",(VLOOKUP($C418,REV!$C:$AA,13,0)-'TRADE IN'!$F418))</f>
        <v>3699</v>
      </c>
      <c r="P418" s="46">
        <f>IF(VLOOKUP($C418,REV!$C:$AA,14,0)-'TRADE IN'!$F418=0,"",(VLOOKUP($C418,REV!$C:$AA,14,0)-'TRADE IN'!$F418))</f>
        <v>3599</v>
      </c>
      <c r="Q418" s="46">
        <f>IF(VLOOKUP($C418,REV!$C:$AA,15,0)-'TRADE IN'!$F418=0,"",(VLOOKUP($C418,REV!$C:$AA,15,0)-'TRADE IN'!$F418))</f>
        <v>2599</v>
      </c>
      <c r="R418" s="46">
        <f>IF(VLOOKUP($C418,REV!$C:$AA,16,0)-'TRADE IN'!$F418=0,"",(VLOOKUP($C418,REV!$C:$AA,16,0)-'TRADE IN'!$F418))</f>
        <v>3699</v>
      </c>
      <c r="S418" s="46">
        <f>IF(VLOOKUP($C418,REV!$C:$AA,17,0)-'TRADE IN'!$F418=0,"",(VLOOKUP($C418,REV!$C:$AA,17,0)-'TRADE IN'!$F418))</f>
        <v>3599</v>
      </c>
      <c r="T418" s="46">
        <f>IF(VLOOKUP($C418,REV!$C:$AA,18,0)-'TRADE IN'!$F418=0,"",(VLOOKUP($C418,REV!$C:$AA,18,0)-'TRADE IN'!$F418))</f>
        <v>2599</v>
      </c>
      <c r="U418" s="46">
        <f>IF(VLOOKUP($C418,REV!$C:$AA,19,0)-'TRADE IN'!$F418=0,"",(VLOOKUP($C418,REV!$C:$AA,19,0)-'TRADE IN'!$F418))</f>
        <v>2599</v>
      </c>
      <c r="V418" s="46">
        <f>IF(VLOOKUP($C418,REV!$C:$AA,20,0)-'TRADE IN'!$F418=0,"",(VLOOKUP($C418,REV!$C:$AA,20,0)-'TRADE IN'!$F418))</f>
        <v>2599</v>
      </c>
      <c r="W418" s="46">
        <f>IF(VLOOKUP($C418,REV!$C:$AA,21,0)-'TRADE IN'!$F418=0,"",(VLOOKUP($C418,REV!$C:$AA,21,0)-'TRADE IN'!$F418))</f>
        <v>2599</v>
      </c>
      <c r="X418" s="46">
        <f>IF(VLOOKUP($C418,REV!$C:$AA,22,0)-'TRADE IN'!$F418=0,"",(VLOOKUP($C418,REV!$C:$AA,22,0)-'TRADE IN'!$F418))</f>
        <v>2499</v>
      </c>
      <c r="Y418" s="46">
        <f>IF(VLOOKUP($C418,REV!$C:$AA,23,0)-'TRADE IN'!$F418=0,"",(VLOOKUP($C418,REV!$C:$AA,23,0)-'TRADE IN'!$F418))</f>
        <v>2099</v>
      </c>
      <c r="Z418" s="46">
        <f>IF(VLOOKUP($C418,REV!$C:$AA,24,0)-'TRADE IN'!$F418=0,"",(VLOOKUP($C418,REV!$C:$AA,24,0)-'TRADE IN'!$F418))</f>
        <v>2099</v>
      </c>
      <c r="AA418" s="46">
        <f>IF(VLOOKUP($C418,REV!$C:$AA,25,0)-'TRADE IN'!$F418=0,"",(VLOOKUP($C418,REV!$C:$AA,25,0)-'TRADE IN'!$F418))</f>
        <v>1899</v>
      </c>
      <c r="AB418" s="45">
        <f>IF(VLOOKUP($C418,REV!$C:$AL,27,0)-'TRADE IN'!$F418=0,"",(VLOOKUP($C418,REV!$C:$AL,27,0)-'TRADE IN'!$F418))</f>
        <v>3799</v>
      </c>
      <c r="AC418" s="45">
        <f>IF(VLOOKUP($C418,REV!$C:$AL,28,0)-'TRADE IN'!$F418=0,"",(VLOOKUP($C418,REV!$C:$AL,28,0)-'TRADE IN'!$F418))</f>
        <v>3799</v>
      </c>
      <c r="AD418" s="45">
        <f>IF(VLOOKUP($C418,REV!$C:$AL,29,0)-'TRADE IN'!$F418=0,"",(VLOOKUP($C418,REV!$C:$AL,29,0)-'TRADE IN'!$F418))</f>
        <v>3699</v>
      </c>
      <c r="AE418" s="45">
        <f>IF(VLOOKUP($C418,REV!$C:$AL,30,0)-'TRADE IN'!$F418=0,"",(VLOOKUP($C418,REV!$C:$AL,30,0)-'TRADE IN'!$F418))</f>
        <v>3599</v>
      </c>
      <c r="AF418" s="45">
        <f>IF(VLOOKUP($C418,REV!$C:$AL,31,0)-'TRADE IN'!$F418=0,"",(VLOOKUP($C418,REV!$C:$AL,31,0)-'TRADE IN'!$F418))</f>
        <v>3599</v>
      </c>
      <c r="AG418" s="45">
        <f>IF(VLOOKUP($C418,REV!$C:$AL,31,0)-'TRADE IN'!$F418=0,"",(VLOOKUP($C418,REV!$C:$AL,31,0)-'TRADE IN'!$F418))</f>
        <v>3599</v>
      </c>
      <c r="AH418" s="45">
        <f>IF(VLOOKUP($C418,REV!$C:$AL,32,0)-'TRADE IN'!$F418=0,"",(VLOOKUP($C418,REV!$C:$AL,32,0)-'TRADE IN'!$F418))</f>
        <v>2599</v>
      </c>
      <c r="AI418" s="45">
        <f>IF(VLOOKUP($C418,REV!$C:$AL,33,0)-'TRADE IN'!$F418=0,"",(VLOOKUP($C418,REV!$C:$AL,33,0)-'TRADE IN'!$F418))</f>
        <v>2599</v>
      </c>
      <c r="AJ418" s="45">
        <f>IF(VLOOKUP($C418,REV!$C:$AL,34,0)-'TRADE IN'!$F418=0,"",(VLOOKUP($C418,REV!$C:$AL,34,0)-'TRADE IN'!$F418))</f>
        <v>2599</v>
      </c>
      <c r="AK418" s="45">
        <f>IF(VLOOKUP($C418,REV!$C:$AL,35,0)-'TRADE IN'!$F418=0,"",(VLOOKUP($C418,REV!$C:$AL,35,0)-'TRADE IN'!$F418))</f>
        <v>2599</v>
      </c>
      <c r="AL418" s="45">
        <f>IF(VLOOKUP($C418,REV!$C:$AL,36,0)-'TRADE IN'!$F418=0,"",(VLOOKUP($C418,REV!$C:$AL,36,0)-'TRADE IN'!$F418))</f>
        <v>2099</v>
      </c>
      <c r="AM418" s="45"/>
      <c r="AN418" s="45"/>
      <c r="AO418" s="45"/>
      <c r="AP418" s="45"/>
      <c r="AQ418" s="45"/>
      <c r="AR418" s="45"/>
      <c r="AS418" s="45"/>
      <c r="AT418" s="45"/>
      <c r="AU418" s="45"/>
      <c r="AV418" s="47"/>
      <c r="AW418" s="48" t="str">
        <f>REV!AW418</f>
        <v>01.12.2026</v>
      </c>
      <c r="AX418" s="153" t="str">
        <f>VLOOKUP(C418,REV!C:AX,48,0)</f>
        <v>5G</v>
      </c>
    </row>
    <row r="419" spans="1:50" ht="22.5" customHeight="1">
      <c r="A419" s="41" t="s">
        <v>63</v>
      </c>
      <c r="B419" s="42" t="s">
        <v>64</v>
      </c>
      <c r="C419" s="43">
        <v>4016895</v>
      </c>
      <c r="D419" s="58" t="s">
        <v>607</v>
      </c>
      <c r="E419" s="58" t="s">
        <v>614</v>
      </c>
      <c r="F419" s="45">
        <v>700</v>
      </c>
      <c r="G419" s="45"/>
      <c r="H419" s="45"/>
      <c r="I419" s="45"/>
      <c r="J419" s="46">
        <f>IF(VLOOKUP($C419,REV!$C:$AA,8,0)-'TRADE IN'!$F419=0,"",(VLOOKUP($C419,REV!$C:$AA,8,0)-'TRADE IN'!$F419))</f>
        <v>3799</v>
      </c>
      <c r="K419" s="46">
        <f>IF(VLOOKUP($C419,REV!$C:$AA,9,0)-'TRADE IN'!$F419=0,"",(VLOOKUP($C419,REV!$C:$AA,9,0)-'TRADE IN'!$F419))</f>
        <v>3799</v>
      </c>
      <c r="L419" s="46">
        <f>IF(VLOOKUP($C419,REV!$C:$AA,10,0)-'TRADE IN'!$F419=0,"",(VLOOKUP($C419,REV!$C:$AA,10,0)-'TRADE IN'!$F419))</f>
        <v>3799</v>
      </c>
      <c r="M419" s="46">
        <f>IF(VLOOKUP($C419,REV!$C:$AA,11,0)-'TRADE IN'!$F419=0,"",(VLOOKUP($C419,REV!$C:$AA,11,0)-'TRADE IN'!$F419))</f>
        <v>3799</v>
      </c>
      <c r="N419" s="46">
        <f>IF(VLOOKUP($C419,REV!$C:$AA,12,0)-'TRADE IN'!$F419=0,"",(VLOOKUP($C419,REV!$C:$AA,12,0)-'TRADE IN'!$F419))</f>
        <v>3799</v>
      </c>
      <c r="O419" s="46">
        <f>IF(VLOOKUP($C419,REV!$C:$AA,13,0)-'TRADE IN'!$F419=0,"",(VLOOKUP($C419,REV!$C:$AA,13,0)-'TRADE IN'!$F419))</f>
        <v>3699</v>
      </c>
      <c r="P419" s="46">
        <f>IF(VLOOKUP($C419,REV!$C:$AA,14,0)-'TRADE IN'!$F419=0,"",(VLOOKUP($C419,REV!$C:$AA,14,0)-'TRADE IN'!$F419))</f>
        <v>3599</v>
      </c>
      <c r="Q419" s="46">
        <f>IF(VLOOKUP($C419,REV!$C:$AA,15,0)-'TRADE IN'!$F419=0,"",(VLOOKUP($C419,REV!$C:$AA,15,0)-'TRADE IN'!$F419))</f>
        <v>2599</v>
      </c>
      <c r="R419" s="46">
        <f>IF(VLOOKUP($C419,REV!$C:$AA,16,0)-'TRADE IN'!$F419=0,"",(VLOOKUP($C419,REV!$C:$AA,16,0)-'TRADE IN'!$F419))</f>
        <v>3699</v>
      </c>
      <c r="S419" s="46">
        <f>IF(VLOOKUP($C419,REV!$C:$AA,17,0)-'TRADE IN'!$F419=0,"",(VLOOKUP($C419,REV!$C:$AA,17,0)-'TRADE IN'!$F419))</f>
        <v>3599</v>
      </c>
      <c r="T419" s="46">
        <f>IF(VLOOKUP($C419,REV!$C:$AA,18,0)-'TRADE IN'!$F419=0,"",(VLOOKUP($C419,REV!$C:$AA,18,0)-'TRADE IN'!$F419))</f>
        <v>2599</v>
      </c>
      <c r="U419" s="46">
        <f>IF(VLOOKUP($C419,REV!$C:$AA,19,0)-'TRADE IN'!$F419=0,"",(VLOOKUP($C419,REV!$C:$AA,19,0)-'TRADE IN'!$F419))</f>
        <v>2599</v>
      </c>
      <c r="V419" s="46">
        <f>IF(VLOOKUP($C419,REV!$C:$AA,20,0)-'TRADE IN'!$F419=0,"",(VLOOKUP($C419,REV!$C:$AA,20,0)-'TRADE IN'!$F419))</f>
        <v>2599</v>
      </c>
      <c r="W419" s="46">
        <f>IF(VLOOKUP($C419,REV!$C:$AA,21,0)-'TRADE IN'!$F419=0,"",(VLOOKUP($C419,REV!$C:$AA,21,0)-'TRADE IN'!$F419))</f>
        <v>2599</v>
      </c>
      <c r="X419" s="46">
        <f>IF(VLOOKUP($C419,REV!$C:$AA,22,0)-'TRADE IN'!$F419=0,"",(VLOOKUP($C419,REV!$C:$AA,22,0)-'TRADE IN'!$F419))</f>
        <v>2499</v>
      </c>
      <c r="Y419" s="46">
        <f>IF(VLOOKUP($C419,REV!$C:$AA,23,0)-'TRADE IN'!$F419=0,"",(VLOOKUP($C419,REV!$C:$AA,23,0)-'TRADE IN'!$F419))</f>
        <v>2099</v>
      </c>
      <c r="Z419" s="46">
        <f>IF(VLOOKUP($C419,REV!$C:$AA,24,0)-'TRADE IN'!$F419=0,"",(VLOOKUP($C419,REV!$C:$AA,24,0)-'TRADE IN'!$F419))</f>
        <v>2099</v>
      </c>
      <c r="AA419" s="46">
        <f>IF(VLOOKUP($C419,REV!$C:$AA,25,0)-'TRADE IN'!$F419=0,"",(VLOOKUP($C419,REV!$C:$AA,25,0)-'TRADE IN'!$F419))</f>
        <v>1899</v>
      </c>
      <c r="AB419" s="45">
        <f>IF(VLOOKUP($C419,REV!$C:$AL,27,0)-'TRADE IN'!$F419=0,"",(VLOOKUP($C419,REV!$C:$AL,27,0)-'TRADE IN'!$F419))</f>
        <v>3799</v>
      </c>
      <c r="AC419" s="45">
        <f>IF(VLOOKUP($C419,REV!$C:$AL,28,0)-'TRADE IN'!$F419=0,"",(VLOOKUP($C419,REV!$C:$AL,28,0)-'TRADE IN'!$F419))</f>
        <v>3799</v>
      </c>
      <c r="AD419" s="45">
        <f>IF(VLOOKUP($C419,REV!$C:$AL,29,0)-'TRADE IN'!$F419=0,"",(VLOOKUP($C419,REV!$C:$AL,29,0)-'TRADE IN'!$F419))</f>
        <v>3699</v>
      </c>
      <c r="AE419" s="45">
        <f>IF(VLOOKUP($C419,REV!$C:$AL,30,0)-'TRADE IN'!$F419=0,"",(VLOOKUP($C419,REV!$C:$AL,30,0)-'TRADE IN'!$F419))</f>
        <v>3599</v>
      </c>
      <c r="AF419" s="45">
        <f>IF(VLOOKUP($C419,REV!$C:$AL,31,0)-'TRADE IN'!$F419=0,"",(VLOOKUP($C419,REV!$C:$AL,31,0)-'TRADE IN'!$F419))</f>
        <v>3599</v>
      </c>
      <c r="AG419" s="45">
        <f>IF(VLOOKUP($C419,REV!$C:$AL,31,0)-'TRADE IN'!$F419=0,"",(VLOOKUP($C419,REV!$C:$AL,31,0)-'TRADE IN'!$F419))</f>
        <v>3599</v>
      </c>
      <c r="AH419" s="45">
        <f>IF(VLOOKUP($C419,REV!$C:$AL,32,0)-'TRADE IN'!$F419=0,"",(VLOOKUP($C419,REV!$C:$AL,32,0)-'TRADE IN'!$F419))</f>
        <v>2599</v>
      </c>
      <c r="AI419" s="45">
        <f>IF(VLOOKUP($C419,REV!$C:$AL,33,0)-'TRADE IN'!$F419=0,"",(VLOOKUP($C419,REV!$C:$AL,33,0)-'TRADE IN'!$F419))</f>
        <v>2599</v>
      </c>
      <c r="AJ419" s="45">
        <f>IF(VLOOKUP($C419,REV!$C:$AL,34,0)-'TRADE IN'!$F419=0,"",(VLOOKUP($C419,REV!$C:$AL,34,0)-'TRADE IN'!$F419))</f>
        <v>2599</v>
      </c>
      <c r="AK419" s="45">
        <f>IF(VLOOKUP($C419,REV!$C:$AL,35,0)-'TRADE IN'!$F419=0,"",(VLOOKUP($C419,REV!$C:$AL,35,0)-'TRADE IN'!$F419))</f>
        <v>2599</v>
      </c>
      <c r="AL419" s="45">
        <f>IF(VLOOKUP($C419,REV!$C:$AL,36,0)-'TRADE IN'!$F419=0,"",(VLOOKUP($C419,REV!$C:$AL,36,0)-'TRADE IN'!$F419))</f>
        <v>2099</v>
      </c>
      <c r="AM419" s="45"/>
      <c r="AN419" s="45"/>
      <c r="AO419" s="45"/>
      <c r="AP419" s="45"/>
      <c r="AQ419" s="45"/>
      <c r="AR419" s="45"/>
      <c r="AS419" s="45"/>
      <c r="AT419" s="45"/>
      <c r="AU419" s="45"/>
      <c r="AV419" s="47"/>
      <c r="AW419" s="48" t="str">
        <f>REV!AW419</f>
        <v>01.12.2026</v>
      </c>
      <c r="AX419" s="153" t="str">
        <f>VLOOKUP(C419,REV!C:AX,48,0)</f>
        <v>5G</v>
      </c>
    </row>
    <row r="420" spans="1:50" ht="22.5" customHeight="1">
      <c r="A420" s="41" t="s">
        <v>63</v>
      </c>
      <c r="B420" s="42" t="s">
        <v>64</v>
      </c>
      <c r="C420" s="43">
        <v>4016880</v>
      </c>
      <c r="D420" s="58" t="s">
        <v>607</v>
      </c>
      <c r="E420" s="58" t="s">
        <v>615</v>
      </c>
      <c r="F420" s="45">
        <v>700</v>
      </c>
      <c r="G420" s="45"/>
      <c r="H420" s="45"/>
      <c r="I420" s="45"/>
      <c r="J420" s="46">
        <f>IF(VLOOKUP($C420,REV!$C:$AA,8,0)-'TRADE IN'!$F420=0,"",(VLOOKUP($C420,REV!$C:$AA,8,0)-'TRADE IN'!$F420))</f>
        <v>3799</v>
      </c>
      <c r="K420" s="46">
        <f>IF(VLOOKUP($C420,REV!$C:$AA,9,0)-'TRADE IN'!$F420=0,"",(VLOOKUP($C420,REV!$C:$AA,9,0)-'TRADE IN'!$F420))</f>
        <v>3799</v>
      </c>
      <c r="L420" s="46">
        <f>IF(VLOOKUP($C420,REV!$C:$AA,10,0)-'TRADE IN'!$F420=0,"",(VLOOKUP($C420,REV!$C:$AA,10,0)-'TRADE IN'!$F420))</f>
        <v>3799</v>
      </c>
      <c r="M420" s="46">
        <f>IF(VLOOKUP($C420,REV!$C:$AA,11,0)-'TRADE IN'!$F420=0,"",(VLOOKUP($C420,REV!$C:$AA,11,0)-'TRADE IN'!$F420))</f>
        <v>3799</v>
      </c>
      <c r="N420" s="46">
        <f>IF(VLOOKUP($C420,REV!$C:$AA,12,0)-'TRADE IN'!$F420=0,"",(VLOOKUP($C420,REV!$C:$AA,12,0)-'TRADE IN'!$F420))</f>
        <v>3799</v>
      </c>
      <c r="O420" s="46">
        <f>IF(VLOOKUP($C420,REV!$C:$AA,13,0)-'TRADE IN'!$F420=0,"",(VLOOKUP($C420,REV!$C:$AA,13,0)-'TRADE IN'!$F420))</f>
        <v>3699</v>
      </c>
      <c r="P420" s="46">
        <f>IF(VLOOKUP($C420,REV!$C:$AA,14,0)-'TRADE IN'!$F420=0,"",(VLOOKUP($C420,REV!$C:$AA,14,0)-'TRADE IN'!$F420))</f>
        <v>3599</v>
      </c>
      <c r="Q420" s="46">
        <f>IF(VLOOKUP($C420,REV!$C:$AA,15,0)-'TRADE IN'!$F420=0,"",(VLOOKUP($C420,REV!$C:$AA,15,0)-'TRADE IN'!$F420))</f>
        <v>2599</v>
      </c>
      <c r="R420" s="46">
        <f>IF(VLOOKUP($C420,REV!$C:$AA,16,0)-'TRADE IN'!$F420=0,"",(VLOOKUP($C420,REV!$C:$AA,16,0)-'TRADE IN'!$F420))</f>
        <v>3699</v>
      </c>
      <c r="S420" s="46">
        <f>IF(VLOOKUP($C420,REV!$C:$AA,17,0)-'TRADE IN'!$F420=0,"",(VLOOKUP($C420,REV!$C:$AA,17,0)-'TRADE IN'!$F420))</f>
        <v>3599</v>
      </c>
      <c r="T420" s="46">
        <f>IF(VLOOKUP($C420,REV!$C:$AA,18,0)-'TRADE IN'!$F420=0,"",(VLOOKUP($C420,REV!$C:$AA,18,0)-'TRADE IN'!$F420))</f>
        <v>2599</v>
      </c>
      <c r="U420" s="46">
        <f>IF(VLOOKUP($C420,REV!$C:$AA,19,0)-'TRADE IN'!$F420=0,"",(VLOOKUP($C420,REV!$C:$AA,19,0)-'TRADE IN'!$F420))</f>
        <v>2599</v>
      </c>
      <c r="V420" s="46">
        <f>IF(VLOOKUP($C420,REV!$C:$AA,20,0)-'TRADE IN'!$F420=0,"",(VLOOKUP($C420,REV!$C:$AA,20,0)-'TRADE IN'!$F420))</f>
        <v>2599</v>
      </c>
      <c r="W420" s="46">
        <f>IF(VLOOKUP($C420,REV!$C:$AA,21,0)-'TRADE IN'!$F420=0,"",(VLOOKUP($C420,REV!$C:$AA,21,0)-'TRADE IN'!$F420))</f>
        <v>2599</v>
      </c>
      <c r="X420" s="46">
        <f>IF(VLOOKUP($C420,REV!$C:$AA,22,0)-'TRADE IN'!$F420=0,"",(VLOOKUP($C420,REV!$C:$AA,22,0)-'TRADE IN'!$F420))</f>
        <v>2499</v>
      </c>
      <c r="Y420" s="46">
        <f>IF(VLOOKUP($C420,REV!$C:$AA,23,0)-'TRADE IN'!$F420=0,"",(VLOOKUP($C420,REV!$C:$AA,23,0)-'TRADE IN'!$F420))</f>
        <v>2099</v>
      </c>
      <c r="Z420" s="46">
        <f>IF(VLOOKUP($C420,REV!$C:$AA,24,0)-'TRADE IN'!$F420=0,"",(VLOOKUP($C420,REV!$C:$AA,24,0)-'TRADE IN'!$F420))</f>
        <v>2099</v>
      </c>
      <c r="AA420" s="46">
        <f>IF(VLOOKUP($C420,REV!$C:$AA,25,0)-'TRADE IN'!$F420=0,"",(VLOOKUP($C420,REV!$C:$AA,25,0)-'TRADE IN'!$F420))</f>
        <v>1899</v>
      </c>
      <c r="AB420" s="45">
        <f>IF(VLOOKUP($C420,REV!$C:$AL,27,0)-'TRADE IN'!$F420=0,"",(VLOOKUP($C420,REV!$C:$AL,27,0)-'TRADE IN'!$F420))</f>
        <v>3799</v>
      </c>
      <c r="AC420" s="45">
        <f>IF(VLOOKUP($C420,REV!$C:$AL,28,0)-'TRADE IN'!$F420=0,"",(VLOOKUP($C420,REV!$C:$AL,28,0)-'TRADE IN'!$F420))</f>
        <v>3799</v>
      </c>
      <c r="AD420" s="45">
        <f>IF(VLOOKUP($C420,REV!$C:$AL,29,0)-'TRADE IN'!$F420=0,"",(VLOOKUP($C420,REV!$C:$AL,29,0)-'TRADE IN'!$F420))</f>
        <v>3699</v>
      </c>
      <c r="AE420" s="45">
        <f>IF(VLOOKUP($C420,REV!$C:$AL,30,0)-'TRADE IN'!$F420=0,"",(VLOOKUP($C420,REV!$C:$AL,30,0)-'TRADE IN'!$F420))</f>
        <v>3599</v>
      </c>
      <c r="AF420" s="45">
        <f>IF(VLOOKUP($C420,REV!$C:$AL,31,0)-'TRADE IN'!$F420=0,"",(VLOOKUP($C420,REV!$C:$AL,31,0)-'TRADE IN'!$F420))</f>
        <v>3599</v>
      </c>
      <c r="AG420" s="45">
        <f>IF(VLOOKUP($C420,REV!$C:$AL,31,0)-'TRADE IN'!$F420=0,"",(VLOOKUP($C420,REV!$C:$AL,31,0)-'TRADE IN'!$F420))</f>
        <v>3599</v>
      </c>
      <c r="AH420" s="45">
        <f>IF(VLOOKUP($C420,REV!$C:$AL,32,0)-'TRADE IN'!$F420=0,"",(VLOOKUP($C420,REV!$C:$AL,32,0)-'TRADE IN'!$F420))</f>
        <v>2599</v>
      </c>
      <c r="AI420" s="45">
        <f>IF(VLOOKUP($C420,REV!$C:$AL,33,0)-'TRADE IN'!$F420=0,"",(VLOOKUP($C420,REV!$C:$AL,33,0)-'TRADE IN'!$F420))</f>
        <v>2599</v>
      </c>
      <c r="AJ420" s="45">
        <f>IF(VLOOKUP($C420,REV!$C:$AL,34,0)-'TRADE IN'!$F420=0,"",(VLOOKUP($C420,REV!$C:$AL,34,0)-'TRADE IN'!$F420))</f>
        <v>2599</v>
      </c>
      <c r="AK420" s="45">
        <f>IF(VLOOKUP($C420,REV!$C:$AL,35,0)-'TRADE IN'!$F420=0,"",(VLOOKUP($C420,REV!$C:$AL,35,0)-'TRADE IN'!$F420))</f>
        <v>2599</v>
      </c>
      <c r="AL420" s="45">
        <f>IF(VLOOKUP($C420,REV!$C:$AL,36,0)-'TRADE IN'!$F420=0,"",(VLOOKUP($C420,REV!$C:$AL,36,0)-'TRADE IN'!$F420))</f>
        <v>2099</v>
      </c>
      <c r="AM420" s="45"/>
      <c r="AN420" s="45"/>
      <c r="AO420" s="45"/>
      <c r="AP420" s="45"/>
      <c r="AQ420" s="45"/>
      <c r="AR420" s="45"/>
      <c r="AS420" s="45"/>
      <c r="AT420" s="45"/>
      <c r="AU420" s="45"/>
      <c r="AV420" s="47"/>
      <c r="AW420" s="48" t="str">
        <f>REV!AW420</f>
        <v>01.12.2026</v>
      </c>
      <c r="AX420" s="153" t="str">
        <f>VLOOKUP(C420,REV!C:AX,48,0)</f>
        <v>5G</v>
      </c>
    </row>
    <row r="421" spans="1:50" ht="22.5" customHeight="1">
      <c r="A421" s="41" t="s">
        <v>63</v>
      </c>
      <c r="B421" s="42" t="s">
        <v>64</v>
      </c>
      <c r="C421" s="43">
        <v>4016871</v>
      </c>
      <c r="D421" s="58" t="s">
        <v>616</v>
      </c>
      <c r="E421" s="58" t="s">
        <v>617</v>
      </c>
      <c r="F421" s="45">
        <v>500</v>
      </c>
      <c r="G421" s="45"/>
      <c r="H421" s="45"/>
      <c r="I421" s="45"/>
      <c r="J421" s="46">
        <f>IF(VLOOKUP($C421,REV!$C:$AA,8,0)-'TRADE IN'!$F421=0,"",(VLOOKUP($C421,REV!$C:$AA,8,0)-'TRADE IN'!$F421))</f>
        <v>5099</v>
      </c>
      <c r="K421" s="46">
        <f>IF(VLOOKUP($C421,REV!$C:$AA,9,0)-'TRADE IN'!$F421=0,"",(VLOOKUP($C421,REV!$C:$AA,9,0)-'TRADE IN'!$F421))</f>
        <v>5099</v>
      </c>
      <c r="L421" s="46">
        <f>IF(VLOOKUP($C421,REV!$C:$AA,10,0)-'TRADE IN'!$F421=0,"",(VLOOKUP($C421,REV!$C:$AA,10,0)-'TRADE IN'!$F421))</f>
        <v>5099</v>
      </c>
      <c r="M421" s="46">
        <f>IF(VLOOKUP($C421,REV!$C:$AA,11,0)-'TRADE IN'!$F421=0,"",(VLOOKUP($C421,REV!$C:$AA,11,0)-'TRADE IN'!$F421))</f>
        <v>5099</v>
      </c>
      <c r="N421" s="46">
        <f>IF(VLOOKUP($C421,REV!$C:$AA,12,0)-'TRADE IN'!$F421=0,"",(VLOOKUP($C421,REV!$C:$AA,12,0)-'TRADE IN'!$F421))</f>
        <v>5099</v>
      </c>
      <c r="O421" s="46">
        <f>IF(VLOOKUP($C421,REV!$C:$AA,13,0)-'TRADE IN'!$F421=0,"",(VLOOKUP($C421,REV!$C:$AA,13,0)-'TRADE IN'!$F421))</f>
        <v>4999</v>
      </c>
      <c r="P421" s="46">
        <f>IF(VLOOKUP($C421,REV!$C:$AA,14,0)-'TRADE IN'!$F421=0,"",(VLOOKUP($C421,REV!$C:$AA,14,0)-'TRADE IN'!$F421))</f>
        <v>4899</v>
      </c>
      <c r="Q421" s="46">
        <f>IF(VLOOKUP($C421,REV!$C:$AA,15,0)-'TRADE IN'!$F421=0,"",(VLOOKUP($C421,REV!$C:$AA,15,0)-'TRADE IN'!$F421))</f>
        <v>4299</v>
      </c>
      <c r="R421" s="46">
        <f>IF(VLOOKUP($C421,REV!$C:$AA,16,0)-'TRADE IN'!$F421=0,"",(VLOOKUP($C421,REV!$C:$AA,16,0)-'TRADE IN'!$F421))</f>
        <v>4999</v>
      </c>
      <c r="S421" s="46">
        <f>IF(VLOOKUP($C421,REV!$C:$AA,17,0)-'TRADE IN'!$F421=0,"",(VLOOKUP($C421,REV!$C:$AA,17,0)-'TRADE IN'!$F421))</f>
        <v>4899</v>
      </c>
      <c r="T421" s="46">
        <f>IF(VLOOKUP($C421,REV!$C:$AA,18,0)-'TRADE IN'!$F421=0,"",(VLOOKUP($C421,REV!$C:$AA,18,0)-'TRADE IN'!$F421))</f>
        <v>4299</v>
      </c>
      <c r="U421" s="46">
        <f>IF(VLOOKUP($C421,REV!$C:$AA,19,0)-'TRADE IN'!$F421=0,"",(VLOOKUP($C421,REV!$C:$AA,19,0)-'TRADE IN'!$F421))</f>
        <v>4299</v>
      </c>
      <c r="V421" s="46">
        <f>IF(VLOOKUP($C421,REV!$C:$AA,20,0)-'TRADE IN'!$F421=0,"",(VLOOKUP($C421,REV!$C:$AA,20,0)-'TRADE IN'!$F421))</f>
        <v>4299</v>
      </c>
      <c r="W421" s="46">
        <f>IF(VLOOKUP($C421,REV!$C:$AA,21,0)-'TRADE IN'!$F421=0,"",(VLOOKUP($C421,REV!$C:$AA,21,0)-'TRADE IN'!$F421))</f>
        <v>4299</v>
      </c>
      <c r="X421" s="46">
        <f>IF(VLOOKUP($C421,REV!$C:$AA,22,0)-'TRADE IN'!$F421=0,"",(VLOOKUP($C421,REV!$C:$AA,22,0)-'TRADE IN'!$F421))</f>
        <v>4199</v>
      </c>
      <c r="Y421" s="46">
        <f>IF(VLOOKUP($C421,REV!$C:$AA,23,0)-'TRADE IN'!$F421=0,"",(VLOOKUP($C421,REV!$C:$AA,23,0)-'TRADE IN'!$F421))</f>
        <v>3499</v>
      </c>
      <c r="Z421" s="46">
        <f>IF(VLOOKUP($C421,REV!$C:$AA,24,0)-'TRADE IN'!$F421=0,"",(VLOOKUP($C421,REV!$C:$AA,24,0)-'TRADE IN'!$F421))</f>
        <v>3499</v>
      </c>
      <c r="AA421" s="46">
        <f>IF(VLOOKUP($C421,REV!$C:$AA,25,0)-'TRADE IN'!$F421=0,"",(VLOOKUP($C421,REV!$C:$AA,25,0)-'TRADE IN'!$F421))</f>
        <v>3299</v>
      </c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7"/>
      <c r="AW421" s="48" t="str">
        <f>REV!AW421</f>
        <v>01.12.2026</v>
      </c>
      <c r="AX421" s="153" t="str">
        <f>VLOOKUP(C421,REV!C:AX,48,0)</f>
        <v>5G</v>
      </c>
    </row>
    <row r="422" spans="1:50" ht="22.5" customHeight="1">
      <c r="A422" s="41" t="s">
        <v>63</v>
      </c>
      <c r="B422" s="42" t="s">
        <v>64</v>
      </c>
      <c r="C422" s="43">
        <v>4016851</v>
      </c>
      <c r="D422" s="58" t="s">
        <v>616</v>
      </c>
      <c r="E422" s="58" t="s">
        <v>618</v>
      </c>
      <c r="F422" s="45">
        <v>500</v>
      </c>
      <c r="G422" s="45"/>
      <c r="H422" s="45"/>
      <c r="I422" s="45"/>
      <c r="J422" s="46">
        <f>IF(VLOOKUP($C422,REV!$C:$AA,8,0)-'TRADE IN'!$F422=0,"",(VLOOKUP($C422,REV!$C:$AA,8,0)-'TRADE IN'!$F422))</f>
        <v>5099</v>
      </c>
      <c r="K422" s="46">
        <f>IF(VLOOKUP($C422,REV!$C:$AA,9,0)-'TRADE IN'!$F422=0,"",(VLOOKUP($C422,REV!$C:$AA,9,0)-'TRADE IN'!$F422))</f>
        <v>5099</v>
      </c>
      <c r="L422" s="46">
        <f>IF(VLOOKUP($C422,REV!$C:$AA,10,0)-'TRADE IN'!$F422=0,"",(VLOOKUP($C422,REV!$C:$AA,10,0)-'TRADE IN'!$F422))</f>
        <v>5099</v>
      </c>
      <c r="M422" s="46">
        <f>IF(VLOOKUP($C422,REV!$C:$AA,11,0)-'TRADE IN'!$F422=0,"",(VLOOKUP($C422,REV!$C:$AA,11,0)-'TRADE IN'!$F422))</f>
        <v>5099</v>
      </c>
      <c r="N422" s="46">
        <f>IF(VLOOKUP($C422,REV!$C:$AA,12,0)-'TRADE IN'!$F422=0,"",(VLOOKUP($C422,REV!$C:$AA,12,0)-'TRADE IN'!$F422))</f>
        <v>5099</v>
      </c>
      <c r="O422" s="46">
        <f>IF(VLOOKUP($C422,REV!$C:$AA,13,0)-'TRADE IN'!$F422=0,"",(VLOOKUP($C422,REV!$C:$AA,13,0)-'TRADE IN'!$F422))</f>
        <v>4999</v>
      </c>
      <c r="P422" s="46">
        <f>IF(VLOOKUP($C422,REV!$C:$AA,14,0)-'TRADE IN'!$F422=0,"",(VLOOKUP($C422,REV!$C:$AA,14,0)-'TRADE IN'!$F422))</f>
        <v>4899</v>
      </c>
      <c r="Q422" s="46">
        <f>IF(VLOOKUP($C422,REV!$C:$AA,15,0)-'TRADE IN'!$F422=0,"",(VLOOKUP($C422,REV!$C:$AA,15,0)-'TRADE IN'!$F422))</f>
        <v>4299</v>
      </c>
      <c r="R422" s="46">
        <f>IF(VLOOKUP($C422,REV!$C:$AA,16,0)-'TRADE IN'!$F422=0,"",(VLOOKUP($C422,REV!$C:$AA,16,0)-'TRADE IN'!$F422))</f>
        <v>4999</v>
      </c>
      <c r="S422" s="46">
        <f>IF(VLOOKUP($C422,REV!$C:$AA,17,0)-'TRADE IN'!$F422=0,"",(VLOOKUP($C422,REV!$C:$AA,17,0)-'TRADE IN'!$F422))</f>
        <v>4899</v>
      </c>
      <c r="T422" s="46">
        <f>IF(VLOOKUP($C422,REV!$C:$AA,18,0)-'TRADE IN'!$F422=0,"",(VLOOKUP($C422,REV!$C:$AA,18,0)-'TRADE IN'!$F422))</f>
        <v>4299</v>
      </c>
      <c r="U422" s="46">
        <f>IF(VLOOKUP($C422,REV!$C:$AA,19,0)-'TRADE IN'!$F422=0,"",(VLOOKUP($C422,REV!$C:$AA,19,0)-'TRADE IN'!$F422))</f>
        <v>4299</v>
      </c>
      <c r="V422" s="46">
        <f>IF(VLOOKUP($C422,REV!$C:$AA,20,0)-'TRADE IN'!$F422=0,"",(VLOOKUP($C422,REV!$C:$AA,20,0)-'TRADE IN'!$F422))</f>
        <v>4299</v>
      </c>
      <c r="W422" s="46">
        <f>IF(VLOOKUP($C422,REV!$C:$AA,21,0)-'TRADE IN'!$F422=0,"",(VLOOKUP($C422,REV!$C:$AA,21,0)-'TRADE IN'!$F422))</f>
        <v>4299</v>
      </c>
      <c r="X422" s="46">
        <f>IF(VLOOKUP($C422,REV!$C:$AA,22,0)-'TRADE IN'!$F422=0,"",(VLOOKUP($C422,REV!$C:$AA,22,0)-'TRADE IN'!$F422))</f>
        <v>4199</v>
      </c>
      <c r="Y422" s="46">
        <f>IF(VLOOKUP($C422,REV!$C:$AA,23,0)-'TRADE IN'!$F422=0,"",(VLOOKUP($C422,REV!$C:$AA,23,0)-'TRADE IN'!$F422))</f>
        <v>3499</v>
      </c>
      <c r="Z422" s="46">
        <f>IF(VLOOKUP($C422,REV!$C:$AA,24,0)-'TRADE IN'!$F422=0,"",(VLOOKUP($C422,REV!$C:$AA,24,0)-'TRADE IN'!$F422))</f>
        <v>3499</v>
      </c>
      <c r="AA422" s="46">
        <f>IF(VLOOKUP($C422,REV!$C:$AA,25,0)-'TRADE IN'!$F422=0,"",(VLOOKUP($C422,REV!$C:$AA,25,0)-'TRADE IN'!$F422))</f>
        <v>3299</v>
      </c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7"/>
      <c r="AW422" s="48" t="str">
        <f>REV!AW422</f>
        <v>01.12.2026</v>
      </c>
      <c r="AX422" s="153" t="str">
        <f>VLOOKUP(C422,REV!C:AX,48,0)</f>
        <v>5G</v>
      </c>
    </row>
    <row r="423" spans="1:50" ht="22.5" customHeight="1">
      <c r="A423" s="41" t="s">
        <v>63</v>
      </c>
      <c r="B423" s="42" t="s">
        <v>64</v>
      </c>
      <c r="C423" s="43">
        <v>4016864</v>
      </c>
      <c r="D423" s="58" t="s">
        <v>616</v>
      </c>
      <c r="E423" s="58" t="s">
        <v>619</v>
      </c>
      <c r="F423" s="45">
        <v>500</v>
      </c>
      <c r="G423" s="45"/>
      <c r="H423" s="45"/>
      <c r="I423" s="45"/>
      <c r="J423" s="46">
        <f>IF(VLOOKUP($C423,REV!$C:$AA,8,0)-'TRADE IN'!$F423=0,"",(VLOOKUP($C423,REV!$C:$AA,8,0)-'TRADE IN'!$F423))</f>
        <v>5099</v>
      </c>
      <c r="K423" s="46">
        <f>IF(VLOOKUP($C423,REV!$C:$AA,9,0)-'TRADE IN'!$F423=0,"",(VLOOKUP($C423,REV!$C:$AA,9,0)-'TRADE IN'!$F423))</f>
        <v>5099</v>
      </c>
      <c r="L423" s="46">
        <f>IF(VLOOKUP($C423,REV!$C:$AA,10,0)-'TRADE IN'!$F423=0,"",(VLOOKUP($C423,REV!$C:$AA,10,0)-'TRADE IN'!$F423))</f>
        <v>5099</v>
      </c>
      <c r="M423" s="46">
        <f>IF(VLOOKUP($C423,REV!$C:$AA,11,0)-'TRADE IN'!$F423=0,"",(VLOOKUP($C423,REV!$C:$AA,11,0)-'TRADE IN'!$F423))</f>
        <v>5099</v>
      </c>
      <c r="N423" s="46">
        <f>IF(VLOOKUP($C423,REV!$C:$AA,12,0)-'TRADE IN'!$F423=0,"",(VLOOKUP($C423,REV!$C:$AA,12,0)-'TRADE IN'!$F423))</f>
        <v>5099</v>
      </c>
      <c r="O423" s="46">
        <f>IF(VLOOKUP($C423,REV!$C:$AA,13,0)-'TRADE IN'!$F423=0,"",(VLOOKUP($C423,REV!$C:$AA,13,0)-'TRADE IN'!$F423))</f>
        <v>4999</v>
      </c>
      <c r="P423" s="46">
        <f>IF(VLOOKUP($C423,REV!$C:$AA,14,0)-'TRADE IN'!$F423=0,"",(VLOOKUP($C423,REV!$C:$AA,14,0)-'TRADE IN'!$F423))</f>
        <v>4899</v>
      </c>
      <c r="Q423" s="46">
        <f>IF(VLOOKUP($C423,REV!$C:$AA,15,0)-'TRADE IN'!$F423=0,"",(VLOOKUP($C423,REV!$C:$AA,15,0)-'TRADE IN'!$F423))</f>
        <v>4299</v>
      </c>
      <c r="R423" s="46">
        <f>IF(VLOOKUP($C423,REV!$C:$AA,16,0)-'TRADE IN'!$F423=0,"",(VLOOKUP($C423,REV!$C:$AA,16,0)-'TRADE IN'!$F423))</f>
        <v>4999</v>
      </c>
      <c r="S423" s="46">
        <f>IF(VLOOKUP($C423,REV!$C:$AA,17,0)-'TRADE IN'!$F423=0,"",(VLOOKUP($C423,REV!$C:$AA,17,0)-'TRADE IN'!$F423))</f>
        <v>4899</v>
      </c>
      <c r="T423" s="46">
        <f>IF(VLOOKUP($C423,REV!$C:$AA,18,0)-'TRADE IN'!$F423=0,"",(VLOOKUP($C423,REV!$C:$AA,18,0)-'TRADE IN'!$F423))</f>
        <v>4299</v>
      </c>
      <c r="U423" s="46">
        <f>IF(VLOOKUP($C423,REV!$C:$AA,19,0)-'TRADE IN'!$F423=0,"",(VLOOKUP($C423,REV!$C:$AA,19,0)-'TRADE IN'!$F423))</f>
        <v>4299</v>
      </c>
      <c r="V423" s="46">
        <f>IF(VLOOKUP($C423,REV!$C:$AA,20,0)-'TRADE IN'!$F423=0,"",(VLOOKUP($C423,REV!$C:$AA,20,0)-'TRADE IN'!$F423))</f>
        <v>4299</v>
      </c>
      <c r="W423" s="46">
        <f>IF(VLOOKUP($C423,REV!$C:$AA,21,0)-'TRADE IN'!$F423=0,"",(VLOOKUP($C423,REV!$C:$AA,21,0)-'TRADE IN'!$F423))</f>
        <v>4299</v>
      </c>
      <c r="X423" s="46">
        <f>IF(VLOOKUP($C423,REV!$C:$AA,22,0)-'TRADE IN'!$F423=0,"",(VLOOKUP($C423,REV!$C:$AA,22,0)-'TRADE IN'!$F423))</f>
        <v>4199</v>
      </c>
      <c r="Y423" s="46">
        <f>IF(VLOOKUP($C423,REV!$C:$AA,23,0)-'TRADE IN'!$F423=0,"",(VLOOKUP($C423,REV!$C:$AA,23,0)-'TRADE IN'!$F423))</f>
        <v>3499</v>
      </c>
      <c r="Z423" s="46">
        <f>IF(VLOOKUP($C423,REV!$C:$AA,24,0)-'TRADE IN'!$F423=0,"",(VLOOKUP($C423,REV!$C:$AA,24,0)-'TRADE IN'!$F423))</f>
        <v>3499</v>
      </c>
      <c r="AA423" s="46">
        <f>IF(VLOOKUP($C423,REV!$C:$AA,25,0)-'TRADE IN'!$F423=0,"",(VLOOKUP($C423,REV!$C:$AA,25,0)-'TRADE IN'!$F423))</f>
        <v>3299</v>
      </c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7"/>
      <c r="AW423" s="48" t="str">
        <f>REV!AW423</f>
        <v>01.12.2026</v>
      </c>
      <c r="AX423" s="153" t="str">
        <f>VLOOKUP(C423,REV!C:AX,48,0)</f>
        <v>5G</v>
      </c>
    </row>
    <row r="424" spans="1:50" ht="22.5" customHeight="1">
      <c r="A424" s="41" t="s">
        <v>63</v>
      </c>
      <c r="B424" s="42" t="s">
        <v>64</v>
      </c>
      <c r="C424" s="43">
        <v>4016900</v>
      </c>
      <c r="D424" s="58" t="s">
        <v>616</v>
      </c>
      <c r="E424" s="58" t="s">
        <v>620</v>
      </c>
      <c r="F424" s="45">
        <v>500</v>
      </c>
      <c r="G424" s="45"/>
      <c r="H424" s="45"/>
      <c r="I424" s="45"/>
      <c r="J424" s="46">
        <f>IF(VLOOKUP($C424,REV!$C:$AA,8,0)-'TRADE IN'!$F424=0,"",(VLOOKUP($C424,REV!$C:$AA,8,0)-'TRADE IN'!$F424))</f>
        <v>5099</v>
      </c>
      <c r="K424" s="46">
        <f>IF(VLOOKUP($C424,REV!$C:$AA,9,0)-'TRADE IN'!$F424=0,"",(VLOOKUP($C424,REV!$C:$AA,9,0)-'TRADE IN'!$F424))</f>
        <v>5099</v>
      </c>
      <c r="L424" s="46">
        <f>IF(VLOOKUP($C424,REV!$C:$AA,10,0)-'TRADE IN'!$F424=0,"",(VLOOKUP($C424,REV!$C:$AA,10,0)-'TRADE IN'!$F424))</f>
        <v>5099</v>
      </c>
      <c r="M424" s="46">
        <f>IF(VLOOKUP($C424,REV!$C:$AA,11,0)-'TRADE IN'!$F424=0,"",(VLOOKUP($C424,REV!$C:$AA,11,0)-'TRADE IN'!$F424))</f>
        <v>5099</v>
      </c>
      <c r="N424" s="46">
        <f>IF(VLOOKUP($C424,REV!$C:$AA,12,0)-'TRADE IN'!$F424=0,"",(VLOOKUP($C424,REV!$C:$AA,12,0)-'TRADE IN'!$F424))</f>
        <v>5099</v>
      </c>
      <c r="O424" s="46">
        <f>IF(VLOOKUP($C424,REV!$C:$AA,13,0)-'TRADE IN'!$F424=0,"",(VLOOKUP($C424,REV!$C:$AA,13,0)-'TRADE IN'!$F424))</f>
        <v>4999</v>
      </c>
      <c r="P424" s="46">
        <f>IF(VLOOKUP($C424,REV!$C:$AA,14,0)-'TRADE IN'!$F424=0,"",(VLOOKUP($C424,REV!$C:$AA,14,0)-'TRADE IN'!$F424))</f>
        <v>4899</v>
      </c>
      <c r="Q424" s="46">
        <f>IF(VLOOKUP($C424,REV!$C:$AA,15,0)-'TRADE IN'!$F424=0,"",(VLOOKUP($C424,REV!$C:$AA,15,0)-'TRADE IN'!$F424))</f>
        <v>4299</v>
      </c>
      <c r="R424" s="46">
        <f>IF(VLOOKUP($C424,REV!$C:$AA,16,0)-'TRADE IN'!$F424=0,"",(VLOOKUP($C424,REV!$C:$AA,16,0)-'TRADE IN'!$F424))</f>
        <v>4999</v>
      </c>
      <c r="S424" s="46">
        <f>IF(VLOOKUP($C424,REV!$C:$AA,17,0)-'TRADE IN'!$F424=0,"",(VLOOKUP($C424,REV!$C:$AA,17,0)-'TRADE IN'!$F424))</f>
        <v>4899</v>
      </c>
      <c r="T424" s="46">
        <f>IF(VLOOKUP($C424,REV!$C:$AA,18,0)-'TRADE IN'!$F424=0,"",(VLOOKUP($C424,REV!$C:$AA,18,0)-'TRADE IN'!$F424))</f>
        <v>4299</v>
      </c>
      <c r="U424" s="46">
        <f>IF(VLOOKUP($C424,REV!$C:$AA,19,0)-'TRADE IN'!$F424=0,"",(VLOOKUP($C424,REV!$C:$AA,19,0)-'TRADE IN'!$F424))</f>
        <v>4299</v>
      </c>
      <c r="V424" s="46">
        <f>IF(VLOOKUP($C424,REV!$C:$AA,20,0)-'TRADE IN'!$F424=0,"",(VLOOKUP($C424,REV!$C:$AA,20,0)-'TRADE IN'!$F424))</f>
        <v>4299</v>
      </c>
      <c r="W424" s="46">
        <f>IF(VLOOKUP($C424,REV!$C:$AA,21,0)-'TRADE IN'!$F424=0,"",(VLOOKUP($C424,REV!$C:$AA,21,0)-'TRADE IN'!$F424))</f>
        <v>4299</v>
      </c>
      <c r="X424" s="46">
        <f>IF(VLOOKUP($C424,REV!$C:$AA,22,0)-'TRADE IN'!$F424=0,"",(VLOOKUP($C424,REV!$C:$AA,22,0)-'TRADE IN'!$F424))</f>
        <v>4199</v>
      </c>
      <c r="Y424" s="46">
        <f>IF(VLOOKUP($C424,REV!$C:$AA,23,0)-'TRADE IN'!$F424=0,"",(VLOOKUP($C424,REV!$C:$AA,23,0)-'TRADE IN'!$F424))</f>
        <v>3499</v>
      </c>
      <c r="Z424" s="46">
        <f>IF(VLOOKUP($C424,REV!$C:$AA,24,0)-'TRADE IN'!$F424=0,"",(VLOOKUP($C424,REV!$C:$AA,24,0)-'TRADE IN'!$F424))</f>
        <v>3499</v>
      </c>
      <c r="AA424" s="46">
        <f>IF(VLOOKUP($C424,REV!$C:$AA,25,0)-'TRADE IN'!$F424=0,"",(VLOOKUP($C424,REV!$C:$AA,25,0)-'TRADE IN'!$F424))</f>
        <v>3299</v>
      </c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7"/>
      <c r="AW424" s="48" t="str">
        <f>REV!AW424</f>
        <v>01.12.2026</v>
      </c>
      <c r="AX424" s="153" t="str">
        <f>VLOOKUP(C424,REV!C:AX,48,0)</f>
        <v>5G</v>
      </c>
    </row>
    <row r="425" spans="1:50" ht="22.5" customHeight="1">
      <c r="A425" s="41" t="s">
        <v>63</v>
      </c>
      <c r="B425" s="42" t="s">
        <v>64</v>
      </c>
      <c r="C425" s="43">
        <v>4016893</v>
      </c>
      <c r="D425" s="58" t="s">
        <v>616</v>
      </c>
      <c r="E425" s="58" t="s">
        <v>621</v>
      </c>
      <c r="F425" s="45">
        <v>500</v>
      </c>
      <c r="G425" s="45"/>
      <c r="H425" s="45"/>
      <c r="I425" s="45"/>
      <c r="J425" s="46">
        <f>IF(VLOOKUP($C425,REV!$C:$AA,8,0)-'TRADE IN'!$F425=0,"",(VLOOKUP($C425,REV!$C:$AA,8,0)-'TRADE IN'!$F425))</f>
        <v>5099</v>
      </c>
      <c r="K425" s="46">
        <f>IF(VLOOKUP($C425,REV!$C:$AA,9,0)-'TRADE IN'!$F425=0,"",(VLOOKUP($C425,REV!$C:$AA,9,0)-'TRADE IN'!$F425))</f>
        <v>5099</v>
      </c>
      <c r="L425" s="46">
        <f>IF(VLOOKUP($C425,REV!$C:$AA,10,0)-'TRADE IN'!$F425=0,"",(VLOOKUP($C425,REV!$C:$AA,10,0)-'TRADE IN'!$F425))</f>
        <v>5099</v>
      </c>
      <c r="M425" s="46">
        <f>IF(VLOOKUP($C425,REV!$C:$AA,11,0)-'TRADE IN'!$F425=0,"",(VLOOKUP($C425,REV!$C:$AA,11,0)-'TRADE IN'!$F425))</f>
        <v>5099</v>
      </c>
      <c r="N425" s="46">
        <f>IF(VLOOKUP($C425,REV!$C:$AA,12,0)-'TRADE IN'!$F425=0,"",(VLOOKUP($C425,REV!$C:$AA,12,0)-'TRADE IN'!$F425))</f>
        <v>5099</v>
      </c>
      <c r="O425" s="46">
        <f>IF(VLOOKUP($C425,REV!$C:$AA,13,0)-'TRADE IN'!$F425=0,"",(VLOOKUP($C425,REV!$C:$AA,13,0)-'TRADE IN'!$F425))</f>
        <v>4999</v>
      </c>
      <c r="P425" s="46">
        <f>IF(VLOOKUP($C425,REV!$C:$AA,14,0)-'TRADE IN'!$F425=0,"",(VLOOKUP($C425,REV!$C:$AA,14,0)-'TRADE IN'!$F425))</f>
        <v>4899</v>
      </c>
      <c r="Q425" s="46">
        <f>IF(VLOOKUP($C425,REV!$C:$AA,15,0)-'TRADE IN'!$F425=0,"",(VLOOKUP($C425,REV!$C:$AA,15,0)-'TRADE IN'!$F425))</f>
        <v>4299</v>
      </c>
      <c r="R425" s="46">
        <f>IF(VLOOKUP($C425,REV!$C:$AA,16,0)-'TRADE IN'!$F425=0,"",(VLOOKUP($C425,REV!$C:$AA,16,0)-'TRADE IN'!$F425))</f>
        <v>4999</v>
      </c>
      <c r="S425" s="46">
        <f>IF(VLOOKUP($C425,REV!$C:$AA,17,0)-'TRADE IN'!$F425=0,"",(VLOOKUP($C425,REV!$C:$AA,17,0)-'TRADE IN'!$F425))</f>
        <v>4899</v>
      </c>
      <c r="T425" s="46">
        <f>IF(VLOOKUP($C425,REV!$C:$AA,18,0)-'TRADE IN'!$F425=0,"",(VLOOKUP($C425,REV!$C:$AA,18,0)-'TRADE IN'!$F425))</f>
        <v>4299</v>
      </c>
      <c r="U425" s="46">
        <f>IF(VLOOKUP($C425,REV!$C:$AA,19,0)-'TRADE IN'!$F425=0,"",(VLOOKUP($C425,REV!$C:$AA,19,0)-'TRADE IN'!$F425))</f>
        <v>4299</v>
      </c>
      <c r="V425" s="46">
        <f>IF(VLOOKUP($C425,REV!$C:$AA,20,0)-'TRADE IN'!$F425=0,"",(VLOOKUP($C425,REV!$C:$AA,20,0)-'TRADE IN'!$F425))</f>
        <v>4299</v>
      </c>
      <c r="W425" s="46">
        <f>IF(VLOOKUP($C425,REV!$C:$AA,21,0)-'TRADE IN'!$F425=0,"",(VLOOKUP($C425,REV!$C:$AA,21,0)-'TRADE IN'!$F425))</f>
        <v>4299</v>
      </c>
      <c r="X425" s="46">
        <f>IF(VLOOKUP($C425,REV!$C:$AA,22,0)-'TRADE IN'!$F425=0,"",(VLOOKUP($C425,REV!$C:$AA,22,0)-'TRADE IN'!$F425))</f>
        <v>4199</v>
      </c>
      <c r="Y425" s="46">
        <f>IF(VLOOKUP($C425,REV!$C:$AA,23,0)-'TRADE IN'!$F425=0,"",(VLOOKUP($C425,REV!$C:$AA,23,0)-'TRADE IN'!$F425))</f>
        <v>3499</v>
      </c>
      <c r="Z425" s="46">
        <f>IF(VLOOKUP($C425,REV!$C:$AA,24,0)-'TRADE IN'!$F425=0,"",(VLOOKUP($C425,REV!$C:$AA,24,0)-'TRADE IN'!$F425))</f>
        <v>3499</v>
      </c>
      <c r="AA425" s="46">
        <f>IF(VLOOKUP($C425,REV!$C:$AA,25,0)-'TRADE IN'!$F425=0,"",(VLOOKUP($C425,REV!$C:$AA,25,0)-'TRADE IN'!$F425))</f>
        <v>3299</v>
      </c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7"/>
      <c r="AW425" s="48" t="str">
        <f>REV!AW425</f>
        <v>01.12.2026</v>
      </c>
      <c r="AX425" s="153" t="str">
        <f>VLOOKUP(C425,REV!C:AX,48,0)</f>
        <v>5G</v>
      </c>
    </row>
    <row r="426" spans="1:50" ht="22.5" customHeight="1">
      <c r="A426" s="41" t="s">
        <v>63</v>
      </c>
      <c r="B426" s="42" t="s">
        <v>64</v>
      </c>
      <c r="C426" s="43">
        <v>4016879</v>
      </c>
      <c r="D426" s="58" t="s">
        <v>616</v>
      </c>
      <c r="E426" s="58" t="s">
        <v>622</v>
      </c>
      <c r="F426" s="45">
        <v>500</v>
      </c>
      <c r="G426" s="45"/>
      <c r="H426" s="45"/>
      <c r="I426" s="45"/>
      <c r="J426" s="46">
        <f>IF(VLOOKUP($C426,REV!$C:$AA,8,0)-'TRADE IN'!$F426=0,"",(VLOOKUP($C426,REV!$C:$AA,8,0)-'TRADE IN'!$F426))</f>
        <v>5099</v>
      </c>
      <c r="K426" s="46">
        <f>IF(VLOOKUP($C426,REV!$C:$AA,9,0)-'TRADE IN'!$F426=0,"",(VLOOKUP($C426,REV!$C:$AA,9,0)-'TRADE IN'!$F426))</f>
        <v>5099</v>
      </c>
      <c r="L426" s="46">
        <f>IF(VLOOKUP($C426,REV!$C:$AA,10,0)-'TRADE IN'!$F426=0,"",(VLOOKUP($C426,REV!$C:$AA,10,0)-'TRADE IN'!$F426))</f>
        <v>5099</v>
      </c>
      <c r="M426" s="46">
        <f>IF(VLOOKUP($C426,REV!$C:$AA,11,0)-'TRADE IN'!$F426=0,"",(VLOOKUP($C426,REV!$C:$AA,11,0)-'TRADE IN'!$F426))</f>
        <v>5099</v>
      </c>
      <c r="N426" s="46">
        <f>IF(VLOOKUP($C426,REV!$C:$AA,12,0)-'TRADE IN'!$F426=0,"",(VLOOKUP($C426,REV!$C:$AA,12,0)-'TRADE IN'!$F426))</f>
        <v>5099</v>
      </c>
      <c r="O426" s="46">
        <f>IF(VLOOKUP($C426,REV!$C:$AA,13,0)-'TRADE IN'!$F426=0,"",(VLOOKUP($C426,REV!$C:$AA,13,0)-'TRADE IN'!$F426))</f>
        <v>4999</v>
      </c>
      <c r="P426" s="46">
        <f>IF(VLOOKUP($C426,REV!$C:$AA,14,0)-'TRADE IN'!$F426=0,"",(VLOOKUP($C426,REV!$C:$AA,14,0)-'TRADE IN'!$F426))</f>
        <v>4899</v>
      </c>
      <c r="Q426" s="46">
        <f>IF(VLOOKUP($C426,REV!$C:$AA,15,0)-'TRADE IN'!$F426=0,"",(VLOOKUP($C426,REV!$C:$AA,15,0)-'TRADE IN'!$F426))</f>
        <v>4299</v>
      </c>
      <c r="R426" s="46">
        <f>IF(VLOOKUP($C426,REV!$C:$AA,16,0)-'TRADE IN'!$F426=0,"",(VLOOKUP($C426,REV!$C:$AA,16,0)-'TRADE IN'!$F426))</f>
        <v>4999</v>
      </c>
      <c r="S426" s="46">
        <f>IF(VLOOKUP($C426,REV!$C:$AA,17,0)-'TRADE IN'!$F426=0,"",(VLOOKUP($C426,REV!$C:$AA,17,0)-'TRADE IN'!$F426))</f>
        <v>4899</v>
      </c>
      <c r="T426" s="46">
        <f>IF(VLOOKUP($C426,REV!$C:$AA,18,0)-'TRADE IN'!$F426=0,"",(VLOOKUP($C426,REV!$C:$AA,18,0)-'TRADE IN'!$F426))</f>
        <v>4299</v>
      </c>
      <c r="U426" s="46">
        <f>IF(VLOOKUP($C426,REV!$C:$AA,19,0)-'TRADE IN'!$F426=0,"",(VLOOKUP($C426,REV!$C:$AA,19,0)-'TRADE IN'!$F426))</f>
        <v>4299</v>
      </c>
      <c r="V426" s="46">
        <f>IF(VLOOKUP($C426,REV!$C:$AA,20,0)-'TRADE IN'!$F426=0,"",(VLOOKUP($C426,REV!$C:$AA,20,0)-'TRADE IN'!$F426))</f>
        <v>4299</v>
      </c>
      <c r="W426" s="46">
        <f>IF(VLOOKUP($C426,REV!$C:$AA,21,0)-'TRADE IN'!$F426=0,"",(VLOOKUP($C426,REV!$C:$AA,21,0)-'TRADE IN'!$F426))</f>
        <v>4299</v>
      </c>
      <c r="X426" s="46">
        <f>IF(VLOOKUP($C426,REV!$C:$AA,22,0)-'TRADE IN'!$F426=0,"",(VLOOKUP($C426,REV!$C:$AA,22,0)-'TRADE IN'!$F426))</f>
        <v>4199</v>
      </c>
      <c r="Y426" s="46">
        <f>IF(VLOOKUP($C426,REV!$C:$AA,23,0)-'TRADE IN'!$F426=0,"",(VLOOKUP($C426,REV!$C:$AA,23,0)-'TRADE IN'!$F426))</f>
        <v>3499</v>
      </c>
      <c r="Z426" s="46">
        <f>IF(VLOOKUP($C426,REV!$C:$AA,24,0)-'TRADE IN'!$F426=0,"",(VLOOKUP($C426,REV!$C:$AA,24,0)-'TRADE IN'!$F426))</f>
        <v>3499</v>
      </c>
      <c r="AA426" s="46">
        <f>IF(VLOOKUP($C426,REV!$C:$AA,25,0)-'TRADE IN'!$F426=0,"",(VLOOKUP($C426,REV!$C:$AA,25,0)-'TRADE IN'!$F426))</f>
        <v>3299</v>
      </c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7"/>
      <c r="AW426" s="48" t="str">
        <f>REV!AW426</f>
        <v>01.12.2026</v>
      </c>
      <c r="AX426" s="153" t="str">
        <f>VLOOKUP(C426,REV!C:AX,48,0)</f>
        <v>5G</v>
      </c>
    </row>
    <row r="427" spans="1:50" ht="22.5" customHeight="1">
      <c r="A427" s="41" t="s">
        <v>63</v>
      </c>
      <c r="B427" s="42" t="s">
        <v>64</v>
      </c>
      <c r="C427" s="43">
        <v>4016902</v>
      </c>
      <c r="D427" s="58" t="s">
        <v>623</v>
      </c>
      <c r="E427" s="58" t="s">
        <v>624</v>
      </c>
      <c r="F427" s="45">
        <v>500</v>
      </c>
      <c r="G427" s="45"/>
      <c r="H427" s="45"/>
      <c r="I427" s="45"/>
      <c r="J427" s="46">
        <f>IF(VLOOKUP($C427,REV!$C:$AA,8,0)-'TRADE IN'!$F427=0,"",(VLOOKUP($C427,REV!$C:$AA,8,0)-'TRADE IN'!$F427))</f>
        <v>5799</v>
      </c>
      <c r="K427" s="46">
        <f>IF(VLOOKUP($C427,REV!$C:$AA,9,0)-'TRADE IN'!$F427=0,"",(VLOOKUP($C427,REV!$C:$AA,9,0)-'TRADE IN'!$F427))</f>
        <v>5799</v>
      </c>
      <c r="L427" s="46">
        <f>IF(VLOOKUP($C427,REV!$C:$AA,10,0)-'TRADE IN'!$F427=0,"",(VLOOKUP($C427,REV!$C:$AA,10,0)-'TRADE IN'!$F427))</f>
        <v>5799</v>
      </c>
      <c r="M427" s="46">
        <f>IF(VLOOKUP($C427,REV!$C:$AA,11,0)-'TRADE IN'!$F427=0,"",(VLOOKUP($C427,REV!$C:$AA,11,0)-'TRADE IN'!$F427))</f>
        <v>5799</v>
      </c>
      <c r="N427" s="46">
        <f>IF(VLOOKUP($C427,REV!$C:$AA,12,0)-'TRADE IN'!$F427=0,"",(VLOOKUP($C427,REV!$C:$AA,12,0)-'TRADE IN'!$F427))</f>
        <v>5799</v>
      </c>
      <c r="O427" s="46">
        <f>IF(VLOOKUP($C427,REV!$C:$AA,13,0)-'TRADE IN'!$F427=0,"",(VLOOKUP($C427,REV!$C:$AA,13,0)-'TRADE IN'!$F427))</f>
        <v>5699</v>
      </c>
      <c r="P427" s="46">
        <f>IF(VLOOKUP($C427,REV!$C:$AA,14,0)-'TRADE IN'!$F427=0,"",(VLOOKUP($C427,REV!$C:$AA,14,0)-'TRADE IN'!$F427))</f>
        <v>5599</v>
      </c>
      <c r="Q427" s="46">
        <f>IF(VLOOKUP($C427,REV!$C:$AA,15,0)-'TRADE IN'!$F427=0,"",(VLOOKUP($C427,REV!$C:$AA,15,0)-'TRADE IN'!$F427))</f>
        <v>5299</v>
      </c>
      <c r="R427" s="46">
        <f>IF(VLOOKUP($C427,REV!$C:$AA,16,0)-'TRADE IN'!$F427=0,"",(VLOOKUP($C427,REV!$C:$AA,16,0)-'TRADE IN'!$F427))</f>
        <v>5699</v>
      </c>
      <c r="S427" s="46">
        <f>IF(VLOOKUP($C427,REV!$C:$AA,17,0)-'TRADE IN'!$F427=0,"",(VLOOKUP($C427,REV!$C:$AA,17,0)-'TRADE IN'!$F427))</f>
        <v>5599</v>
      </c>
      <c r="T427" s="46">
        <f>IF(VLOOKUP($C427,REV!$C:$AA,18,0)-'TRADE IN'!$F427=0,"",(VLOOKUP($C427,REV!$C:$AA,18,0)-'TRADE IN'!$F427))</f>
        <v>5299</v>
      </c>
      <c r="U427" s="46">
        <f>IF(VLOOKUP($C427,REV!$C:$AA,19,0)-'TRADE IN'!$F427=0,"",(VLOOKUP($C427,REV!$C:$AA,19,0)-'TRADE IN'!$F427))</f>
        <v>5299</v>
      </c>
      <c r="V427" s="46">
        <f>IF(VLOOKUP($C427,REV!$C:$AA,20,0)-'TRADE IN'!$F427=0,"",(VLOOKUP($C427,REV!$C:$AA,20,0)-'TRADE IN'!$F427))</f>
        <v>5299</v>
      </c>
      <c r="W427" s="46">
        <f>IF(VLOOKUP($C427,REV!$C:$AA,21,0)-'TRADE IN'!$F427=0,"",(VLOOKUP($C427,REV!$C:$AA,21,0)-'TRADE IN'!$F427))</f>
        <v>5299</v>
      </c>
      <c r="X427" s="46">
        <f>IF(VLOOKUP($C427,REV!$C:$AA,22,0)-'TRADE IN'!$F427=0,"",(VLOOKUP($C427,REV!$C:$AA,22,0)-'TRADE IN'!$F427))</f>
        <v>4999</v>
      </c>
      <c r="Y427" s="46">
        <f>IF(VLOOKUP($C427,REV!$C:$AA,23,0)-'TRADE IN'!$F427=0,"",(VLOOKUP($C427,REV!$C:$AA,23,0)-'TRADE IN'!$F427))</f>
        <v>4499</v>
      </c>
      <c r="Z427" s="46">
        <f>IF(VLOOKUP($C427,REV!$C:$AA,24,0)-'TRADE IN'!$F427=0,"",(VLOOKUP($C427,REV!$C:$AA,24,0)-'TRADE IN'!$F427))</f>
        <v>4499</v>
      </c>
      <c r="AA427" s="46">
        <f>IF(VLOOKUP($C427,REV!$C:$AA,25,0)-'TRADE IN'!$F427=0,"",(VLOOKUP($C427,REV!$C:$AA,25,0)-'TRADE IN'!$F427))</f>
        <v>4499</v>
      </c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7"/>
      <c r="AW427" s="48" t="str">
        <f>REV!AW427</f>
        <v>01.12.2026</v>
      </c>
      <c r="AX427" s="153" t="str">
        <f>VLOOKUP(C427,REV!C:AX,48,0)</f>
        <v>5G</v>
      </c>
    </row>
    <row r="428" spans="1:50" ht="22.5" customHeight="1">
      <c r="A428" s="41" t="s">
        <v>63</v>
      </c>
      <c r="B428" s="42" t="s">
        <v>64</v>
      </c>
      <c r="C428" s="43">
        <v>4016881</v>
      </c>
      <c r="D428" s="58" t="s">
        <v>623</v>
      </c>
      <c r="E428" s="58" t="s">
        <v>625</v>
      </c>
      <c r="F428" s="45">
        <v>500</v>
      </c>
      <c r="G428" s="45"/>
      <c r="H428" s="45"/>
      <c r="I428" s="45"/>
      <c r="J428" s="46">
        <f>IF(VLOOKUP($C428,REV!$C:$AA,8,0)-'TRADE IN'!$F428=0,"",(VLOOKUP($C428,REV!$C:$AA,8,0)-'TRADE IN'!$F428))</f>
        <v>5799</v>
      </c>
      <c r="K428" s="46">
        <f>IF(VLOOKUP($C428,REV!$C:$AA,9,0)-'TRADE IN'!$F428=0,"",(VLOOKUP($C428,REV!$C:$AA,9,0)-'TRADE IN'!$F428))</f>
        <v>5799</v>
      </c>
      <c r="L428" s="46">
        <f>IF(VLOOKUP($C428,REV!$C:$AA,10,0)-'TRADE IN'!$F428=0,"",(VLOOKUP($C428,REV!$C:$AA,10,0)-'TRADE IN'!$F428))</f>
        <v>5799</v>
      </c>
      <c r="M428" s="46">
        <f>IF(VLOOKUP($C428,REV!$C:$AA,11,0)-'TRADE IN'!$F428=0,"",(VLOOKUP($C428,REV!$C:$AA,11,0)-'TRADE IN'!$F428))</f>
        <v>5799</v>
      </c>
      <c r="N428" s="46">
        <f>IF(VLOOKUP($C428,REV!$C:$AA,12,0)-'TRADE IN'!$F428=0,"",(VLOOKUP($C428,REV!$C:$AA,12,0)-'TRADE IN'!$F428))</f>
        <v>5799</v>
      </c>
      <c r="O428" s="46">
        <f>IF(VLOOKUP($C428,REV!$C:$AA,13,0)-'TRADE IN'!$F428=0,"",(VLOOKUP($C428,REV!$C:$AA,13,0)-'TRADE IN'!$F428))</f>
        <v>5699</v>
      </c>
      <c r="P428" s="46">
        <f>IF(VLOOKUP($C428,REV!$C:$AA,14,0)-'TRADE IN'!$F428=0,"",(VLOOKUP($C428,REV!$C:$AA,14,0)-'TRADE IN'!$F428))</f>
        <v>5599</v>
      </c>
      <c r="Q428" s="46">
        <f>IF(VLOOKUP($C428,REV!$C:$AA,15,0)-'TRADE IN'!$F428=0,"",(VLOOKUP($C428,REV!$C:$AA,15,0)-'TRADE IN'!$F428))</f>
        <v>5299</v>
      </c>
      <c r="R428" s="46">
        <f>IF(VLOOKUP($C428,REV!$C:$AA,16,0)-'TRADE IN'!$F428=0,"",(VLOOKUP($C428,REV!$C:$AA,16,0)-'TRADE IN'!$F428))</f>
        <v>5699</v>
      </c>
      <c r="S428" s="46">
        <f>IF(VLOOKUP($C428,REV!$C:$AA,17,0)-'TRADE IN'!$F428=0,"",(VLOOKUP($C428,REV!$C:$AA,17,0)-'TRADE IN'!$F428))</f>
        <v>5599</v>
      </c>
      <c r="T428" s="46">
        <f>IF(VLOOKUP($C428,REV!$C:$AA,18,0)-'TRADE IN'!$F428=0,"",(VLOOKUP($C428,REV!$C:$AA,18,0)-'TRADE IN'!$F428))</f>
        <v>5299</v>
      </c>
      <c r="U428" s="46">
        <f>IF(VLOOKUP($C428,REV!$C:$AA,19,0)-'TRADE IN'!$F428=0,"",(VLOOKUP($C428,REV!$C:$AA,19,0)-'TRADE IN'!$F428))</f>
        <v>5299</v>
      </c>
      <c r="V428" s="46">
        <f>IF(VLOOKUP($C428,REV!$C:$AA,20,0)-'TRADE IN'!$F428=0,"",(VLOOKUP($C428,REV!$C:$AA,20,0)-'TRADE IN'!$F428))</f>
        <v>5299</v>
      </c>
      <c r="W428" s="46">
        <f>IF(VLOOKUP($C428,REV!$C:$AA,21,0)-'TRADE IN'!$F428=0,"",(VLOOKUP($C428,REV!$C:$AA,21,0)-'TRADE IN'!$F428))</f>
        <v>5299</v>
      </c>
      <c r="X428" s="46">
        <f>IF(VLOOKUP($C428,REV!$C:$AA,22,0)-'TRADE IN'!$F428=0,"",(VLOOKUP($C428,REV!$C:$AA,22,0)-'TRADE IN'!$F428))</f>
        <v>4999</v>
      </c>
      <c r="Y428" s="46">
        <f>IF(VLOOKUP($C428,REV!$C:$AA,23,0)-'TRADE IN'!$F428=0,"",(VLOOKUP($C428,REV!$C:$AA,23,0)-'TRADE IN'!$F428))</f>
        <v>4499</v>
      </c>
      <c r="Z428" s="46">
        <f>IF(VLOOKUP($C428,REV!$C:$AA,24,0)-'TRADE IN'!$F428=0,"",(VLOOKUP($C428,REV!$C:$AA,24,0)-'TRADE IN'!$F428))</f>
        <v>4499</v>
      </c>
      <c r="AA428" s="46">
        <f>IF(VLOOKUP($C428,REV!$C:$AA,25,0)-'TRADE IN'!$F428=0,"",(VLOOKUP($C428,REV!$C:$AA,25,0)-'TRADE IN'!$F428))</f>
        <v>4499</v>
      </c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7"/>
      <c r="AW428" s="48" t="str">
        <f>REV!AW428</f>
        <v>01.12.2026</v>
      </c>
      <c r="AX428" s="153" t="str">
        <f>VLOOKUP(C428,REV!C:AX,48,0)</f>
        <v>5G</v>
      </c>
    </row>
    <row r="429" spans="1:50" ht="22.5" customHeight="1">
      <c r="A429" s="41" t="s">
        <v>63</v>
      </c>
      <c r="B429" s="42" t="s">
        <v>64</v>
      </c>
      <c r="C429" s="43">
        <v>4016894</v>
      </c>
      <c r="D429" s="58" t="s">
        <v>623</v>
      </c>
      <c r="E429" s="58" t="s">
        <v>626</v>
      </c>
      <c r="F429" s="45">
        <v>500</v>
      </c>
      <c r="G429" s="45"/>
      <c r="H429" s="45"/>
      <c r="I429" s="45"/>
      <c r="J429" s="46">
        <f>IF(VLOOKUP($C429,REV!$C:$AA,8,0)-'TRADE IN'!$F429=0,"",(VLOOKUP($C429,REV!$C:$AA,8,0)-'TRADE IN'!$F429))</f>
        <v>5799</v>
      </c>
      <c r="K429" s="46">
        <f>IF(VLOOKUP($C429,REV!$C:$AA,9,0)-'TRADE IN'!$F429=0,"",(VLOOKUP($C429,REV!$C:$AA,9,0)-'TRADE IN'!$F429))</f>
        <v>5799</v>
      </c>
      <c r="L429" s="46">
        <f>IF(VLOOKUP($C429,REV!$C:$AA,10,0)-'TRADE IN'!$F429=0,"",(VLOOKUP($C429,REV!$C:$AA,10,0)-'TRADE IN'!$F429))</f>
        <v>5799</v>
      </c>
      <c r="M429" s="46">
        <f>IF(VLOOKUP($C429,REV!$C:$AA,11,0)-'TRADE IN'!$F429=0,"",(VLOOKUP($C429,REV!$C:$AA,11,0)-'TRADE IN'!$F429))</f>
        <v>5799</v>
      </c>
      <c r="N429" s="46">
        <f>IF(VLOOKUP($C429,REV!$C:$AA,12,0)-'TRADE IN'!$F429=0,"",(VLOOKUP($C429,REV!$C:$AA,12,0)-'TRADE IN'!$F429))</f>
        <v>5799</v>
      </c>
      <c r="O429" s="46">
        <f>IF(VLOOKUP($C429,REV!$C:$AA,13,0)-'TRADE IN'!$F429=0,"",(VLOOKUP($C429,REV!$C:$AA,13,0)-'TRADE IN'!$F429))</f>
        <v>5699</v>
      </c>
      <c r="P429" s="46">
        <f>IF(VLOOKUP($C429,REV!$C:$AA,14,0)-'TRADE IN'!$F429=0,"",(VLOOKUP($C429,REV!$C:$AA,14,0)-'TRADE IN'!$F429))</f>
        <v>5599</v>
      </c>
      <c r="Q429" s="46">
        <f>IF(VLOOKUP($C429,REV!$C:$AA,15,0)-'TRADE IN'!$F429=0,"",(VLOOKUP($C429,REV!$C:$AA,15,0)-'TRADE IN'!$F429))</f>
        <v>5299</v>
      </c>
      <c r="R429" s="46">
        <f>IF(VLOOKUP($C429,REV!$C:$AA,16,0)-'TRADE IN'!$F429=0,"",(VLOOKUP($C429,REV!$C:$AA,16,0)-'TRADE IN'!$F429))</f>
        <v>5699</v>
      </c>
      <c r="S429" s="46">
        <f>IF(VLOOKUP($C429,REV!$C:$AA,17,0)-'TRADE IN'!$F429=0,"",(VLOOKUP($C429,REV!$C:$AA,17,0)-'TRADE IN'!$F429))</f>
        <v>5599</v>
      </c>
      <c r="T429" s="46">
        <f>IF(VLOOKUP($C429,REV!$C:$AA,18,0)-'TRADE IN'!$F429=0,"",(VLOOKUP($C429,REV!$C:$AA,18,0)-'TRADE IN'!$F429))</f>
        <v>5299</v>
      </c>
      <c r="U429" s="46">
        <f>IF(VLOOKUP($C429,REV!$C:$AA,19,0)-'TRADE IN'!$F429=0,"",(VLOOKUP($C429,REV!$C:$AA,19,0)-'TRADE IN'!$F429))</f>
        <v>5299</v>
      </c>
      <c r="V429" s="46">
        <f>IF(VLOOKUP($C429,REV!$C:$AA,20,0)-'TRADE IN'!$F429=0,"",(VLOOKUP($C429,REV!$C:$AA,20,0)-'TRADE IN'!$F429))</f>
        <v>5299</v>
      </c>
      <c r="W429" s="46">
        <f>IF(VLOOKUP($C429,REV!$C:$AA,21,0)-'TRADE IN'!$F429=0,"",(VLOOKUP($C429,REV!$C:$AA,21,0)-'TRADE IN'!$F429))</f>
        <v>5299</v>
      </c>
      <c r="X429" s="46">
        <f>IF(VLOOKUP($C429,REV!$C:$AA,22,0)-'TRADE IN'!$F429=0,"",(VLOOKUP($C429,REV!$C:$AA,22,0)-'TRADE IN'!$F429))</f>
        <v>4999</v>
      </c>
      <c r="Y429" s="46">
        <f>IF(VLOOKUP($C429,REV!$C:$AA,23,0)-'TRADE IN'!$F429=0,"",(VLOOKUP($C429,REV!$C:$AA,23,0)-'TRADE IN'!$F429))</f>
        <v>4499</v>
      </c>
      <c r="Z429" s="46">
        <f>IF(VLOOKUP($C429,REV!$C:$AA,24,0)-'TRADE IN'!$F429=0,"",(VLOOKUP($C429,REV!$C:$AA,24,0)-'TRADE IN'!$F429))</f>
        <v>4499</v>
      </c>
      <c r="AA429" s="46">
        <f>IF(VLOOKUP($C429,REV!$C:$AA,25,0)-'TRADE IN'!$F429=0,"",(VLOOKUP($C429,REV!$C:$AA,25,0)-'TRADE IN'!$F429))</f>
        <v>4499</v>
      </c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7"/>
      <c r="AW429" s="48" t="str">
        <f>REV!AW429</f>
        <v>01.12.2026</v>
      </c>
      <c r="AX429" s="153" t="str">
        <f>VLOOKUP(C429,REV!C:AX,48,0)</f>
        <v>5G</v>
      </c>
    </row>
    <row r="430" spans="1:50" ht="22.5" customHeight="1">
      <c r="A430" s="41" t="s">
        <v>63</v>
      </c>
      <c r="B430" s="42" t="s">
        <v>64</v>
      </c>
      <c r="C430" s="43">
        <v>4016875</v>
      </c>
      <c r="D430" s="58" t="s">
        <v>627</v>
      </c>
      <c r="E430" s="58" t="s">
        <v>628</v>
      </c>
      <c r="F430" s="45">
        <v>1000</v>
      </c>
      <c r="G430" s="45"/>
      <c r="H430" s="45"/>
      <c r="I430" s="45"/>
      <c r="J430" s="46">
        <f>IF(VLOOKUP($C430,REV!$C:$AA,8,0)-'TRADE IN'!$F430=0,"",(VLOOKUP($C430,REV!$C:$AA,8,0)-'TRADE IN'!$F430))</f>
        <v>5999</v>
      </c>
      <c r="K430" s="46">
        <f>IF(VLOOKUP($C430,REV!$C:$AA,9,0)-'TRADE IN'!$F430=0,"",(VLOOKUP($C430,REV!$C:$AA,9,0)-'TRADE IN'!$F430))</f>
        <v>5999</v>
      </c>
      <c r="L430" s="46">
        <f>IF(VLOOKUP($C430,REV!$C:$AA,10,0)-'TRADE IN'!$F430=0,"",(VLOOKUP($C430,REV!$C:$AA,10,0)-'TRADE IN'!$F430))</f>
        <v>5999</v>
      </c>
      <c r="M430" s="46">
        <f>IF(VLOOKUP($C430,REV!$C:$AA,11,0)-'TRADE IN'!$F430=0,"",(VLOOKUP($C430,REV!$C:$AA,11,0)-'TRADE IN'!$F430))</f>
        <v>5999</v>
      </c>
      <c r="N430" s="46">
        <f>IF(VLOOKUP($C430,REV!$C:$AA,12,0)-'TRADE IN'!$F430=0,"",(VLOOKUP($C430,REV!$C:$AA,12,0)-'TRADE IN'!$F430))</f>
        <v>5999</v>
      </c>
      <c r="O430" s="46">
        <f>IF(VLOOKUP($C430,REV!$C:$AA,13,0)-'TRADE IN'!$F430=0,"",(VLOOKUP($C430,REV!$C:$AA,13,0)-'TRADE IN'!$F430))</f>
        <v>5899</v>
      </c>
      <c r="P430" s="46">
        <f>IF(VLOOKUP($C430,REV!$C:$AA,14,0)-'TRADE IN'!$F430=0,"",(VLOOKUP($C430,REV!$C:$AA,14,0)-'TRADE IN'!$F430))</f>
        <v>5799</v>
      </c>
      <c r="Q430" s="46">
        <f>IF(VLOOKUP($C430,REV!$C:$AA,15,0)-'TRADE IN'!$F430=0,"",(VLOOKUP($C430,REV!$C:$AA,15,0)-'TRADE IN'!$F430))</f>
        <v>4299</v>
      </c>
      <c r="R430" s="46">
        <f>IF(VLOOKUP($C430,REV!$C:$AA,16,0)-'TRADE IN'!$F430=0,"",(VLOOKUP($C430,REV!$C:$AA,16,0)-'TRADE IN'!$F430))</f>
        <v>5899</v>
      </c>
      <c r="S430" s="46">
        <f>IF(VLOOKUP($C430,REV!$C:$AA,17,0)-'TRADE IN'!$F430=0,"",(VLOOKUP($C430,REV!$C:$AA,17,0)-'TRADE IN'!$F430))</f>
        <v>5799</v>
      </c>
      <c r="T430" s="46">
        <f>IF(VLOOKUP($C430,REV!$C:$AA,18,0)-'TRADE IN'!$F430=0,"",(VLOOKUP($C430,REV!$C:$AA,18,0)-'TRADE IN'!$F430))</f>
        <v>4299</v>
      </c>
      <c r="U430" s="46">
        <f>IF(VLOOKUP($C430,REV!$C:$AA,19,0)-'TRADE IN'!$F430=0,"",(VLOOKUP($C430,REV!$C:$AA,19,0)-'TRADE IN'!$F430))</f>
        <v>4299</v>
      </c>
      <c r="V430" s="46">
        <f>IF(VLOOKUP($C430,REV!$C:$AA,20,0)-'TRADE IN'!$F430=0,"",(VLOOKUP($C430,REV!$C:$AA,20,0)-'TRADE IN'!$F430))</f>
        <v>4299</v>
      </c>
      <c r="W430" s="46">
        <f>IF(VLOOKUP($C430,REV!$C:$AA,21,0)-'TRADE IN'!$F430=0,"",(VLOOKUP($C430,REV!$C:$AA,21,0)-'TRADE IN'!$F430))</f>
        <v>4299</v>
      </c>
      <c r="X430" s="46">
        <f>IF(VLOOKUP($C430,REV!$C:$AA,22,0)-'TRADE IN'!$F430=0,"",(VLOOKUP($C430,REV!$C:$AA,22,0)-'TRADE IN'!$F430))</f>
        <v>4199</v>
      </c>
      <c r="Y430" s="46">
        <f>IF(VLOOKUP($C430,REV!$C:$AA,23,0)-'TRADE IN'!$F430=0,"",(VLOOKUP($C430,REV!$C:$AA,23,0)-'TRADE IN'!$F430))</f>
        <v>3499</v>
      </c>
      <c r="Z430" s="46">
        <f>IF(VLOOKUP($C430,REV!$C:$AA,24,0)-'TRADE IN'!$F430=0,"",(VLOOKUP($C430,REV!$C:$AA,24,0)-'TRADE IN'!$F430))</f>
        <v>3499</v>
      </c>
      <c r="AA430" s="46">
        <f>IF(VLOOKUP($C430,REV!$C:$AA,25,0)-'TRADE IN'!$F430=0,"",(VLOOKUP($C430,REV!$C:$AA,25,0)-'TRADE IN'!$F430))</f>
        <v>3299</v>
      </c>
      <c r="AB430" s="45">
        <f>IF(VLOOKUP($C430,REV!$C:$AL,27,0)-'TRADE IN'!$F430=0,"",(VLOOKUP($C430,REV!$C:$AL,27,0)-'TRADE IN'!$F430))</f>
        <v>5999</v>
      </c>
      <c r="AC430" s="45">
        <f>IF(VLOOKUP($C430,REV!$C:$AL,28,0)-'TRADE IN'!$F430=0,"",(VLOOKUP($C430,REV!$C:$AL,28,0)-'TRADE IN'!$F430))</f>
        <v>5999</v>
      </c>
      <c r="AD430" s="45">
        <f>IF(VLOOKUP($C430,REV!$C:$AL,29,0)-'TRADE IN'!$F430=0,"",(VLOOKUP($C430,REV!$C:$AL,29,0)-'TRADE IN'!$F430))</f>
        <v>5999</v>
      </c>
      <c r="AE430" s="45">
        <f>IF(VLOOKUP($C430,REV!$C:$AL,30,0)-'TRADE IN'!$F430=0,"",(VLOOKUP($C430,REV!$C:$AL,30,0)-'TRADE IN'!$F430))</f>
        <v>5899</v>
      </c>
      <c r="AF430" s="45">
        <f>IF(VLOOKUP($C430,REV!$C:$AL,31,0)-'TRADE IN'!$F430=0,"",(VLOOKUP($C430,REV!$C:$AL,31,0)-'TRADE IN'!$F430))</f>
        <v>5799</v>
      </c>
      <c r="AG430" s="45">
        <f>IF(VLOOKUP($C430,REV!$C:$AL,31,0)-'TRADE IN'!$F430=0,"",(VLOOKUP($C430,REV!$C:$AL,31,0)-'TRADE IN'!$F430))</f>
        <v>5799</v>
      </c>
      <c r="AH430" s="45">
        <f>IF(VLOOKUP($C430,REV!$C:$AL,32,0)-'TRADE IN'!$F430=0,"",(VLOOKUP($C430,REV!$C:$AL,32,0)-'TRADE IN'!$F430))</f>
        <v>4299</v>
      </c>
      <c r="AI430" s="45">
        <f>IF(VLOOKUP($C430,REV!$C:$AL,33,0)-'TRADE IN'!$F430=0,"",(VLOOKUP($C430,REV!$C:$AL,33,0)-'TRADE IN'!$F430))</f>
        <v>4299</v>
      </c>
      <c r="AJ430" s="45">
        <f>IF(VLOOKUP($C430,REV!$C:$AL,34,0)-'TRADE IN'!$F430=0,"",(VLOOKUP($C430,REV!$C:$AL,34,0)-'TRADE IN'!$F430))</f>
        <v>4299</v>
      </c>
      <c r="AK430" s="45">
        <f>IF(VLOOKUP($C430,REV!$C:$AL,35,0)-'TRADE IN'!$F430=0,"",(VLOOKUP($C430,REV!$C:$AL,35,0)-'TRADE IN'!$F430))</f>
        <v>4299</v>
      </c>
      <c r="AL430" s="45">
        <f>IF(VLOOKUP($C430,REV!$C:$AL,36,0)-'TRADE IN'!$F430=0,"",(VLOOKUP($C430,REV!$C:$AL,36,0)-'TRADE IN'!$F430))</f>
        <v>3499</v>
      </c>
      <c r="AM430" s="45"/>
      <c r="AN430" s="45"/>
      <c r="AO430" s="45"/>
      <c r="AP430" s="45"/>
      <c r="AQ430" s="45"/>
      <c r="AR430" s="45"/>
      <c r="AS430" s="45"/>
      <c r="AT430" s="45"/>
      <c r="AU430" s="45"/>
      <c r="AV430" s="47"/>
      <c r="AW430" s="48" t="str">
        <f>REV!AW430</f>
        <v>01.12.2026</v>
      </c>
      <c r="AX430" s="153" t="str">
        <f>VLOOKUP(C430,REV!C:AX,48,0)</f>
        <v>5G</v>
      </c>
    </row>
    <row r="431" spans="1:50" ht="22.5" customHeight="1">
      <c r="A431" s="41" t="s">
        <v>63</v>
      </c>
      <c r="B431" s="42" t="s">
        <v>64</v>
      </c>
      <c r="C431" s="43">
        <v>4016859</v>
      </c>
      <c r="D431" s="58" t="s">
        <v>627</v>
      </c>
      <c r="E431" s="58" t="s">
        <v>629</v>
      </c>
      <c r="F431" s="45">
        <v>1000</v>
      </c>
      <c r="G431" s="45"/>
      <c r="H431" s="45"/>
      <c r="I431" s="45"/>
      <c r="J431" s="46">
        <f>IF(VLOOKUP($C431,REV!$C:$AA,8,0)-'TRADE IN'!$F431=0,"",(VLOOKUP($C431,REV!$C:$AA,8,0)-'TRADE IN'!$F431))</f>
        <v>5999</v>
      </c>
      <c r="K431" s="46">
        <f>IF(VLOOKUP($C431,REV!$C:$AA,9,0)-'TRADE IN'!$F431=0,"",(VLOOKUP($C431,REV!$C:$AA,9,0)-'TRADE IN'!$F431))</f>
        <v>5999</v>
      </c>
      <c r="L431" s="46">
        <f>IF(VLOOKUP($C431,REV!$C:$AA,10,0)-'TRADE IN'!$F431=0,"",(VLOOKUP($C431,REV!$C:$AA,10,0)-'TRADE IN'!$F431))</f>
        <v>5999</v>
      </c>
      <c r="M431" s="46">
        <f>IF(VLOOKUP($C431,REV!$C:$AA,11,0)-'TRADE IN'!$F431=0,"",(VLOOKUP($C431,REV!$C:$AA,11,0)-'TRADE IN'!$F431))</f>
        <v>5999</v>
      </c>
      <c r="N431" s="46">
        <f>IF(VLOOKUP($C431,REV!$C:$AA,12,0)-'TRADE IN'!$F431=0,"",(VLOOKUP($C431,REV!$C:$AA,12,0)-'TRADE IN'!$F431))</f>
        <v>5999</v>
      </c>
      <c r="O431" s="46">
        <f>IF(VLOOKUP($C431,REV!$C:$AA,13,0)-'TRADE IN'!$F431=0,"",(VLOOKUP($C431,REV!$C:$AA,13,0)-'TRADE IN'!$F431))</f>
        <v>5899</v>
      </c>
      <c r="P431" s="46">
        <f>IF(VLOOKUP($C431,REV!$C:$AA,14,0)-'TRADE IN'!$F431=0,"",(VLOOKUP($C431,REV!$C:$AA,14,0)-'TRADE IN'!$F431))</f>
        <v>5799</v>
      </c>
      <c r="Q431" s="46">
        <f>IF(VLOOKUP($C431,REV!$C:$AA,15,0)-'TRADE IN'!$F431=0,"",(VLOOKUP($C431,REV!$C:$AA,15,0)-'TRADE IN'!$F431))</f>
        <v>4299</v>
      </c>
      <c r="R431" s="46">
        <f>IF(VLOOKUP($C431,REV!$C:$AA,16,0)-'TRADE IN'!$F431=0,"",(VLOOKUP($C431,REV!$C:$AA,16,0)-'TRADE IN'!$F431))</f>
        <v>5899</v>
      </c>
      <c r="S431" s="46">
        <f>IF(VLOOKUP($C431,REV!$C:$AA,17,0)-'TRADE IN'!$F431=0,"",(VLOOKUP($C431,REV!$C:$AA,17,0)-'TRADE IN'!$F431))</f>
        <v>5799</v>
      </c>
      <c r="T431" s="46">
        <f>IF(VLOOKUP($C431,REV!$C:$AA,18,0)-'TRADE IN'!$F431=0,"",(VLOOKUP($C431,REV!$C:$AA,18,0)-'TRADE IN'!$F431))</f>
        <v>4299</v>
      </c>
      <c r="U431" s="46">
        <f>IF(VLOOKUP($C431,REV!$C:$AA,19,0)-'TRADE IN'!$F431=0,"",(VLOOKUP($C431,REV!$C:$AA,19,0)-'TRADE IN'!$F431))</f>
        <v>4299</v>
      </c>
      <c r="V431" s="46">
        <f>IF(VLOOKUP($C431,REV!$C:$AA,20,0)-'TRADE IN'!$F431=0,"",(VLOOKUP($C431,REV!$C:$AA,20,0)-'TRADE IN'!$F431))</f>
        <v>4299</v>
      </c>
      <c r="W431" s="46">
        <f>IF(VLOOKUP($C431,REV!$C:$AA,21,0)-'TRADE IN'!$F431=0,"",(VLOOKUP($C431,REV!$C:$AA,21,0)-'TRADE IN'!$F431))</f>
        <v>4299</v>
      </c>
      <c r="X431" s="46">
        <f>IF(VLOOKUP($C431,REV!$C:$AA,22,0)-'TRADE IN'!$F431=0,"",(VLOOKUP($C431,REV!$C:$AA,22,0)-'TRADE IN'!$F431))</f>
        <v>4199</v>
      </c>
      <c r="Y431" s="46">
        <f>IF(VLOOKUP($C431,REV!$C:$AA,23,0)-'TRADE IN'!$F431=0,"",(VLOOKUP($C431,REV!$C:$AA,23,0)-'TRADE IN'!$F431))</f>
        <v>3499</v>
      </c>
      <c r="Z431" s="46">
        <f>IF(VLOOKUP($C431,REV!$C:$AA,24,0)-'TRADE IN'!$F431=0,"",(VLOOKUP($C431,REV!$C:$AA,24,0)-'TRADE IN'!$F431))</f>
        <v>3499</v>
      </c>
      <c r="AA431" s="46">
        <f>IF(VLOOKUP($C431,REV!$C:$AA,25,0)-'TRADE IN'!$F431=0,"",(VLOOKUP($C431,REV!$C:$AA,25,0)-'TRADE IN'!$F431))</f>
        <v>3299</v>
      </c>
      <c r="AB431" s="45">
        <f>IF(VLOOKUP($C431,REV!$C:$AL,27,0)-'TRADE IN'!$F431=0,"",(VLOOKUP($C431,REV!$C:$AL,27,0)-'TRADE IN'!$F431))</f>
        <v>5999</v>
      </c>
      <c r="AC431" s="45">
        <f>IF(VLOOKUP($C431,REV!$C:$AL,28,0)-'TRADE IN'!$F431=0,"",(VLOOKUP($C431,REV!$C:$AL,28,0)-'TRADE IN'!$F431))</f>
        <v>5999</v>
      </c>
      <c r="AD431" s="45">
        <f>IF(VLOOKUP($C431,REV!$C:$AL,29,0)-'TRADE IN'!$F431=0,"",(VLOOKUP($C431,REV!$C:$AL,29,0)-'TRADE IN'!$F431))</f>
        <v>5999</v>
      </c>
      <c r="AE431" s="45">
        <f>IF(VLOOKUP($C431,REV!$C:$AL,30,0)-'TRADE IN'!$F431=0,"",(VLOOKUP($C431,REV!$C:$AL,30,0)-'TRADE IN'!$F431))</f>
        <v>5899</v>
      </c>
      <c r="AF431" s="45">
        <f>IF(VLOOKUP($C431,REV!$C:$AL,31,0)-'TRADE IN'!$F431=0,"",(VLOOKUP($C431,REV!$C:$AL,31,0)-'TRADE IN'!$F431))</f>
        <v>5799</v>
      </c>
      <c r="AG431" s="45">
        <f>IF(VLOOKUP($C431,REV!$C:$AL,31,0)-'TRADE IN'!$F431=0,"",(VLOOKUP($C431,REV!$C:$AL,31,0)-'TRADE IN'!$F431))</f>
        <v>5799</v>
      </c>
      <c r="AH431" s="45">
        <f>IF(VLOOKUP($C431,REV!$C:$AL,32,0)-'TRADE IN'!$F431=0,"",(VLOOKUP($C431,REV!$C:$AL,32,0)-'TRADE IN'!$F431))</f>
        <v>4299</v>
      </c>
      <c r="AI431" s="45">
        <f>IF(VLOOKUP($C431,REV!$C:$AL,33,0)-'TRADE IN'!$F431=0,"",(VLOOKUP($C431,REV!$C:$AL,33,0)-'TRADE IN'!$F431))</f>
        <v>4299</v>
      </c>
      <c r="AJ431" s="45">
        <f>IF(VLOOKUP($C431,REV!$C:$AL,34,0)-'TRADE IN'!$F431=0,"",(VLOOKUP($C431,REV!$C:$AL,34,0)-'TRADE IN'!$F431))</f>
        <v>4299</v>
      </c>
      <c r="AK431" s="45">
        <f>IF(VLOOKUP($C431,REV!$C:$AL,35,0)-'TRADE IN'!$F431=0,"",(VLOOKUP($C431,REV!$C:$AL,35,0)-'TRADE IN'!$F431))</f>
        <v>4299</v>
      </c>
      <c r="AL431" s="45">
        <f>IF(VLOOKUP($C431,REV!$C:$AL,36,0)-'TRADE IN'!$F431=0,"",(VLOOKUP($C431,REV!$C:$AL,36,0)-'TRADE IN'!$F431))</f>
        <v>3499</v>
      </c>
      <c r="AM431" s="45"/>
      <c r="AN431" s="45"/>
      <c r="AO431" s="45"/>
      <c r="AP431" s="45"/>
      <c r="AQ431" s="45"/>
      <c r="AR431" s="45"/>
      <c r="AS431" s="45"/>
      <c r="AT431" s="45"/>
      <c r="AU431" s="45"/>
      <c r="AV431" s="47"/>
      <c r="AW431" s="48" t="str">
        <f>REV!AW431</f>
        <v>01.12.2026</v>
      </c>
      <c r="AX431" s="153" t="str">
        <f>VLOOKUP(C431,REV!C:AX,48,0)</f>
        <v>5G</v>
      </c>
    </row>
    <row r="432" spans="1:50" ht="22.5" customHeight="1">
      <c r="A432" s="41" t="s">
        <v>63</v>
      </c>
      <c r="B432" s="42" t="s">
        <v>64</v>
      </c>
      <c r="C432" s="43">
        <v>4016852</v>
      </c>
      <c r="D432" s="58" t="s">
        <v>627</v>
      </c>
      <c r="E432" s="58" t="s">
        <v>630</v>
      </c>
      <c r="F432" s="45">
        <v>1000</v>
      </c>
      <c r="G432" s="45"/>
      <c r="H432" s="45"/>
      <c r="I432" s="45"/>
      <c r="J432" s="46">
        <f>IF(VLOOKUP($C432,REV!$C:$AA,8,0)-'TRADE IN'!$F432=0,"",(VLOOKUP($C432,REV!$C:$AA,8,0)-'TRADE IN'!$F432))</f>
        <v>5999</v>
      </c>
      <c r="K432" s="46">
        <f>IF(VLOOKUP($C432,REV!$C:$AA,9,0)-'TRADE IN'!$F432=0,"",(VLOOKUP($C432,REV!$C:$AA,9,0)-'TRADE IN'!$F432))</f>
        <v>5999</v>
      </c>
      <c r="L432" s="46">
        <f>IF(VLOOKUP($C432,REV!$C:$AA,10,0)-'TRADE IN'!$F432=0,"",(VLOOKUP($C432,REV!$C:$AA,10,0)-'TRADE IN'!$F432))</f>
        <v>5999</v>
      </c>
      <c r="M432" s="46">
        <f>IF(VLOOKUP($C432,REV!$C:$AA,11,0)-'TRADE IN'!$F432=0,"",(VLOOKUP($C432,REV!$C:$AA,11,0)-'TRADE IN'!$F432))</f>
        <v>5999</v>
      </c>
      <c r="N432" s="46">
        <f>IF(VLOOKUP($C432,REV!$C:$AA,12,0)-'TRADE IN'!$F432=0,"",(VLOOKUP($C432,REV!$C:$AA,12,0)-'TRADE IN'!$F432))</f>
        <v>5999</v>
      </c>
      <c r="O432" s="46">
        <f>IF(VLOOKUP($C432,REV!$C:$AA,13,0)-'TRADE IN'!$F432=0,"",(VLOOKUP($C432,REV!$C:$AA,13,0)-'TRADE IN'!$F432))</f>
        <v>5899</v>
      </c>
      <c r="P432" s="46">
        <f>IF(VLOOKUP($C432,REV!$C:$AA,14,0)-'TRADE IN'!$F432=0,"",(VLOOKUP($C432,REV!$C:$AA,14,0)-'TRADE IN'!$F432))</f>
        <v>5799</v>
      </c>
      <c r="Q432" s="46">
        <f>IF(VLOOKUP($C432,REV!$C:$AA,15,0)-'TRADE IN'!$F432=0,"",(VLOOKUP($C432,REV!$C:$AA,15,0)-'TRADE IN'!$F432))</f>
        <v>4299</v>
      </c>
      <c r="R432" s="46">
        <f>IF(VLOOKUP($C432,REV!$C:$AA,16,0)-'TRADE IN'!$F432=0,"",(VLOOKUP($C432,REV!$C:$AA,16,0)-'TRADE IN'!$F432))</f>
        <v>5899</v>
      </c>
      <c r="S432" s="46">
        <f>IF(VLOOKUP($C432,REV!$C:$AA,17,0)-'TRADE IN'!$F432=0,"",(VLOOKUP($C432,REV!$C:$AA,17,0)-'TRADE IN'!$F432))</f>
        <v>5799</v>
      </c>
      <c r="T432" s="46">
        <f>IF(VLOOKUP($C432,REV!$C:$AA,18,0)-'TRADE IN'!$F432=0,"",(VLOOKUP($C432,REV!$C:$AA,18,0)-'TRADE IN'!$F432))</f>
        <v>4299</v>
      </c>
      <c r="U432" s="46">
        <f>IF(VLOOKUP($C432,REV!$C:$AA,19,0)-'TRADE IN'!$F432=0,"",(VLOOKUP($C432,REV!$C:$AA,19,0)-'TRADE IN'!$F432))</f>
        <v>4299</v>
      </c>
      <c r="V432" s="46">
        <f>IF(VLOOKUP($C432,REV!$C:$AA,20,0)-'TRADE IN'!$F432=0,"",(VLOOKUP($C432,REV!$C:$AA,20,0)-'TRADE IN'!$F432))</f>
        <v>4299</v>
      </c>
      <c r="W432" s="46">
        <f>IF(VLOOKUP($C432,REV!$C:$AA,21,0)-'TRADE IN'!$F432=0,"",(VLOOKUP($C432,REV!$C:$AA,21,0)-'TRADE IN'!$F432))</f>
        <v>4299</v>
      </c>
      <c r="X432" s="46">
        <f>IF(VLOOKUP($C432,REV!$C:$AA,22,0)-'TRADE IN'!$F432=0,"",(VLOOKUP($C432,REV!$C:$AA,22,0)-'TRADE IN'!$F432))</f>
        <v>4199</v>
      </c>
      <c r="Y432" s="46">
        <f>IF(VLOOKUP($C432,REV!$C:$AA,23,0)-'TRADE IN'!$F432=0,"",(VLOOKUP($C432,REV!$C:$AA,23,0)-'TRADE IN'!$F432))</f>
        <v>3499</v>
      </c>
      <c r="Z432" s="46">
        <f>IF(VLOOKUP($C432,REV!$C:$AA,24,0)-'TRADE IN'!$F432=0,"",(VLOOKUP($C432,REV!$C:$AA,24,0)-'TRADE IN'!$F432))</f>
        <v>3499</v>
      </c>
      <c r="AA432" s="46">
        <f>IF(VLOOKUP($C432,REV!$C:$AA,25,0)-'TRADE IN'!$F432=0,"",(VLOOKUP($C432,REV!$C:$AA,25,0)-'TRADE IN'!$F432))</f>
        <v>3299</v>
      </c>
      <c r="AB432" s="45">
        <f>IF(VLOOKUP($C432,REV!$C:$AL,27,0)-'TRADE IN'!$F432=0,"",(VLOOKUP($C432,REV!$C:$AL,27,0)-'TRADE IN'!$F432))</f>
        <v>5999</v>
      </c>
      <c r="AC432" s="45">
        <f>IF(VLOOKUP($C432,REV!$C:$AL,28,0)-'TRADE IN'!$F432=0,"",(VLOOKUP($C432,REV!$C:$AL,28,0)-'TRADE IN'!$F432))</f>
        <v>5999</v>
      </c>
      <c r="AD432" s="45">
        <f>IF(VLOOKUP($C432,REV!$C:$AL,29,0)-'TRADE IN'!$F432=0,"",(VLOOKUP($C432,REV!$C:$AL,29,0)-'TRADE IN'!$F432))</f>
        <v>5999</v>
      </c>
      <c r="AE432" s="45">
        <f>IF(VLOOKUP($C432,REV!$C:$AL,30,0)-'TRADE IN'!$F432=0,"",(VLOOKUP($C432,REV!$C:$AL,30,0)-'TRADE IN'!$F432))</f>
        <v>5899</v>
      </c>
      <c r="AF432" s="45">
        <f>IF(VLOOKUP($C432,REV!$C:$AL,31,0)-'TRADE IN'!$F432=0,"",(VLOOKUP($C432,REV!$C:$AL,31,0)-'TRADE IN'!$F432))</f>
        <v>5799</v>
      </c>
      <c r="AG432" s="45">
        <f>IF(VLOOKUP($C432,REV!$C:$AL,31,0)-'TRADE IN'!$F432=0,"",(VLOOKUP($C432,REV!$C:$AL,31,0)-'TRADE IN'!$F432))</f>
        <v>5799</v>
      </c>
      <c r="AH432" s="45">
        <f>IF(VLOOKUP($C432,REV!$C:$AL,32,0)-'TRADE IN'!$F432=0,"",(VLOOKUP($C432,REV!$C:$AL,32,0)-'TRADE IN'!$F432))</f>
        <v>4299</v>
      </c>
      <c r="AI432" s="45">
        <f>IF(VLOOKUP($C432,REV!$C:$AL,33,0)-'TRADE IN'!$F432=0,"",(VLOOKUP($C432,REV!$C:$AL,33,0)-'TRADE IN'!$F432))</f>
        <v>4299</v>
      </c>
      <c r="AJ432" s="45">
        <f>IF(VLOOKUP($C432,REV!$C:$AL,34,0)-'TRADE IN'!$F432=0,"",(VLOOKUP($C432,REV!$C:$AL,34,0)-'TRADE IN'!$F432))</f>
        <v>4299</v>
      </c>
      <c r="AK432" s="45">
        <f>IF(VLOOKUP($C432,REV!$C:$AL,35,0)-'TRADE IN'!$F432=0,"",(VLOOKUP($C432,REV!$C:$AL,35,0)-'TRADE IN'!$F432))</f>
        <v>4299</v>
      </c>
      <c r="AL432" s="45">
        <f>IF(VLOOKUP($C432,REV!$C:$AL,36,0)-'TRADE IN'!$F432=0,"",(VLOOKUP($C432,REV!$C:$AL,36,0)-'TRADE IN'!$F432))</f>
        <v>3499</v>
      </c>
      <c r="AM432" s="45"/>
      <c r="AN432" s="45"/>
      <c r="AO432" s="45"/>
      <c r="AP432" s="45"/>
      <c r="AQ432" s="45"/>
      <c r="AR432" s="45"/>
      <c r="AS432" s="45"/>
      <c r="AT432" s="45"/>
      <c r="AU432" s="45"/>
      <c r="AV432" s="47"/>
      <c r="AW432" s="48" t="str">
        <f>REV!AW432</f>
        <v>01.12.2026</v>
      </c>
      <c r="AX432" s="153" t="str">
        <f>VLOOKUP(C432,REV!C:AX,48,0)</f>
        <v>5G</v>
      </c>
    </row>
    <row r="433" spans="1:50" ht="22.5" customHeight="1">
      <c r="A433" s="41" t="s">
        <v>63</v>
      </c>
      <c r="B433" s="42" t="s">
        <v>64</v>
      </c>
      <c r="C433" s="43">
        <v>4016905</v>
      </c>
      <c r="D433" s="58" t="s">
        <v>627</v>
      </c>
      <c r="E433" s="58" t="s">
        <v>631</v>
      </c>
      <c r="F433" s="45">
        <v>1000</v>
      </c>
      <c r="G433" s="45"/>
      <c r="H433" s="45"/>
      <c r="I433" s="45"/>
      <c r="J433" s="46">
        <f>IF(VLOOKUP($C433,REV!$C:$AA,8,0)-'TRADE IN'!$F433=0,"",(VLOOKUP($C433,REV!$C:$AA,8,0)-'TRADE IN'!$F433))</f>
        <v>5999</v>
      </c>
      <c r="K433" s="46">
        <f>IF(VLOOKUP($C433,REV!$C:$AA,9,0)-'TRADE IN'!$F433=0,"",(VLOOKUP($C433,REV!$C:$AA,9,0)-'TRADE IN'!$F433))</f>
        <v>5999</v>
      </c>
      <c r="L433" s="46">
        <f>IF(VLOOKUP($C433,REV!$C:$AA,10,0)-'TRADE IN'!$F433=0,"",(VLOOKUP($C433,REV!$C:$AA,10,0)-'TRADE IN'!$F433))</f>
        <v>5999</v>
      </c>
      <c r="M433" s="46">
        <f>IF(VLOOKUP($C433,REV!$C:$AA,11,0)-'TRADE IN'!$F433=0,"",(VLOOKUP($C433,REV!$C:$AA,11,0)-'TRADE IN'!$F433))</f>
        <v>5999</v>
      </c>
      <c r="N433" s="46">
        <f>IF(VLOOKUP($C433,REV!$C:$AA,12,0)-'TRADE IN'!$F433=0,"",(VLOOKUP($C433,REV!$C:$AA,12,0)-'TRADE IN'!$F433))</f>
        <v>5999</v>
      </c>
      <c r="O433" s="46">
        <f>IF(VLOOKUP($C433,REV!$C:$AA,13,0)-'TRADE IN'!$F433=0,"",(VLOOKUP($C433,REV!$C:$AA,13,0)-'TRADE IN'!$F433))</f>
        <v>5899</v>
      </c>
      <c r="P433" s="46">
        <f>IF(VLOOKUP($C433,REV!$C:$AA,14,0)-'TRADE IN'!$F433=0,"",(VLOOKUP($C433,REV!$C:$AA,14,0)-'TRADE IN'!$F433))</f>
        <v>5799</v>
      </c>
      <c r="Q433" s="46">
        <f>IF(VLOOKUP($C433,REV!$C:$AA,15,0)-'TRADE IN'!$F433=0,"",(VLOOKUP($C433,REV!$C:$AA,15,0)-'TRADE IN'!$F433))</f>
        <v>4299</v>
      </c>
      <c r="R433" s="46">
        <f>IF(VLOOKUP($C433,REV!$C:$AA,16,0)-'TRADE IN'!$F433=0,"",(VLOOKUP($C433,REV!$C:$AA,16,0)-'TRADE IN'!$F433))</f>
        <v>5899</v>
      </c>
      <c r="S433" s="46">
        <f>IF(VLOOKUP($C433,REV!$C:$AA,17,0)-'TRADE IN'!$F433=0,"",(VLOOKUP($C433,REV!$C:$AA,17,0)-'TRADE IN'!$F433))</f>
        <v>5799</v>
      </c>
      <c r="T433" s="46">
        <f>IF(VLOOKUP($C433,REV!$C:$AA,18,0)-'TRADE IN'!$F433=0,"",(VLOOKUP($C433,REV!$C:$AA,18,0)-'TRADE IN'!$F433))</f>
        <v>4299</v>
      </c>
      <c r="U433" s="46">
        <f>IF(VLOOKUP($C433,REV!$C:$AA,19,0)-'TRADE IN'!$F433=0,"",(VLOOKUP($C433,REV!$C:$AA,19,0)-'TRADE IN'!$F433))</f>
        <v>4299</v>
      </c>
      <c r="V433" s="46">
        <f>IF(VLOOKUP($C433,REV!$C:$AA,20,0)-'TRADE IN'!$F433=0,"",(VLOOKUP($C433,REV!$C:$AA,20,0)-'TRADE IN'!$F433))</f>
        <v>4299</v>
      </c>
      <c r="W433" s="46">
        <f>IF(VLOOKUP($C433,REV!$C:$AA,21,0)-'TRADE IN'!$F433=0,"",(VLOOKUP($C433,REV!$C:$AA,21,0)-'TRADE IN'!$F433))</f>
        <v>4299</v>
      </c>
      <c r="X433" s="46">
        <f>IF(VLOOKUP($C433,REV!$C:$AA,22,0)-'TRADE IN'!$F433=0,"",(VLOOKUP($C433,REV!$C:$AA,22,0)-'TRADE IN'!$F433))</f>
        <v>4199</v>
      </c>
      <c r="Y433" s="46">
        <f>IF(VLOOKUP($C433,REV!$C:$AA,23,0)-'TRADE IN'!$F433=0,"",(VLOOKUP($C433,REV!$C:$AA,23,0)-'TRADE IN'!$F433))</f>
        <v>3499</v>
      </c>
      <c r="Z433" s="46">
        <f>IF(VLOOKUP($C433,REV!$C:$AA,24,0)-'TRADE IN'!$F433=0,"",(VLOOKUP($C433,REV!$C:$AA,24,0)-'TRADE IN'!$F433))</f>
        <v>3499</v>
      </c>
      <c r="AA433" s="46">
        <f>IF(VLOOKUP($C433,REV!$C:$AA,25,0)-'TRADE IN'!$F433=0,"",(VLOOKUP($C433,REV!$C:$AA,25,0)-'TRADE IN'!$F433))</f>
        <v>3299</v>
      </c>
      <c r="AB433" s="45">
        <f>IF(VLOOKUP($C433,REV!$C:$AL,27,0)-'TRADE IN'!$F433=0,"",(VLOOKUP($C433,REV!$C:$AL,27,0)-'TRADE IN'!$F433))</f>
        <v>5999</v>
      </c>
      <c r="AC433" s="45">
        <f>IF(VLOOKUP($C433,REV!$C:$AL,28,0)-'TRADE IN'!$F433=0,"",(VLOOKUP($C433,REV!$C:$AL,28,0)-'TRADE IN'!$F433))</f>
        <v>5999</v>
      </c>
      <c r="AD433" s="45">
        <f>IF(VLOOKUP($C433,REV!$C:$AL,29,0)-'TRADE IN'!$F433=0,"",(VLOOKUP($C433,REV!$C:$AL,29,0)-'TRADE IN'!$F433))</f>
        <v>5999</v>
      </c>
      <c r="AE433" s="45">
        <f>IF(VLOOKUP($C433,REV!$C:$AL,30,0)-'TRADE IN'!$F433=0,"",(VLOOKUP($C433,REV!$C:$AL,30,0)-'TRADE IN'!$F433))</f>
        <v>5899</v>
      </c>
      <c r="AF433" s="45">
        <f>IF(VLOOKUP($C433,REV!$C:$AL,31,0)-'TRADE IN'!$F433=0,"",(VLOOKUP($C433,REV!$C:$AL,31,0)-'TRADE IN'!$F433))</f>
        <v>5799</v>
      </c>
      <c r="AG433" s="45">
        <f>IF(VLOOKUP($C433,REV!$C:$AL,31,0)-'TRADE IN'!$F433=0,"",(VLOOKUP($C433,REV!$C:$AL,31,0)-'TRADE IN'!$F433))</f>
        <v>5799</v>
      </c>
      <c r="AH433" s="45">
        <f>IF(VLOOKUP($C433,REV!$C:$AL,32,0)-'TRADE IN'!$F433=0,"",(VLOOKUP($C433,REV!$C:$AL,32,0)-'TRADE IN'!$F433))</f>
        <v>4299</v>
      </c>
      <c r="AI433" s="45">
        <f>IF(VLOOKUP($C433,REV!$C:$AL,33,0)-'TRADE IN'!$F433=0,"",(VLOOKUP($C433,REV!$C:$AL,33,0)-'TRADE IN'!$F433))</f>
        <v>4299</v>
      </c>
      <c r="AJ433" s="45">
        <f>IF(VLOOKUP($C433,REV!$C:$AL,34,0)-'TRADE IN'!$F433=0,"",(VLOOKUP($C433,REV!$C:$AL,34,0)-'TRADE IN'!$F433))</f>
        <v>4299</v>
      </c>
      <c r="AK433" s="45">
        <f>IF(VLOOKUP($C433,REV!$C:$AL,35,0)-'TRADE IN'!$F433=0,"",(VLOOKUP($C433,REV!$C:$AL,35,0)-'TRADE IN'!$F433))</f>
        <v>4299</v>
      </c>
      <c r="AL433" s="45">
        <f>IF(VLOOKUP($C433,REV!$C:$AL,36,0)-'TRADE IN'!$F433=0,"",(VLOOKUP($C433,REV!$C:$AL,36,0)-'TRADE IN'!$F433))</f>
        <v>3499</v>
      </c>
      <c r="AM433" s="45"/>
      <c r="AN433" s="45"/>
      <c r="AO433" s="45"/>
      <c r="AP433" s="45"/>
      <c r="AQ433" s="45"/>
      <c r="AR433" s="45"/>
      <c r="AS433" s="45"/>
      <c r="AT433" s="45"/>
      <c r="AU433" s="45"/>
      <c r="AV433" s="47"/>
      <c r="AW433" s="48" t="str">
        <f>REV!AW433</f>
        <v>01.12.2026</v>
      </c>
      <c r="AX433" s="153" t="str">
        <f>VLOOKUP(C433,REV!C:AX,48,0)</f>
        <v>5G</v>
      </c>
    </row>
    <row r="434" spans="1:50" ht="22.5" customHeight="1">
      <c r="A434" s="41" t="s">
        <v>63</v>
      </c>
      <c r="B434" s="42" t="s">
        <v>64</v>
      </c>
      <c r="C434" s="43">
        <v>4016890</v>
      </c>
      <c r="D434" s="58" t="s">
        <v>627</v>
      </c>
      <c r="E434" s="58" t="s">
        <v>632</v>
      </c>
      <c r="F434" s="45">
        <v>1000</v>
      </c>
      <c r="G434" s="45"/>
      <c r="H434" s="45"/>
      <c r="I434" s="45"/>
      <c r="J434" s="46">
        <f>IF(VLOOKUP($C434,REV!$C:$AA,8,0)-'TRADE IN'!$F434=0,"",(VLOOKUP($C434,REV!$C:$AA,8,0)-'TRADE IN'!$F434))</f>
        <v>5999</v>
      </c>
      <c r="K434" s="46">
        <f>IF(VLOOKUP($C434,REV!$C:$AA,9,0)-'TRADE IN'!$F434=0,"",(VLOOKUP($C434,REV!$C:$AA,9,0)-'TRADE IN'!$F434))</f>
        <v>5999</v>
      </c>
      <c r="L434" s="46">
        <f>IF(VLOOKUP($C434,REV!$C:$AA,10,0)-'TRADE IN'!$F434=0,"",(VLOOKUP($C434,REV!$C:$AA,10,0)-'TRADE IN'!$F434))</f>
        <v>5999</v>
      </c>
      <c r="M434" s="46">
        <f>IF(VLOOKUP($C434,REV!$C:$AA,11,0)-'TRADE IN'!$F434=0,"",(VLOOKUP($C434,REV!$C:$AA,11,0)-'TRADE IN'!$F434))</f>
        <v>5999</v>
      </c>
      <c r="N434" s="46">
        <f>IF(VLOOKUP($C434,REV!$C:$AA,12,0)-'TRADE IN'!$F434=0,"",(VLOOKUP($C434,REV!$C:$AA,12,0)-'TRADE IN'!$F434))</f>
        <v>5999</v>
      </c>
      <c r="O434" s="46">
        <f>IF(VLOOKUP($C434,REV!$C:$AA,13,0)-'TRADE IN'!$F434=0,"",(VLOOKUP($C434,REV!$C:$AA,13,0)-'TRADE IN'!$F434))</f>
        <v>5899</v>
      </c>
      <c r="P434" s="46">
        <f>IF(VLOOKUP($C434,REV!$C:$AA,14,0)-'TRADE IN'!$F434=0,"",(VLOOKUP($C434,REV!$C:$AA,14,0)-'TRADE IN'!$F434))</f>
        <v>5799</v>
      </c>
      <c r="Q434" s="46">
        <f>IF(VLOOKUP($C434,REV!$C:$AA,15,0)-'TRADE IN'!$F434=0,"",(VLOOKUP($C434,REV!$C:$AA,15,0)-'TRADE IN'!$F434))</f>
        <v>4299</v>
      </c>
      <c r="R434" s="46">
        <f>IF(VLOOKUP($C434,REV!$C:$AA,16,0)-'TRADE IN'!$F434=0,"",(VLOOKUP($C434,REV!$C:$AA,16,0)-'TRADE IN'!$F434))</f>
        <v>5899</v>
      </c>
      <c r="S434" s="46">
        <f>IF(VLOOKUP($C434,REV!$C:$AA,17,0)-'TRADE IN'!$F434=0,"",(VLOOKUP($C434,REV!$C:$AA,17,0)-'TRADE IN'!$F434))</f>
        <v>5799</v>
      </c>
      <c r="T434" s="46">
        <f>IF(VLOOKUP($C434,REV!$C:$AA,18,0)-'TRADE IN'!$F434=0,"",(VLOOKUP($C434,REV!$C:$AA,18,0)-'TRADE IN'!$F434))</f>
        <v>4299</v>
      </c>
      <c r="U434" s="46">
        <f>IF(VLOOKUP($C434,REV!$C:$AA,19,0)-'TRADE IN'!$F434=0,"",(VLOOKUP($C434,REV!$C:$AA,19,0)-'TRADE IN'!$F434))</f>
        <v>4299</v>
      </c>
      <c r="V434" s="46">
        <f>IF(VLOOKUP($C434,REV!$C:$AA,20,0)-'TRADE IN'!$F434=0,"",(VLOOKUP($C434,REV!$C:$AA,20,0)-'TRADE IN'!$F434))</f>
        <v>4299</v>
      </c>
      <c r="W434" s="46">
        <f>IF(VLOOKUP($C434,REV!$C:$AA,21,0)-'TRADE IN'!$F434=0,"",(VLOOKUP($C434,REV!$C:$AA,21,0)-'TRADE IN'!$F434))</f>
        <v>4299</v>
      </c>
      <c r="X434" s="46">
        <f>IF(VLOOKUP($C434,REV!$C:$AA,22,0)-'TRADE IN'!$F434=0,"",(VLOOKUP($C434,REV!$C:$AA,22,0)-'TRADE IN'!$F434))</f>
        <v>4199</v>
      </c>
      <c r="Y434" s="46">
        <f>IF(VLOOKUP($C434,REV!$C:$AA,23,0)-'TRADE IN'!$F434=0,"",(VLOOKUP($C434,REV!$C:$AA,23,0)-'TRADE IN'!$F434))</f>
        <v>3499</v>
      </c>
      <c r="Z434" s="46">
        <f>IF(VLOOKUP($C434,REV!$C:$AA,24,0)-'TRADE IN'!$F434=0,"",(VLOOKUP($C434,REV!$C:$AA,24,0)-'TRADE IN'!$F434))</f>
        <v>3499</v>
      </c>
      <c r="AA434" s="46">
        <f>IF(VLOOKUP($C434,REV!$C:$AA,25,0)-'TRADE IN'!$F434=0,"",(VLOOKUP($C434,REV!$C:$AA,25,0)-'TRADE IN'!$F434))</f>
        <v>3299</v>
      </c>
      <c r="AB434" s="45">
        <f>IF(VLOOKUP($C434,REV!$C:$AL,27,0)-'TRADE IN'!$F434=0,"",(VLOOKUP($C434,REV!$C:$AL,27,0)-'TRADE IN'!$F434))</f>
        <v>5999</v>
      </c>
      <c r="AC434" s="45">
        <f>IF(VLOOKUP($C434,REV!$C:$AL,28,0)-'TRADE IN'!$F434=0,"",(VLOOKUP($C434,REV!$C:$AL,28,0)-'TRADE IN'!$F434))</f>
        <v>5999</v>
      </c>
      <c r="AD434" s="45">
        <f>IF(VLOOKUP($C434,REV!$C:$AL,29,0)-'TRADE IN'!$F434=0,"",(VLOOKUP($C434,REV!$C:$AL,29,0)-'TRADE IN'!$F434))</f>
        <v>5999</v>
      </c>
      <c r="AE434" s="45">
        <f>IF(VLOOKUP($C434,REV!$C:$AL,30,0)-'TRADE IN'!$F434=0,"",(VLOOKUP($C434,REV!$C:$AL,30,0)-'TRADE IN'!$F434))</f>
        <v>5899</v>
      </c>
      <c r="AF434" s="45">
        <f>IF(VLOOKUP($C434,REV!$C:$AL,31,0)-'TRADE IN'!$F434=0,"",(VLOOKUP($C434,REV!$C:$AL,31,0)-'TRADE IN'!$F434))</f>
        <v>5799</v>
      </c>
      <c r="AG434" s="45">
        <f>IF(VLOOKUP($C434,REV!$C:$AL,31,0)-'TRADE IN'!$F434=0,"",(VLOOKUP($C434,REV!$C:$AL,31,0)-'TRADE IN'!$F434))</f>
        <v>5799</v>
      </c>
      <c r="AH434" s="45">
        <f>IF(VLOOKUP($C434,REV!$C:$AL,32,0)-'TRADE IN'!$F434=0,"",(VLOOKUP($C434,REV!$C:$AL,32,0)-'TRADE IN'!$F434))</f>
        <v>4299</v>
      </c>
      <c r="AI434" s="45">
        <f>IF(VLOOKUP($C434,REV!$C:$AL,33,0)-'TRADE IN'!$F434=0,"",(VLOOKUP($C434,REV!$C:$AL,33,0)-'TRADE IN'!$F434))</f>
        <v>4299</v>
      </c>
      <c r="AJ434" s="45">
        <f>IF(VLOOKUP($C434,REV!$C:$AL,34,0)-'TRADE IN'!$F434=0,"",(VLOOKUP($C434,REV!$C:$AL,34,0)-'TRADE IN'!$F434))</f>
        <v>4299</v>
      </c>
      <c r="AK434" s="45">
        <f>IF(VLOOKUP($C434,REV!$C:$AL,35,0)-'TRADE IN'!$F434=0,"",(VLOOKUP($C434,REV!$C:$AL,35,0)-'TRADE IN'!$F434))</f>
        <v>4299</v>
      </c>
      <c r="AL434" s="45">
        <f>IF(VLOOKUP($C434,REV!$C:$AL,36,0)-'TRADE IN'!$F434=0,"",(VLOOKUP($C434,REV!$C:$AL,36,0)-'TRADE IN'!$F434))</f>
        <v>3499</v>
      </c>
      <c r="AM434" s="45"/>
      <c r="AN434" s="45"/>
      <c r="AO434" s="45"/>
      <c r="AP434" s="45"/>
      <c r="AQ434" s="45"/>
      <c r="AR434" s="45"/>
      <c r="AS434" s="45"/>
      <c r="AT434" s="45"/>
      <c r="AU434" s="45"/>
      <c r="AV434" s="47"/>
      <c r="AW434" s="48" t="str">
        <f>REV!AW434</f>
        <v>01.12.2026</v>
      </c>
      <c r="AX434" s="153" t="str">
        <f>VLOOKUP(C434,REV!C:AX,48,0)</f>
        <v>5G</v>
      </c>
    </row>
    <row r="435" spans="1:50" ht="22.5" customHeight="1">
      <c r="A435" s="41" t="s">
        <v>63</v>
      </c>
      <c r="B435" s="42" t="s">
        <v>64</v>
      </c>
      <c r="C435" s="43">
        <v>4016883</v>
      </c>
      <c r="D435" s="58" t="s">
        <v>627</v>
      </c>
      <c r="E435" s="58" t="s">
        <v>633</v>
      </c>
      <c r="F435" s="45">
        <v>1000</v>
      </c>
      <c r="G435" s="45"/>
      <c r="H435" s="45"/>
      <c r="I435" s="45"/>
      <c r="J435" s="46">
        <f>IF(VLOOKUP($C435,REV!$C:$AA,8,0)-'TRADE IN'!$F435=0,"",(VLOOKUP($C435,REV!$C:$AA,8,0)-'TRADE IN'!$F435))</f>
        <v>5999</v>
      </c>
      <c r="K435" s="46">
        <f>IF(VLOOKUP($C435,REV!$C:$AA,9,0)-'TRADE IN'!$F435=0,"",(VLOOKUP($C435,REV!$C:$AA,9,0)-'TRADE IN'!$F435))</f>
        <v>5999</v>
      </c>
      <c r="L435" s="46">
        <f>IF(VLOOKUP($C435,REV!$C:$AA,10,0)-'TRADE IN'!$F435=0,"",(VLOOKUP($C435,REV!$C:$AA,10,0)-'TRADE IN'!$F435))</f>
        <v>5999</v>
      </c>
      <c r="M435" s="46">
        <f>IF(VLOOKUP($C435,REV!$C:$AA,11,0)-'TRADE IN'!$F435=0,"",(VLOOKUP($C435,REV!$C:$AA,11,0)-'TRADE IN'!$F435))</f>
        <v>5999</v>
      </c>
      <c r="N435" s="46">
        <f>IF(VLOOKUP($C435,REV!$C:$AA,12,0)-'TRADE IN'!$F435=0,"",(VLOOKUP($C435,REV!$C:$AA,12,0)-'TRADE IN'!$F435))</f>
        <v>5999</v>
      </c>
      <c r="O435" s="46">
        <f>IF(VLOOKUP($C435,REV!$C:$AA,13,0)-'TRADE IN'!$F435=0,"",(VLOOKUP($C435,REV!$C:$AA,13,0)-'TRADE IN'!$F435))</f>
        <v>5899</v>
      </c>
      <c r="P435" s="46">
        <f>IF(VLOOKUP($C435,REV!$C:$AA,14,0)-'TRADE IN'!$F435=0,"",(VLOOKUP($C435,REV!$C:$AA,14,0)-'TRADE IN'!$F435))</f>
        <v>5799</v>
      </c>
      <c r="Q435" s="46">
        <f>IF(VLOOKUP($C435,REV!$C:$AA,15,0)-'TRADE IN'!$F435=0,"",(VLOOKUP($C435,REV!$C:$AA,15,0)-'TRADE IN'!$F435))</f>
        <v>4299</v>
      </c>
      <c r="R435" s="46">
        <f>IF(VLOOKUP($C435,REV!$C:$AA,16,0)-'TRADE IN'!$F435=0,"",(VLOOKUP($C435,REV!$C:$AA,16,0)-'TRADE IN'!$F435))</f>
        <v>5899</v>
      </c>
      <c r="S435" s="46">
        <f>IF(VLOOKUP($C435,REV!$C:$AA,17,0)-'TRADE IN'!$F435=0,"",(VLOOKUP($C435,REV!$C:$AA,17,0)-'TRADE IN'!$F435))</f>
        <v>5799</v>
      </c>
      <c r="T435" s="46">
        <f>IF(VLOOKUP($C435,REV!$C:$AA,18,0)-'TRADE IN'!$F435=0,"",(VLOOKUP($C435,REV!$C:$AA,18,0)-'TRADE IN'!$F435))</f>
        <v>4299</v>
      </c>
      <c r="U435" s="46">
        <f>IF(VLOOKUP($C435,REV!$C:$AA,19,0)-'TRADE IN'!$F435=0,"",(VLOOKUP($C435,REV!$C:$AA,19,0)-'TRADE IN'!$F435))</f>
        <v>4299</v>
      </c>
      <c r="V435" s="46">
        <f>IF(VLOOKUP($C435,REV!$C:$AA,20,0)-'TRADE IN'!$F435=0,"",(VLOOKUP($C435,REV!$C:$AA,20,0)-'TRADE IN'!$F435))</f>
        <v>4299</v>
      </c>
      <c r="W435" s="46">
        <f>IF(VLOOKUP($C435,REV!$C:$AA,21,0)-'TRADE IN'!$F435=0,"",(VLOOKUP($C435,REV!$C:$AA,21,0)-'TRADE IN'!$F435))</f>
        <v>4299</v>
      </c>
      <c r="X435" s="46">
        <f>IF(VLOOKUP($C435,REV!$C:$AA,22,0)-'TRADE IN'!$F435=0,"",(VLOOKUP($C435,REV!$C:$AA,22,0)-'TRADE IN'!$F435))</f>
        <v>4199</v>
      </c>
      <c r="Y435" s="46">
        <f>IF(VLOOKUP($C435,REV!$C:$AA,23,0)-'TRADE IN'!$F435=0,"",(VLOOKUP($C435,REV!$C:$AA,23,0)-'TRADE IN'!$F435))</f>
        <v>3499</v>
      </c>
      <c r="Z435" s="46">
        <f>IF(VLOOKUP($C435,REV!$C:$AA,24,0)-'TRADE IN'!$F435=0,"",(VLOOKUP($C435,REV!$C:$AA,24,0)-'TRADE IN'!$F435))</f>
        <v>3499</v>
      </c>
      <c r="AA435" s="46">
        <f>IF(VLOOKUP($C435,REV!$C:$AA,25,0)-'TRADE IN'!$F435=0,"",(VLOOKUP($C435,REV!$C:$AA,25,0)-'TRADE IN'!$F435))</f>
        <v>3299</v>
      </c>
      <c r="AB435" s="45">
        <f>IF(VLOOKUP($C435,REV!$C:$AL,27,0)-'TRADE IN'!$F435=0,"",(VLOOKUP($C435,REV!$C:$AL,27,0)-'TRADE IN'!$F435))</f>
        <v>5999</v>
      </c>
      <c r="AC435" s="45">
        <f>IF(VLOOKUP($C435,REV!$C:$AL,28,0)-'TRADE IN'!$F435=0,"",(VLOOKUP($C435,REV!$C:$AL,28,0)-'TRADE IN'!$F435))</f>
        <v>5999</v>
      </c>
      <c r="AD435" s="45">
        <f>IF(VLOOKUP($C435,REV!$C:$AL,29,0)-'TRADE IN'!$F435=0,"",(VLOOKUP($C435,REV!$C:$AL,29,0)-'TRADE IN'!$F435))</f>
        <v>5999</v>
      </c>
      <c r="AE435" s="45">
        <f>IF(VLOOKUP($C435,REV!$C:$AL,30,0)-'TRADE IN'!$F435=0,"",(VLOOKUP($C435,REV!$C:$AL,30,0)-'TRADE IN'!$F435))</f>
        <v>5899</v>
      </c>
      <c r="AF435" s="45">
        <f>IF(VLOOKUP($C435,REV!$C:$AL,31,0)-'TRADE IN'!$F435=0,"",(VLOOKUP($C435,REV!$C:$AL,31,0)-'TRADE IN'!$F435))</f>
        <v>5799</v>
      </c>
      <c r="AG435" s="45">
        <f>IF(VLOOKUP($C435,REV!$C:$AL,31,0)-'TRADE IN'!$F435=0,"",(VLOOKUP($C435,REV!$C:$AL,31,0)-'TRADE IN'!$F435))</f>
        <v>5799</v>
      </c>
      <c r="AH435" s="45">
        <f>IF(VLOOKUP($C435,REV!$C:$AL,32,0)-'TRADE IN'!$F435=0,"",(VLOOKUP($C435,REV!$C:$AL,32,0)-'TRADE IN'!$F435))</f>
        <v>4299</v>
      </c>
      <c r="AI435" s="45">
        <f>IF(VLOOKUP($C435,REV!$C:$AL,33,0)-'TRADE IN'!$F435=0,"",(VLOOKUP($C435,REV!$C:$AL,33,0)-'TRADE IN'!$F435))</f>
        <v>4299</v>
      </c>
      <c r="AJ435" s="45">
        <f>IF(VLOOKUP($C435,REV!$C:$AL,34,0)-'TRADE IN'!$F435=0,"",(VLOOKUP($C435,REV!$C:$AL,34,0)-'TRADE IN'!$F435))</f>
        <v>4299</v>
      </c>
      <c r="AK435" s="45">
        <f>IF(VLOOKUP($C435,REV!$C:$AL,35,0)-'TRADE IN'!$F435=0,"",(VLOOKUP($C435,REV!$C:$AL,35,0)-'TRADE IN'!$F435))</f>
        <v>4299</v>
      </c>
      <c r="AL435" s="45">
        <f>IF(VLOOKUP($C435,REV!$C:$AL,36,0)-'TRADE IN'!$F435=0,"",(VLOOKUP($C435,REV!$C:$AL,36,0)-'TRADE IN'!$F435))</f>
        <v>3499</v>
      </c>
      <c r="AM435" s="45"/>
      <c r="AN435" s="45"/>
      <c r="AO435" s="45"/>
      <c r="AP435" s="45"/>
      <c r="AQ435" s="45"/>
      <c r="AR435" s="45"/>
      <c r="AS435" s="45"/>
      <c r="AT435" s="45"/>
      <c r="AU435" s="45"/>
      <c r="AV435" s="47"/>
      <c r="AW435" s="48" t="str">
        <f>REV!AW435</f>
        <v>01.12.2026</v>
      </c>
      <c r="AX435" s="153" t="str">
        <f>VLOOKUP(C435,REV!C:AX,48,0)</f>
        <v>5G</v>
      </c>
    </row>
    <row r="436" spans="1:50" ht="22.5" customHeight="1">
      <c r="A436" s="41" t="s">
        <v>63</v>
      </c>
      <c r="B436" s="42" t="s">
        <v>64</v>
      </c>
      <c r="C436" s="43">
        <v>4016853</v>
      </c>
      <c r="D436" s="58" t="s">
        <v>634</v>
      </c>
      <c r="E436" s="58" t="s">
        <v>635</v>
      </c>
      <c r="F436" s="45"/>
      <c r="G436" s="45"/>
      <c r="H436" s="45"/>
      <c r="I436" s="45"/>
      <c r="J436" s="46">
        <f>IF(VLOOKUP($C436,REV!$C:$AA,8,0)-'TRADE IN'!$F436=0,"",(VLOOKUP($C436,REV!$C:$AA,8,0)-'TRADE IN'!$F436))</f>
        <v>7399</v>
      </c>
      <c r="K436" s="46">
        <f>IF(VLOOKUP($C436,REV!$C:$AA,9,0)-'TRADE IN'!$F436=0,"",(VLOOKUP($C436,REV!$C:$AA,9,0)-'TRADE IN'!$F436))</f>
        <v>7399</v>
      </c>
      <c r="L436" s="46">
        <f>IF(VLOOKUP($C436,REV!$C:$AA,10,0)-'TRADE IN'!$F436=0,"",(VLOOKUP($C436,REV!$C:$AA,10,0)-'TRADE IN'!$F436))</f>
        <v>7399</v>
      </c>
      <c r="M436" s="46">
        <f>IF(VLOOKUP($C436,REV!$C:$AA,11,0)-'TRADE IN'!$F436=0,"",(VLOOKUP($C436,REV!$C:$AA,11,0)-'TRADE IN'!$F436))</f>
        <v>7399</v>
      </c>
      <c r="N436" s="46">
        <f>IF(VLOOKUP($C436,REV!$C:$AA,12,0)-'TRADE IN'!$F436=0,"",(VLOOKUP($C436,REV!$C:$AA,12,0)-'TRADE IN'!$F436))</f>
        <v>7399</v>
      </c>
      <c r="O436" s="46">
        <f>IF(VLOOKUP($C436,REV!$C:$AA,13,0)-'TRADE IN'!$F436=0,"",(VLOOKUP($C436,REV!$C:$AA,13,0)-'TRADE IN'!$F436))</f>
        <v>7349</v>
      </c>
      <c r="P436" s="46">
        <f>IF(VLOOKUP($C436,REV!$C:$AA,14,0)-'TRADE IN'!$F436=0,"",(VLOOKUP($C436,REV!$C:$AA,14,0)-'TRADE IN'!$F436))</f>
        <v>7299</v>
      </c>
      <c r="Q436" s="46">
        <f>IF(VLOOKUP($C436,REV!$C:$AA,15,0)-'TRADE IN'!$F436=0,"",(VLOOKUP($C436,REV!$C:$AA,15,0)-'TRADE IN'!$F436))</f>
        <v>6899</v>
      </c>
      <c r="R436" s="46">
        <f>IF(VLOOKUP($C436,REV!$C:$AA,16,0)-'TRADE IN'!$F436=0,"",(VLOOKUP($C436,REV!$C:$AA,16,0)-'TRADE IN'!$F436))</f>
        <v>7349</v>
      </c>
      <c r="S436" s="46">
        <f>IF(VLOOKUP($C436,REV!$C:$AA,17,0)-'TRADE IN'!$F436=0,"",(VLOOKUP($C436,REV!$C:$AA,17,0)-'TRADE IN'!$F436))</f>
        <v>7299</v>
      </c>
      <c r="T436" s="46">
        <f>IF(VLOOKUP($C436,REV!$C:$AA,18,0)-'TRADE IN'!$F436=0,"",(VLOOKUP($C436,REV!$C:$AA,18,0)-'TRADE IN'!$F436))</f>
        <v>6899</v>
      </c>
      <c r="U436" s="46">
        <f>IF(VLOOKUP($C436,REV!$C:$AA,19,0)-'TRADE IN'!$F436=0,"",(VLOOKUP($C436,REV!$C:$AA,19,0)-'TRADE IN'!$F436))</f>
        <v>6899</v>
      </c>
      <c r="V436" s="46">
        <f>IF(VLOOKUP($C436,REV!$C:$AA,20,0)-'TRADE IN'!$F436=0,"",(VLOOKUP($C436,REV!$C:$AA,20,0)-'TRADE IN'!$F436))</f>
        <v>6899</v>
      </c>
      <c r="W436" s="46">
        <f>IF(VLOOKUP($C436,REV!$C:$AA,21,0)-'TRADE IN'!$F436=0,"",(VLOOKUP($C436,REV!$C:$AA,21,0)-'TRADE IN'!$F436))</f>
        <v>6899</v>
      </c>
      <c r="X436" s="46">
        <f>IF(VLOOKUP($C436,REV!$C:$AA,22,0)-'TRADE IN'!$F436=0,"",(VLOOKUP($C436,REV!$C:$AA,22,0)-'TRADE IN'!$F436))</f>
        <v>6799</v>
      </c>
      <c r="Y436" s="46">
        <f>IF(VLOOKUP($C436,REV!$C:$AA,23,0)-'TRADE IN'!$F436=0,"",(VLOOKUP($C436,REV!$C:$AA,23,0)-'TRADE IN'!$F436))</f>
        <v>5799</v>
      </c>
      <c r="Z436" s="46">
        <f>IF(VLOOKUP($C436,REV!$C:$AA,24,0)-'TRADE IN'!$F436=0,"",(VLOOKUP($C436,REV!$C:$AA,24,0)-'TRADE IN'!$F436))</f>
        <v>5799</v>
      </c>
      <c r="AA436" s="46">
        <f>IF(VLOOKUP($C436,REV!$C:$AA,25,0)-'TRADE IN'!$F436=0,"",(VLOOKUP($C436,REV!$C:$AA,25,0)-'TRADE IN'!$F436))</f>
        <v>5799</v>
      </c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7"/>
      <c r="AW436" s="48" t="str">
        <f>REV!AW436</f>
        <v>01.12.2026</v>
      </c>
      <c r="AX436" s="153" t="str">
        <f>VLOOKUP(C436,REV!C:AX,48,0)</f>
        <v>5G</v>
      </c>
    </row>
    <row r="437" spans="1:50" ht="22.5" customHeight="1">
      <c r="A437" s="41" t="s">
        <v>63</v>
      </c>
      <c r="B437" s="42" t="s">
        <v>64</v>
      </c>
      <c r="C437" s="43">
        <v>4016884</v>
      </c>
      <c r="D437" s="58" t="s">
        <v>634</v>
      </c>
      <c r="E437" s="58" t="s">
        <v>636</v>
      </c>
      <c r="F437" s="45"/>
      <c r="G437" s="45"/>
      <c r="H437" s="45"/>
      <c r="I437" s="45"/>
      <c r="J437" s="46">
        <f>IF(VLOOKUP($C437,REV!$C:$AA,8,0)-'TRADE IN'!$F437=0,"",(VLOOKUP($C437,REV!$C:$AA,8,0)-'TRADE IN'!$F437))</f>
        <v>7399</v>
      </c>
      <c r="K437" s="46">
        <f>IF(VLOOKUP($C437,REV!$C:$AA,9,0)-'TRADE IN'!$F437=0,"",(VLOOKUP($C437,REV!$C:$AA,9,0)-'TRADE IN'!$F437))</f>
        <v>7399</v>
      </c>
      <c r="L437" s="46">
        <f>IF(VLOOKUP($C437,REV!$C:$AA,10,0)-'TRADE IN'!$F437=0,"",(VLOOKUP($C437,REV!$C:$AA,10,0)-'TRADE IN'!$F437))</f>
        <v>7399</v>
      </c>
      <c r="M437" s="46">
        <f>IF(VLOOKUP($C437,REV!$C:$AA,11,0)-'TRADE IN'!$F437=0,"",(VLOOKUP($C437,REV!$C:$AA,11,0)-'TRADE IN'!$F437))</f>
        <v>7399</v>
      </c>
      <c r="N437" s="46">
        <f>IF(VLOOKUP($C437,REV!$C:$AA,12,0)-'TRADE IN'!$F437=0,"",(VLOOKUP($C437,REV!$C:$AA,12,0)-'TRADE IN'!$F437))</f>
        <v>7399</v>
      </c>
      <c r="O437" s="46">
        <f>IF(VLOOKUP($C437,REV!$C:$AA,13,0)-'TRADE IN'!$F437=0,"",(VLOOKUP($C437,REV!$C:$AA,13,0)-'TRADE IN'!$F437))</f>
        <v>7349</v>
      </c>
      <c r="P437" s="46">
        <f>IF(VLOOKUP($C437,REV!$C:$AA,14,0)-'TRADE IN'!$F437=0,"",(VLOOKUP($C437,REV!$C:$AA,14,0)-'TRADE IN'!$F437))</f>
        <v>7299</v>
      </c>
      <c r="Q437" s="46">
        <f>IF(VLOOKUP($C437,REV!$C:$AA,15,0)-'TRADE IN'!$F437=0,"",(VLOOKUP($C437,REV!$C:$AA,15,0)-'TRADE IN'!$F437))</f>
        <v>6899</v>
      </c>
      <c r="R437" s="46">
        <f>IF(VLOOKUP($C437,REV!$C:$AA,16,0)-'TRADE IN'!$F437=0,"",(VLOOKUP($C437,REV!$C:$AA,16,0)-'TRADE IN'!$F437))</f>
        <v>7349</v>
      </c>
      <c r="S437" s="46">
        <f>IF(VLOOKUP($C437,REV!$C:$AA,17,0)-'TRADE IN'!$F437=0,"",(VLOOKUP($C437,REV!$C:$AA,17,0)-'TRADE IN'!$F437))</f>
        <v>7299</v>
      </c>
      <c r="T437" s="46">
        <f>IF(VLOOKUP($C437,REV!$C:$AA,18,0)-'TRADE IN'!$F437=0,"",(VLOOKUP($C437,REV!$C:$AA,18,0)-'TRADE IN'!$F437))</f>
        <v>6899</v>
      </c>
      <c r="U437" s="46">
        <f>IF(VLOOKUP($C437,REV!$C:$AA,19,0)-'TRADE IN'!$F437=0,"",(VLOOKUP($C437,REV!$C:$AA,19,0)-'TRADE IN'!$F437))</f>
        <v>6899</v>
      </c>
      <c r="V437" s="46">
        <f>IF(VLOOKUP($C437,REV!$C:$AA,20,0)-'TRADE IN'!$F437=0,"",(VLOOKUP($C437,REV!$C:$AA,20,0)-'TRADE IN'!$F437))</f>
        <v>6899</v>
      </c>
      <c r="W437" s="46">
        <f>IF(VLOOKUP($C437,REV!$C:$AA,21,0)-'TRADE IN'!$F437=0,"",(VLOOKUP($C437,REV!$C:$AA,21,0)-'TRADE IN'!$F437))</f>
        <v>6899</v>
      </c>
      <c r="X437" s="46">
        <f>IF(VLOOKUP($C437,REV!$C:$AA,22,0)-'TRADE IN'!$F437=0,"",(VLOOKUP($C437,REV!$C:$AA,22,0)-'TRADE IN'!$F437))</f>
        <v>6799</v>
      </c>
      <c r="Y437" s="46">
        <f>IF(VLOOKUP($C437,REV!$C:$AA,23,0)-'TRADE IN'!$F437=0,"",(VLOOKUP($C437,REV!$C:$AA,23,0)-'TRADE IN'!$F437))</f>
        <v>5799</v>
      </c>
      <c r="Z437" s="46">
        <f>IF(VLOOKUP($C437,REV!$C:$AA,24,0)-'TRADE IN'!$F437=0,"",(VLOOKUP($C437,REV!$C:$AA,24,0)-'TRADE IN'!$F437))</f>
        <v>5799</v>
      </c>
      <c r="AA437" s="46">
        <f>IF(VLOOKUP($C437,REV!$C:$AA,25,0)-'TRADE IN'!$F437=0,"",(VLOOKUP($C437,REV!$C:$AA,25,0)-'TRADE IN'!$F437))</f>
        <v>5799</v>
      </c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7"/>
      <c r="AW437" s="48" t="str">
        <f>REV!AW437</f>
        <v>01.12.2026</v>
      </c>
      <c r="AX437" s="153" t="str">
        <f>VLOOKUP(C437,REV!C:AX,48,0)</f>
        <v>5G</v>
      </c>
    </row>
    <row r="438" spans="1:50" ht="22.5" customHeight="1">
      <c r="A438" s="41" t="s">
        <v>63</v>
      </c>
      <c r="B438" s="42" t="s">
        <v>64</v>
      </c>
      <c r="C438" s="43">
        <v>4016724</v>
      </c>
      <c r="D438" s="58" t="s">
        <v>637</v>
      </c>
      <c r="E438" s="58" t="s">
        <v>638</v>
      </c>
      <c r="F438" s="45">
        <v>700</v>
      </c>
      <c r="G438" s="45"/>
      <c r="H438" s="45"/>
      <c r="I438" s="45"/>
      <c r="J438" s="46">
        <f>IF(VLOOKUP($C438,REV!$C:$AA,8,0)-'TRADE IN'!$F438=0,"",(VLOOKUP($C438,REV!$C:$AA,8,0)-'TRADE IN'!$F438))</f>
        <v>5699</v>
      </c>
      <c r="K438" s="46">
        <f>IF(VLOOKUP($C438,REV!$C:$AA,9,0)-'TRADE IN'!$F438=0,"",(VLOOKUP($C438,REV!$C:$AA,9,0)-'TRADE IN'!$F438))</f>
        <v>5699</v>
      </c>
      <c r="L438" s="46">
        <f>IF(VLOOKUP($C438,REV!$C:$AA,10,0)-'TRADE IN'!$F438=0,"",(VLOOKUP($C438,REV!$C:$AA,10,0)-'TRADE IN'!$F438))</f>
        <v>5699</v>
      </c>
      <c r="M438" s="46">
        <f>IF(VLOOKUP($C438,REV!$C:$AA,11,0)-'TRADE IN'!$F438=0,"",(VLOOKUP($C438,REV!$C:$AA,11,0)-'TRADE IN'!$F438))</f>
        <v>5699</v>
      </c>
      <c r="N438" s="46">
        <f>IF(VLOOKUP($C438,REV!$C:$AA,12,0)-'TRADE IN'!$F438=0,"",(VLOOKUP($C438,REV!$C:$AA,12,0)-'TRADE IN'!$F438))</f>
        <v>5699</v>
      </c>
      <c r="O438" s="46">
        <f>IF(VLOOKUP($C438,REV!$C:$AA,13,0)-'TRADE IN'!$F438=0,"",(VLOOKUP($C438,REV!$C:$AA,13,0)-'TRADE IN'!$F438))</f>
        <v>5599</v>
      </c>
      <c r="P438" s="46">
        <f>IF(VLOOKUP($C438,REV!$C:$AA,14,0)-'TRADE IN'!$F438=0,"",(VLOOKUP($C438,REV!$C:$AA,14,0)-'TRADE IN'!$F438))</f>
        <v>5499</v>
      </c>
      <c r="Q438" s="46">
        <f>IF(VLOOKUP($C438,REV!$C:$AA,15,0)-'TRADE IN'!$F438=0,"",(VLOOKUP($C438,REV!$C:$AA,15,0)-'TRADE IN'!$F438))</f>
        <v>4599</v>
      </c>
      <c r="R438" s="46">
        <f>IF(VLOOKUP($C438,REV!$C:$AA,16,0)-'TRADE IN'!$F438=0,"",(VLOOKUP($C438,REV!$C:$AA,16,0)-'TRADE IN'!$F438))</f>
        <v>5599</v>
      </c>
      <c r="S438" s="46">
        <f>IF(VLOOKUP($C438,REV!$C:$AA,17,0)-'TRADE IN'!$F438=0,"",(VLOOKUP($C438,REV!$C:$AA,17,0)-'TRADE IN'!$F438))</f>
        <v>5499</v>
      </c>
      <c r="T438" s="46">
        <f>IF(VLOOKUP($C438,REV!$C:$AA,18,0)-'TRADE IN'!$F438=0,"",(VLOOKUP($C438,REV!$C:$AA,18,0)-'TRADE IN'!$F438))</f>
        <v>4599</v>
      </c>
      <c r="U438" s="46">
        <f>IF(VLOOKUP($C438,REV!$C:$AA,19,0)-'TRADE IN'!$F438=0,"",(VLOOKUP($C438,REV!$C:$AA,19,0)-'TRADE IN'!$F438))</f>
        <v>4599</v>
      </c>
      <c r="V438" s="46">
        <f>IF(VLOOKUP($C438,REV!$C:$AA,20,0)-'TRADE IN'!$F438=0,"",(VLOOKUP($C438,REV!$C:$AA,20,0)-'TRADE IN'!$F438))</f>
        <v>4599</v>
      </c>
      <c r="W438" s="46">
        <f>IF(VLOOKUP($C438,REV!$C:$AA,21,0)-'TRADE IN'!$F438=0,"",(VLOOKUP($C438,REV!$C:$AA,21,0)-'TRADE IN'!$F438))</f>
        <v>4599</v>
      </c>
      <c r="X438" s="46">
        <f>IF(VLOOKUP($C438,REV!$C:$AA,22,0)-'TRADE IN'!$F438=0,"",(VLOOKUP($C438,REV!$C:$AA,22,0)-'TRADE IN'!$F438))</f>
        <v>4499</v>
      </c>
      <c r="Y438" s="46">
        <f>IF(VLOOKUP($C438,REV!$C:$AA,23,0)-'TRADE IN'!$F438=0,"",(VLOOKUP($C438,REV!$C:$AA,23,0)-'TRADE IN'!$F438))</f>
        <v>3599</v>
      </c>
      <c r="Z438" s="46">
        <f>IF(VLOOKUP($C438,REV!$C:$AA,24,0)-'TRADE IN'!$F438=0,"",(VLOOKUP($C438,REV!$C:$AA,24,0)-'TRADE IN'!$F438))</f>
        <v>3599</v>
      </c>
      <c r="AA438" s="46">
        <f>IF(VLOOKUP($C438,REV!$C:$AA,25,0)-'TRADE IN'!$F438=0,"",(VLOOKUP($C438,REV!$C:$AA,25,0)-'TRADE IN'!$F438))</f>
        <v>3599</v>
      </c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7"/>
      <c r="AW438" s="48" t="str">
        <f>REV!AW438</f>
        <v>01.12.2026</v>
      </c>
      <c r="AX438" s="153" t="str">
        <f>VLOOKUP(C438,REV!C:AX,48,0)</f>
        <v>5G</v>
      </c>
    </row>
    <row r="439" spans="1:50" ht="22.5" customHeight="1">
      <c r="A439" s="41" t="s">
        <v>63</v>
      </c>
      <c r="B439" s="42" t="s">
        <v>64</v>
      </c>
      <c r="C439" s="43">
        <v>4017407</v>
      </c>
      <c r="D439" s="58" t="s">
        <v>639</v>
      </c>
      <c r="E439" s="58" t="s">
        <v>640</v>
      </c>
      <c r="F439" s="45">
        <v>500</v>
      </c>
      <c r="G439" s="45"/>
      <c r="H439" s="45"/>
      <c r="I439" s="45"/>
      <c r="J439" s="46">
        <f>IF(VLOOKUP($C439,REV!$C:$AA,8,0)-'TRADE IN'!$F439=0,"",(VLOOKUP($C439,REV!$C:$AA,8,0)-'TRADE IN'!$F439))</f>
        <v>2699</v>
      </c>
      <c r="K439" s="46">
        <f>IF(VLOOKUP($C439,REV!$C:$AA,9,0)-'TRADE IN'!$F439=0,"",(VLOOKUP($C439,REV!$C:$AA,9,0)-'TRADE IN'!$F439))</f>
        <v>2699</v>
      </c>
      <c r="L439" s="46">
        <f>IF(VLOOKUP($C439,REV!$C:$AA,10,0)-'TRADE IN'!$F439=0,"",(VLOOKUP($C439,REV!$C:$AA,10,0)-'TRADE IN'!$F439))</f>
        <v>2699</v>
      </c>
      <c r="M439" s="46">
        <f>IF(VLOOKUP($C439,REV!$C:$AA,11,0)-'TRADE IN'!$F439=0,"",(VLOOKUP($C439,REV!$C:$AA,11,0)-'TRADE IN'!$F439))</f>
        <v>2699</v>
      </c>
      <c r="N439" s="46">
        <f>IF(VLOOKUP($C439,REV!$C:$AA,12,0)-'TRADE IN'!$F439=0,"",(VLOOKUP($C439,REV!$C:$AA,12,0)-'TRADE IN'!$F439))</f>
        <v>2699</v>
      </c>
      <c r="O439" s="46">
        <f>IF(VLOOKUP($C439,REV!$C:$AA,13,0)-'TRADE IN'!$F439=0,"",(VLOOKUP($C439,REV!$C:$AA,13,0)-'TRADE IN'!$F439))</f>
        <v>2599</v>
      </c>
      <c r="P439" s="46">
        <f>IF(VLOOKUP($C439,REV!$C:$AA,14,0)-'TRADE IN'!$F439=0,"",(VLOOKUP($C439,REV!$C:$AA,14,0)-'TRADE IN'!$F439))</f>
        <v>2549</v>
      </c>
      <c r="Q439" s="46">
        <f>IF(VLOOKUP($C439,REV!$C:$AA,15,0)-'TRADE IN'!$F439=0,"",(VLOOKUP($C439,REV!$C:$AA,15,0)-'TRADE IN'!$F439))</f>
        <v>1299</v>
      </c>
      <c r="R439" s="46">
        <f>IF(VLOOKUP($C439,REV!$C:$AA,16,0)-'TRADE IN'!$F439=0,"",(VLOOKUP($C439,REV!$C:$AA,16,0)-'TRADE IN'!$F439))</f>
        <v>2599</v>
      </c>
      <c r="S439" s="46">
        <f>IF(VLOOKUP($C439,REV!$C:$AA,17,0)-'TRADE IN'!$F439=0,"",(VLOOKUP($C439,REV!$C:$AA,17,0)-'TRADE IN'!$F439))</f>
        <v>2549</v>
      </c>
      <c r="T439" s="46">
        <f>IF(VLOOKUP($C439,REV!$C:$AA,18,0)-'TRADE IN'!$F439=0,"",(VLOOKUP($C439,REV!$C:$AA,18,0)-'TRADE IN'!$F439))</f>
        <v>1299</v>
      </c>
      <c r="U439" s="46">
        <f>IF(VLOOKUP($C439,REV!$C:$AA,19,0)-'TRADE IN'!$F439=0,"",(VLOOKUP($C439,REV!$C:$AA,19,0)-'TRADE IN'!$F439))</f>
        <v>1299</v>
      </c>
      <c r="V439" s="46">
        <f>IF(VLOOKUP($C439,REV!$C:$AA,20,0)-'TRADE IN'!$F439=0,"",(VLOOKUP($C439,REV!$C:$AA,20,0)-'TRADE IN'!$F439))</f>
        <v>1299</v>
      </c>
      <c r="W439" s="46">
        <f>IF(VLOOKUP($C439,REV!$C:$AA,21,0)-'TRADE IN'!$F439=0,"",(VLOOKUP($C439,REV!$C:$AA,21,0)-'TRADE IN'!$F439))</f>
        <v>1299</v>
      </c>
      <c r="X439" s="46">
        <f>IF(VLOOKUP($C439,REV!$C:$AA,22,0)-'TRADE IN'!$F439=0,"",(VLOOKUP($C439,REV!$C:$AA,22,0)-'TRADE IN'!$F439))</f>
        <v>1249</v>
      </c>
      <c r="Y439" s="46">
        <f>IF(VLOOKUP($C439,REV!$C:$AA,23,0)-'TRADE IN'!$F439=0,"",(VLOOKUP($C439,REV!$C:$AA,23,0)-'TRADE IN'!$F439))</f>
        <v>1199</v>
      </c>
      <c r="Z439" s="46">
        <f>IF(VLOOKUP($C439,REV!$C:$AA,24,0)-'TRADE IN'!$F439=0,"",(VLOOKUP($C439,REV!$C:$AA,24,0)-'TRADE IN'!$F439))</f>
        <v>1199</v>
      </c>
      <c r="AA439" s="46">
        <f>IF(VLOOKUP($C439,REV!$C:$AA,25,0)-'TRADE IN'!$F439=0,"",(VLOOKUP($C439,REV!$C:$AA,25,0)-'TRADE IN'!$F439))</f>
        <v>999</v>
      </c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7"/>
      <c r="AW439" s="48" t="str">
        <f>REV!AW439</f>
        <v>01.12.2026</v>
      </c>
      <c r="AX439" s="153" t="str">
        <f>VLOOKUP(C439,REV!C:AX,48,0)</f>
        <v>5G</v>
      </c>
    </row>
    <row r="440" spans="1:50" ht="22.5" customHeight="1">
      <c r="A440" s="41" t="s">
        <v>63</v>
      </c>
      <c r="B440" s="42" t="s">
        <v>64</v>
      </c>
      <c r="C440" s="43">
        <v>4017422</v>
      </c>
      <c r="D440" s="58" t="s">
        <v>639</v>
      </c>
      <c r="E440" s="58" t="s">
        <v>641</v>
      </c>
      <c r="F440" s="45">
        <v>500</v>
      </c>
      <c r="G440" s="45"/>
      <c r="H440" s="45"/>
      <c r="I440" s="45"/>
      <c r="J440" s="46">
        <f>IF(VLOOKUP($C440,REV!$C:$AA,8,0)-'TRADE IN'!$F440=0,"",(VLOOKUP($C440,REV!$C:$AA,8,0)-'TRADE IN'!$F440))</f>
        <v>2699</v>
      </c>
      <c r="K440" s="46">
        <f>IF(VLOOKUP($C440,REV!$C:$AA,9,0)-'TRADE IN'!$F440=0,"",(VLOOKUP($C440,REV!$C:$AA,9,0)-'TRADE IN'!$F440))</f>
        <v>2699</v>
      </c>
      <c r="L440" s="46">
        <f>IF(VLOOKUP($C440,REV!$C:$AA,10,0)-'TRADE IN'!$F440=0,"",(VLOOKUP($C440,REV!$C:$AA,10,0)-'TRADE IN'!$F440))</f>
        <v>2699</v>
      </c>
      <c r="M440" s="46">
        <f>IF(VLOOKUP($C440,REV!$C:$AA,11,0)-'TRADE IN'!$F440=0,"",(VLOOKUP($C440,REV!$C:$AA,11,0)-'TRADE IN'!$F440))</f>
        <v>2699</v>
      </c>
      <c r="N440" s="46">
        <f>IF(VLOOKUP($C440,REV!$C:$AA,12,0)-'TRADE IN'!$F440=0,"",(VLOOKUP($C440,REV!$C:$AA,12,0)-'TRADE IN'!$F440))</f>
        <v>2699</v>
      </c>
      <c r="O440" s="46">
        <f>IF(VLOOKUP($C440,REV!$C:$AA,13,0)-'TRADE IN'!$F440=0,"",(VLOOKUP($C440,REV!$C:$AA,13,0)-'TRADE IN'!$F440))</f>
        <v>2599</v>
      </c>
      <c r="P440" s="46">
        <f>IF(VLOOKUP($C440,REV!$C:$AA,14,0)-'TRADE IN'!$F440=0,"",(VLOOKUP($C440,REV!$C:$AA,14,0)-'TRADE IN'!$F440))</f>
        <v>2549</v>
      </c>
      <c r="Q440" s="46">
        <f>IF(VLOOKUP($C440,REV!$C:$AA,15,0)-'TRADE IN'!$F440=0,"",(VLOOKUP($C440,REV!$C:$AA,15,0)-'TRADE IN'!$F440))</f>
        <v>1299</v>
      </c>
      <c r="R440" s="46">
        <f>IF(VLOOKUP($C440,REV!$C:$AA,16,0)-'TRADE IN'!$F440=0,"",(VLOOKUP($C440,REV!$C:$AA,16,0)-'TRADE IN'!$F440))</f>
        <v>2599</v>
      </c>
      <c r="S440" s="46">
        <f>IF(VLOOKUP($C440,REV!$C:$AA,17,0)-'TRADE IN'!$F440=0,"",(VLOOKUP($C440,REV!$C:$AA,17,0)-'TRADE IN'!$F440))</f>
        <v>2549</v>
      </c>
      <c r="T440" s="46">
        <f>IF(VLOOKUP($C440,REV!$C:$AA,18,0)-'TRADE IN'!$F440=0,"",(VLOOKUP($C440,REV!$C:$AA,18,0)-'TRADE IN'!$F440))</f>
        <v>1299</v>
      </c>
      <c r="U440" s="46">
        <f>IF(VLOOKUP($C440,REV!$C:$AA,19,0)-'TRADE IN'!$F440=0,"",(VLOOKUP($C440,REV!$C:$AA,19,0)-'TRADE IN'!$F440))</f>
        <v>1299</v>
      </c>
      <c r="V440" s="46">
        <f>IF(VLOOKUP($C440,REV!$C:$AA,20,0)-'TRADE IN'!$F440=0,"",(VLOOKUP($C440,REV!$C:$AA,20,0)-'TRADE IN'!$F440))</f>
        <v>1299</v>
      </c>
      <c r="W440" s="46">
        <f>IF(VLOOKUP($C440,REV!$C:$AA,21,0)-'TRADE IN'!$F440=0,"",(VLOOKUP($C440,REV!$C:$AA,21,0)-'TRADE IN'!$F440))</f>
        <v>1299</v>
      </c>
      <c r="X440" s="46">
        <f>IF(VLOOKUP($C440,REV!$C:$AA,22,0)-'TRADE IN'!$F440=0,"",(VLOOKUP($C440,REV!$C:$AA,22,0)-'TRADE IN'!$F440))</f>
        <v>1249</v>
      </c>
      <c r="Y440" s="46">
        <f>IF(VLOOKUP($C440,REV!$C:$AA,23,0)-'TRADE IN'!$F440=0,"",(VLOOKUP($C440,REV!$C:$AA,23,0)-'TRADE IN'!$F440))</f>
        <v>1199</v>
      </c>
      <c r="Z440" s="46">
        <f>IF(VLOOKUP($C440,REV!$C:$AA,24,0)-'TRADE IN'!$F440=0,"",(VLOOKUP($C440,REV!$C:$AA,24,0)-'TRADE IN'!$F440))</f>
        <v>1199</v>
      </c>
      <c r="AA440" s="46">
        <f>IF(VLOOKUP($C440,REV!$C:$AA,25,0)-'TRADE IN'!$F440=0,"",(VLOOKUP($C440,REV!$C:$AA,25,0)-'TRADE IN'!$F440))</f>
        <v>999</v>
      </c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7"/>
      <c r="AW440" s="48" t="str">
        <f>REV!AW440</f>
        <v>01.12.2026</v>
      </c>
      <c r="AX440" s="153" t="str">
        <f>VLOOKUP(C440,REV!C:AX,48,0)</f>
        <v>5G</v>
      </c>
    </row>
    <row r="441" spans="1:50" ht="22.5" customHeight="1">
      <c r="A441" s="41" t="s">
        <v>63</v>
      </c>
      <c r="B441" s="42" t="s">
        <v>64</v>
      </c>
      <c r="C441" s="43">
        <v>4017391</v>
      </c>
      <c r="D441" s="58" t="s">
        <v>642</v>
      </c>
      <c r="E441" s="58" t="s">
        <v>643</v>
      </c>
      <c r="F441" s="45">
        <v>300</v>
      </c>
      <c r="G441" s="45"/>
      <c r="H441" s="45"/>
      <c r="I441" s="45"/>
      <c r="J441" s="46">
        <f>IF(VLOOKUP($C441,REV!$C:$AA,8,0)-'TRADE IN'!$F441=0,"",(VLOOKUP($C441,REV!$C:$AA,8,0)-'TRADE IN'!$F441))</f>
        <v>3499</v>
      </c>
      <c r="K441" s="46">
        <f>IF(VLOOKUP($C441,REV!$C:$AA,9,0)-'TRADE IN'!$F441=0,"",(VLOOKUP($C441,REV!$C:$AA,9,0)-'TRADE IN'!$F441))</f>
        <v>3499</v>
      </c>
      <c r="L441" s="46">
        <f>IF(VLOOKUP($C441,REV!$C:$AA,10,0)-'TRADE IN'!$F441=0,"",(VLOOKUP($C441,REV!$C:$AA,10,0)-'TRADE IN'!$F441))</f>
        <v>3499</v>
      </c>
      <c r="M441" s="46">
        <f>IF(VLOOKUP($C441,REV!$C:$AA,11,0)-'TRADE IN'!$F441=0,"",(VLOOKUP($C441,REV!$C:$AA,11,0)-'TRADE IN'!$F441))</f>
        <v>3499</v>
      </c>
      <c r="N441" s="46">
        <f>IF(VLOOKUP($C441,REV!$C:$AA,12,0)-'TRADE IN'!$F441=0,"",(VLOOKUP($C441,REV!$C:$AA,12,0)-'TRADE IN'!$F441))</f>
        <v>3499</v>
      </c>
      <c r="O441" s="46">
        <f>IF(VLOOKUP($C441,REV!$C:$AA,13,0)-'TRADE IN'!$F441=0,"",(VLOOKUP($C441,REV!$C:$AA,13,0)-'TRADE IN'!$F441))</f>
        <v>3399</v>
      </c>
      <c r="P441" s="46">
        <f>IF(VLOOKUP($C441,REV!$C:$AA,14,0)-'TRADE IN'!$F441=0,"",(VLOOKUP($C441,REV!$C:$AA,14,0)-'TRADE IN'!$F441))</f>
        <v>3299</v>
      </c>
      <c r="Q441" s="46">
        <f>IF(VLOOKUP($C441,REV!$C:$AA,15,0)-'TRADE IN'!$F441=0,"",(VLOOKUP($C441,REV!$C:$AA,15,0)-'TRADE IN'!$F441))</f>
        <v>2199</v>
      </c>
      <c r="R441" s="46">
        <f>IF(VLOOKUP($C441,REV!$C:$AA,16,0)-'TRADE IN'!$F441=0,"",(VLOOKUP($C441,REV!$C:$AA,16,0)-'TRADE IN'!$F441))</f>
        <v>3399</v>
      </c>
      <c r="S441" s="46">
        <f>IF(VLOOKUP($C441,REV!$C:$AA,17,0)-'TRADE IN'!$F441=0,"",(VLOOKUP($C441,REV!$C:$AA,17,0)-'TRADE IN'!$F441))</f>
        <v>3299</v>
      </c>
      <c r="T441" s="46">
        <f>IF(VLOOKUP($C441,REV!$C:$AA,18,0)-'TRADE IN'!$F441=0,"",(VLOOKUP($C441,REV!$C:$AA,18,0)-'TRADE IN'!$F441))</f>
        <v>2199</v>
      </c>
      <c r="U441" s="46">
        <f>IF(VLOOKUP($C441,REV!$C:$AA,19,0)-'TRADE IN'!$F441=0,"",(VLOOKUP($C441,REV!$C:$AA,19,0)-'TRADE IN'!$F441))</f>
        <v>2199</v>
      </c>
      <c r="V441" s="46">
        <f>IF(VLOOKUP($C441,REV!$C:$AA,20,0)-'TRADE IN'!$F441=0,"",(VLOOKUP($C441,REV!$C:$AA,20,0)-'TRADE IN'!$F441))</f>
        <v>2199</v>
      </c>
      <c r="W441" s="46">
        <f>IF(VLOOKUP($C441,REV!$C:$AA,21,0)-'TRADE IN'!$F441=0,"",(VLOOKUP($C441,REV!$C:$AA,21,0)-'TRADE IN'!$F441))</f>
        <v>2199</v>
      </c>
      <c r="X441" s="46">
        <f>IF(VLOOKUP($C441,REV!$C:$AA,22,0)-'TRADE IN'!$F441=0,"",(VLOOKUP($C441,REV!$C:$AA,22,0)-'TRADE IN'!$F441))</f>
        <v>2099</v>
      </c>
      <c r="Y441" s="46">
        <f>IF(VLOOKUP($C441,REV!$C:$AA,23,0)-'TRADE IN'!$F441=0,"",(VLOOKUP($C441,REV!$C:$AA,23,0)-'TRADE IN'!$F441))</f>
        <v>1899</v>
      </c>
      <c r="Z441" s="46">
        <f>IF(VLOOKUP($C441,REV!$C:$AA,24,0)-'TRADE IN'!$F441=0,"",(VLOOKUP($C441,REV!$C:$AA,24,0)-'TRADE IN'!$F441))</f>
        <v>1899</v>
      </c>
      <c r="AA441" s="46">
        <f>IF(VLOOKUP($C441,REV!$C:$AA,25,0)-'TRADE IN'!$F441=0,"",(VLOOKUP($C441,REV!$C:$AA,25,0)-'TRADE IN'!$F441))</f>
        <v>1699</v>
      </c>
      <c r="AB441" s="45">
        <f>IF(VLOOKUP($C441,REV!$C:$AL,27,0)-'TRADE IN'!$F441=0,"",(VLOOKUP($C441,REV!$C:$AL,27,0)-'TRADE IN'!$F441))</f>
        <v>3499</v>
      </c>
      <c r="AC441" s="45">
        <f>IF(VLOOKUP($C441,REV!$C:$AL,28,0)-'TRADE IN'!$F441=0,"",(VLOOKUP($C441,REV!$C:$AL,28,0)-'TRADE IN'!$F441))</f>
        <v>3499</v>
      </c>
      <c r="AD441" s="45">
        <f>IF(VLOOKUP($C441,REV!$C:$AL,29,0)-'TRADE IN'!$F441=0,"",(VLOOKUP($C441,REV!$C:$AL,29,0)-'TRADE IN'!$F441))</f>
        <v>3499</v>
      </c>
      <c r="AE441" s="45">
        <f>IF(VLOOKUP($C441,REV!$C:$AL,30,0)-'TRADE IN'!$F441=0,"",(VLOOKUP($C441,REV!$C:$AL,30,0)-'TRADE IN'!$F441))</f>
        <v>3399</v>
      </c>
      <c r="AF441" s="45">
        <f>IF(VLOOKUP($C441,REV!$C:$AL,31,0)-'TRADE IN'!$F441=0,"",(VLOOKUP($C441,REV!$C:$AL,31,0)-'TRADE IN'!$F441))</f>
        <v>3299</v>
      </c>
      <c r="AG441" s="45">
        <f>IF(VLOOKUP($C441,REV!$C:$AL,31,0)-'TRADE IN'!$F441=0,"",(VLOOKUP($C441,REV!$C:$AL,31,0)-'TRADE IN'!$F441))</f>
        <v>3299</v>
      </c>
      <c r="AH441" s="45">
        <f>IF(VLOOKUP($C441,REV!$C:$AL,32,0)-'TRADE IN'!$F441=0,"",(VLOOKUP($C441,REV!$C:$AL,32,0)-'TRADE IN'!$F441))</f>
        <v>2199</v>
      </c>
      <c r="AI441" s="45">
        <f>IF(VLOOKUP($C441,REV!$C:$AL,33,0)-'TRADE IN'!$F441=0,"",(VLOOKUP($C441,REV!$C:$AL,33,0)-'TRADE IN'!$F441))</f>
        <v>2199</v>
      </c>
      <c r="AJ441" s="45">
        <f>IF(VLOOKUP($C441,REV!$C:$AL,34,0)-'TRADE IN'!$F441=0,"",(VLOOKUP($C441,REV!$C:$AL,34,0)-'TRADE IN'!$F441))</f>
        <v>2199</v>
      </c>
      <c r="AK441" s="45">
        <f>IF(VLOOKUP($C441,REV!$C:$AL,35,0)-'TRADE IN'!$F441=0,"",(VLOOKUP($C441,REV!$C:$AL,35,0)-'TRADE IN'!$F441))</f>
        <v>2199</v>
      </c>
      <c r="AL441" s="45">
        <f>IF(VLOOKUP($C441,REV!$C:$AL,36,0)-'TRADE IN'!$F441=0,"",(VLOOKUP($C441,REV!$C:$AL,36,0)-'TRADE IN'!$F441))</f>
        <v>1899</v>
      </c>
      <c r="AM441" s="45"/>
      <c r="AN441" s="45"/>
      <c r="AO441" s="45"/>
      <c r="AP441" s="45"/>
      <c r="AQ441" s="45"/>
      <c r="AR441" s="45"/>
      <c r="AS441" s="45"/>
      <c r="AT441" s="45"/>
      <c r="AU441" s="45"/>
      <c r="AV441" s="47"/>
      <c r="AW441" s="48" t="str">
        <f>REV!AW441</f>
        <v>01.12.2026</v>
      </c>
      <c r="AX441" s="153" t="str">
        <f>VLOOKUP(C441,REV!C:AX,48,0)</f>
        <v>5G</v>
      </c>
    </row>
    <row r="442" spans="1:50" ht="22.5" customHeight="1">
      <c r="A442" s="41" t="s">
        <v>63</v>
      </c>
      <c r="B442" s="42" t="s">
        <v>64</v>
      </c>
      <c r="C442" s="43">
        <v>4017406</v>
      </c>
      <c r="D442" s="58" t="s">
        <v>642</v>
      </c>
      <c r="E442" s="58" t="s">
        <v>644</v>
      </c>
      <c r="F442" s="45">
        <v>300</v>
      </c>
      <c r="G442" s="45"/>
      <c r="H442" s="45"/>
      <c r="I442" s="45"/>
      <c r="J442" s="46">
        <f>IF(VLOOKUP($C442,REV!$C:$AA,8,0)-'TRADE IN'!$F442=0,"",(VLOOKUP($C442,REV!$C:$AA,8,0)-'TRADE IN'!$F442))</f>
        <v>3499</v>
      </c>
      <c r="K442" s="46">
        <f>IF(VLOOKUP($C442,REV!$C:$AA,9,0)-'TRADE IN'!$F442=0,"",(VLOOKUP($C442,REV!$C:$AA,9,0)-'TRADE IN'!$F442))</f>
        <v>3499</v>
      </c>
      <c r="L442" s="46">
        <f>IF(VLOOKUP($C442,REV!$C:$AA,10,0)-'TRADE IN'!$F442=0,"",(VLOOKUP($C442,REV!$C:$AA,10,0)-'TRADE IN'!$F442))</f>
        <v>3499</v>
      </c>
      <c r="M442" s="46">
        <f>IF(VLOOKUP($C442,REV!$C:$AA,11,0)-'TRADE IN'!$F442=0,"",(VLOOKUP($C442,REV!$C:$AA,11,0)-'TRADE IN'!$F442))</f>
        <v>3499</v>
      </c>
      <c r="N442" s="46">
        <f>IF(VLOOKUP($C442,REV!$C:$AA,12,0)-'TRADE IN'!$F442=0,"",(VLOOKUP($C442,REV!$C:$AA,12,0)-'TRADE IN'!$F442))</f>
        <v>3499</v>
      </c>
      <c r="O442" s="46">
        <f>IF(VLOOKUP($C442,REV!$C:$AA,13,0)-'TRADE IN'!$F442=0,"",(VLOOKUP($C442,REV!$C:$AA,13,0)-'TRADE IN'!$F442))</f>
        <v>3399</v>
      </c>
      <c r="P442" s="46">
        <f>IF(VLOOKUP($C442,REV!$C:$AA,14,0)-'TRADE IN'!$F442=0,"",(VLOOKUP($C442,REV!$C:$AA,14,0)-'TRADE IN'!$F442))</f>
        <v>3299</v>
      </c>
      <c r="Q442" s="46">
        <f>IF(VLOOKUP($C442,REV!$C:$AA,15,0)-'TRADE IN'!$F442=0,"",(VLOOKUP($C442,REV!$C:$AA,15,0)-'TRADE IN'!$F442))</f>
        <v>2199</v>
      </c>
      <c r="R442" s="46">
        <f>IF(VLOOKUP($C442,REV!$C:$AA,16,0)-'TRADE IN'!$F442=0,"",(VLOOKUP($C442,REV!$C:$AA,16,0)-'TRADE IN'!$F442))</f>
        <v>3399</v>
      </c>
      <c r="S442" s="46">
        <f>IF(VLOOKUP($C442,REV!$C:$AA,17,0)-'TRADE IN'!$F442=0,"",(VLOOKUP($C442,REV!$C:$AA,17,0)-'TRADE IN'!$F442))</f>
        <v>3299</v>
      </c>
      <c r="T442" s="46">
        <f>IF(VLOOKUP($C442,REV!$C:$AA,18,0)-'TRADE IN'!$F442=0,"",(VLOOKUP($C442,REV!$C:$AA,18,0)-'TRADE IN'!$F442))</f>
        <v>2199</v>
      </c>
      <c r="U442" s="46">
        <f>IF(VLOOKUP($C442,REV!$C:$AA,19,0)-'TRADE IN'!$F442=0,"",(VLOOKUP($C442,REV!$C:$AA,19,0)-'TRADE IN'!$F442))</f>
        <v>2199</v>
      </c>
      <c r="V442" s="46">
        <f>IF(VLOOKUP($C442,REV!$C:$AA,20,0)-'TRADE IN'!$F442=0,"",(VLOOKUP($C442,REV!$C:$AA,20,0)-'TRADE IN'!$F442))</f>
        <v>2199</v>
      </c>
      <c r="W442" s="46">
        <f>IF(VLOOKUP($C442,REV!$C:$AA,21,0)-'TRADE IN'!$F442=0,"",(VLOOKUP($C442,REV!$C:$AA,21,0)-'TRADE IN'!$F442))</f>
        <v>2199</v>
      </c>
      <c r="X442" s="46">
        <f>IF(VLOOKUP($C442,REV!$C:$AA,22,0)-'TRADE IN'!$F442=0,"",(VLOOKUP($C442,REV!$C:$AA,22,0)-'TRADE IN'!$F442))</f>
        <v>2099</v>
      </c>
      <c r="Y442" s="46">
        <f>IF(VLOOKUP($C442,REV!$C:$AA,23,0)-'TRADE IN'!$F442=0,"",(VLOOKUP($C442,REV!$C:$AA,23,0)-'TRADE IN'!$F442))</f>
        <v>1899</v>
      </c>
      <c r="Z442" s="46">
        <f>IF(VLOOKUP($C442,REV!$C:$AA,24,0)-'TRADE IN'!$F442=0,"",(VLOOKUP($C442,REV!$C:$AA,24,0)-'TRADE IN'!$F442))</f>
        <v>1899</v>
      </c>
      <c r="AA442" s="46">
        <f>IF(VLOOKUP($C442,REV!$C:$AA,25,0)-'TRADE IN'!$F442=0,"",(VLOOKUP($C442,REV!$C:$AA,25,0)-'TRADE IN'!$F442))</f>
        <v>1699</v>
      </c>
      <c r="AB442" s="45">
        <f>IF(VLOOKUP($C442,REV!$C:$AL,27,0)-'TRADE IN'!$F442=0,"",(VLOOKUP($C442,REV!$C:$AL,27,0)-'TRADE IN'!$F442))</f>
        <v>3499</v>
      </c>
      <c r="AC442" s="45">
        <f>IF(VLOOKUP($C442,REV!$C:$AL,28,0)-'TRADE IN'!$F442=0,"",(VLOOKUP($C442,REV!$C:$AL,28,0)-'TRADE IN'!$F442))</f>
        <v>3499</v>
      </c>
      <c r="AD442" s="45">
        <f>IF(VLOOKUP($C442,REV!$C:$AL,29,0)-'TRADE IN'!$F442=0,"",(VLOOKUP($C442,REV!$C:$AL,29,0)-'TRADE IN'!$F442))</f>
        <v>3499</v>
      </c>
      <c r="AE442" s="45">
        <f>IF(VLOOKUP($C442,REV!$C:$AL,30,0)-'TRADE IN'!$F442=0,"",(VLOOKUP($C442,REV!$C:$AL,30,0)-'TRADE IN'!$F442))</f>
        <v>3399</v>
      </c>
      <c r="AF442" s="45">
        <f>IF(VLOOKUP($C442,REV!$C:$AL,31,0)-'TRADE IN'!$F442=0,"",(VLOOKUP($C442,REV!$C:$AL,31,0)-'TRADE IN'!$F442))</f>
        <v>3299</v>
      </c>
      <c r="AG442" s="45">
        <f>IF(VLOOKUP($C442,REV!$C:$AL,31,0)-'TRADE IN'!$F442=0,"",(VLOOKUP($C442,REV!$C:$AL,31,0)-'TRADE IN'!$F442))</f>
        <v>3299</v>
      </c>
      <c r="AH442" s="45">
        <f>IF(VLOOKUP($C442,REV!$C:$AL,32,0)-'TRADE IN'!$F442=0,"",(VLOOKUP($C442,REV!$C:$AL,32,0)-'TRADE IN'!$F442))</f>
        <v>2199</v>
      </c>
      <c r="AI442" s="45">
        <f>IF(VLOOKUP($C442,REV!$C:$AL,33,0)-'TRADE IN'!$F442=0,"",(VLOOKUP($C442,REV!$C:$AL,33,0)-'TRADE IN'!$F442))</f>
        <v>2199</v>
      </c>
      <c r="AJ442" s="45">
        <f>IF(VLOOKUP($C442,REV!$C:$AL,34,0)-'TRADE IN'!$F442=0,"",(VLOOKUP($C442,REV!$C:$AL,34,0)-'TRADE IN'!$F442))</f>
        <v>2199</v>
      </c>
      <c r="AK442" s="45">
        <f>IF(VLOOKUP($C442,REV!$C:$AL,35,0)-'TRADE IN'!$F442=0,"",(VLOOKUP($C442,REV!$C:$AL,35,0)-'TRADE IN'!$F442))</f>
        <v>2199</v>
      </c>
      <c r="AL442" s="45">
        <f>IF(VLOOKUP($C442,REV!$C:$AL,36,0)-'TRADE IN'!$F442=0,"",(VLOOKUP($C442,REV!$C:$AL,36,0)-'TRADE IN'!$F442))</f>
        <v>1899</v>
      </c>
      <c r="AM442" s="45"/>
      <c r="AN442" s="45"/>
      <c r="AO442" s="45"/>
      <c r="AP442" s="45"/>
      <c r="AQ442" s="45"/>
      <c r="AR442" s="45"/>
      <c r="AS442" s="45"/>
      <c r="AT442" s="45"/>
      <c r="AU442" s="45"/>
      <c r="AV442" s="47"/>
      <c r="AW442" s="48" t="str">
        <f>REV!AW442</f>
        <v>01.12.2026</v>
      </c>
      <c r="AX442" s="153" t="str">
        <f>VLOOKUP(C442,REV!C:AX,48,0)</f>
        <v>5G</v>
      </c>
    </row>
    <row r="443" spans="1:50" ht="22.5" customHeight="1">
      <c r="A443" s="41" t="s">
        <v>63</v>
      </c>
      <c r="B443" s="42" t="s">
        <v>64</v>
      </c>
      <c r="C443" s="43">
        <v>4017411</v>
      </c>
      <c r="D443" s="58" t="s">
        <v>642</v>
      </c>
      <c r="E443" s="58" t="s">
        <v>645</v>
      </c>
      <c r="F443" s="45">
        <v>300</v>
      </c>
      <c r="G443" s="45"/>
      <c r="H443" s="45"/>
      <c r="I443" s="45"/>
      <c r="J443" s="46">
        <f>IF(VLOOKUP($C443,REV!$C:$AA,8,0)-'TRADE IN'!$F443=0,"",(VLOOKUP($C443,REV!$C:$AA,8,0)-'TRADE IN'!$F443))</f>
        <v>3499</v>
      </c>
      <c r="K443" s="46">
        <f>IF(VLOOKUP($C443,REV!$C:$AA,9,0)-'TRADE IN'!$F443=0,"",(VLOOKUP($C443,REV!$C:$AA,9,0)-'TRADE IN'!$F443))</f>
        <v>3499</v>
      </c>
      <c r="L443" s="46">
        <f>IF(VLOOKUP($C443,REV!$C:$AA,10,0)-'TRADE IN'!$F443=0,"",(VLOOKUP($C443,REV!$C:$AA,10,0)-'TRADE IN'!$F443))</f>
        <v>3499</v>
      </c>
      <c r="M443" s="46">
        <f>IF(VLOOKUP($C443,REV!$C:$AA,11,0)-'TRADE IN'!$F443=0,"",(VLOOKUP($C443,REV!$C:$AA,11,0)-'TRADE IN'!$F443))</f>
        <v>3499</v>
      </c>
      <c r="N443" s="46">
        <f>IF(VLOOKUP($C443,REV!$C:$AA,12,0)-'TRADE IN'!$F443=0,"",(VLOOKUP($C443,REV!$C:$AA,12,0)-'TRADE IN'!$F443))</f>
        <v>3499</v>
      </c>
      <c r="O443" s="46">
        <f>IF(VLOOKUP($C443,REV!$C:$AA,13,0)-'TRADE IN'!$F443=0,"",(VLOOKUP($C443,REV!$C:$AA,13,0)-'TRADE IN'!$F443))</f>
        <v>3399</v>
      </c>
      <c r="P443" s="46">
        <f>IF(VLOOKUP($C443,REV!$C:$AA,14,0)-'TRADE IN'!$F443=0,"",(VLOOKUP($C443,REV!$C:$AA,14,0)-'TRADE IN'!$F443))</f>
        <v>3299</v>
      </c>
      <c r="Q443" s="46">
        <f>IF(VLOOKUP($C443,REV!$C:$AA,15,0)-'TRADE IN'!$F443=0,"",(VLOOKUP($C443,REV!$C:$AA,15,0)-'TRADE IN'!$F443))</f>
        <v>2199</v>
      </c>
      <c r="R443" s="46">
        <f>IF(VLOOKUP($C443,REV!$C:$AA,16,0)-'TRADE IN'!$F443=0,"",(VLOOKUP($C443,REV!$C:$AA,16,0)-'TRADE IN'!$F443))</f>
        <v>3399</v>
      </c>
      <c r="S443" s="46">
        <f>IF(VLOOKUP($C443,REV!$C:$AA,17,0)-'TRADE IN'!$F443=0,"",(VLOOKUP($C443,REV!$C:$AA,17,0)-'TRADE IN'!$F443))</f>
        <v>3299</v>
      </c>
      <c r="T443" s="46">
        <f>IF(VLOOKUP($C443,REV!$C:$AA,18,0)-'TRADE IN'!$F443=0,"",(VLOOKUP($C443,REV!$C:$AA,18,0)-'TRADE IN'!$F443))</f>
        <v>2199</v>
      </c>
      <c r="U443" s="46">
        <f>IF(VLOOKUP($C443,REV!$C:$AA,19,0)-'TRADE IN'!$F443=0,"",(VLOOKUP($C443,REV!$C:$AA,19,0)-'TRADE IN'!$F443))</f>
        <v>2199</v>
      </c>
      <c r="V443" s="46">
        <f>IF(VLOOKUP($C443,REV!$C:$AA,20,0)-'TRADE IN'!$F443=0,"",(VLOOKUP($C443,REV!$C:$AA,20,0)-'TRADE IN'!$F443))</f>
        <v>2199</v>
      </c>
      <c r="W443" s="46">
        <f>IF(VLOOKUP($C443,REV!$C:$AA,21,0)-'TRADE IN'!$F443=0,"",(VLOOKUP($C443,REV!$C:$AA,21,0)-'TRADE IN'!$F443))</f>
        <v>2199</v>
      </c>
      <c r="X443" s="46">
        <f>IF(VLOOKUP($C443,REV!$C:$AA,22,0)-'TRADE IN'!$F443=0,"",(VLOOKUP($C443,REV!$C:$AA,22,0)-'TRADE IN'!$F443))</f>
        <v>2099</v>
      </c>
      <c r="Y443" s="46">
        <f>IF(VLOOKUP($C443,REV!$C:$AA,23,0)-'TRADE IN'!$F443=0,"",(VLOOKUP($C443,REV!$C:$AA,23,0)-'TRADE IN'!$F443))</f>
        <v>1899</v>
      </c>
      <c r="Z443" s="46">
        <f>IF(VLOOKUP($C443,REV!$C:$AA,24,0)-'TRADE IN'!$F443=0,"",(VLOOKUP($C443,REV!$C:$AA,24,0)-'TRADE IN'!$F443))</f>
        <v>1899</v>
      </c>
      <c r="AA443" s="46">
        <f>IF(VLOOKUP($C443,REV!$C:$AA,25,0)-'TRADE IN'!$F443=0,"",(VLOOKUP($C443,REV!$C:$AA,25,0)-'TRADE IN'!$F443))</f>
        <v>1699</v>
      </c>
      <c r="AB443" s="45">
        <f>IF(VLOOKUP($C443,REV!$C:$AL,27,0)-'TRADE IN'!$F443=0,"",(VLOOKUP($C443,REV!$C:$AL,27,0)-'TRADE IN'!$F443))</f>
        <v>3499</v>
      </c>
      <c r="AC443" s="45">
        <f>IF(VLOOKUP($C443,REV!$C:$AL,28,0)-'TRADE IN'!$F443=0,"",(VLOOKUP($C443,REV!$C:$AL,28,0)-'TRADE IN'!$F443))</f>
        <v>3499</v>
      </c>
      <c r="AD443" s="45">
        <f>IF(VLOOKUP($C443,REV!$C:$AL,29,0)-'TRADE IN'!$F443=0,"",(VLOOKUP($C443,REV!$C:$AL,29,0)-'TRADE IN'!$F443))</f>
        <v>3499</v>
      </c>
      <c r="AE443" s="45">
        <f>IF(VLOOKUP($C443,REV!$C:$AL,30,0)-'TRADE IN'!$F443=0,"",(VLOOKUP($C443,REV!$C:$AL,30,0)-'TRADE IN'!$F443))</f>
        <v>3399</v>
      </c>
      <c r="AF443" s="45">
        <f>IF(VLOOKUP($C443,REV!$C:$AL,31,0)-'TRADE IN'!$F443=0,"",(VLOOKUP($C443,REV!$C:$AL,31,0)-'TRADE IN'!$F443))</f>
        <v>3299</v>
      </c>
      <c r="AG443" s="45">
        <f>IF(VLOOKUP($C443,REV!$C:$AL,31,0)-'TRADE IN'!$F443=0,"",(VLOOKUP($C443,REV!$C:$AL,31,0)-'TRADE IN'!$F443))</f>
        <v>3299</v>
      </c>
      <c r="AH443" s="45">
        <f>IF(VLOOKUP($C443,REV!$C:$AL,32,0)-'TRADE IN'!$F443=0,"",(VLOOKUP($C443,REV!$C:$AL,32,0)-'TRADE IN'!$F443))</f>
        <v>2199</v>
      </c>
      <c r="AI443" s="45">
        <f>IF(VLOOKUP($C443,REV!$C:$AL,33,0)-'TRADE IN'!$F443=0,"",(VLOOKUP($C443,REV!$C:$AL,33,0)-'TRADE IN'!$F443))</f>
        <v>2199</v>
      </c>
      <c r="AJ443" s="45">
        <f>IF(VLOOKUP($C443,REV!$C:$AL,34,0)-'TRADE IN'!$F443=0,"",(VLOOKUP($C443,REV!$C:$AL,34,0)-'TRADE IN'!$F443))</f>
        <v>2199</v>
      </c>
      <c r="AK443" s="45">
        <f>IF(VLOOKUP($C443,REV!$C:$AL,35,0)-'TRADE IN'!$F443=0,"",(VLOOKUP($C443,REV!$C:$AL,35,0)-'TRADE IN'!$F443))</f>
        <v>2199</v>
      </c>
      <c r="AL443" s="45">
        <f>IF(VLOOKUP($C443,REV!$C:$AL,36,0)-'TRADE IN'!$F443=0,"",(VLOOKUP($C443,REV!$C:$AL,36,0)-'TRADE IN'!$F443))</f>
        <v>1899</v>
      </c>
      <c r="AM443" s="45"/>
      <c r="AN443" s="45"/>
      <c r="AO443" s="45"/>
      <c r="AP443" s="45"/>
      <c r="AQ443" s="45"/>
      <c r="AR443" s="45"/>
      <c r="AS443" s="45"/>
      <c r="AT443" s="45"/>
      <c r="AU443" s="45"/>
      <c r="AV443" s="47"/>
      <c r="AW443" s="48" t="str">
        <f>REV!AW443</f>
        <v>01.12.2026</v>
      </c>
      <c r="AX443" s="153" t="str">
        <f>VLOOKUP(C443,REV!C:AX,48,0)</f>
        <v>5G</v>
      </c>
    </row>
    <row r="444" spans="1:50" ht="22.5" customHeight="1">
      <c r="A444" s="41" t="s">
        <v>63</v>
      </c>
      <c r="B444" s="42" t="s">
        <v>64</v>
      </c>
      <c r="C444" s="43">
        <v>4017421</v>
      </c>
      <c r="D444" s="58" t="s">
        <v>642</v>
      </c>
      <c r="E444" s="58" t="s">
        <v>646</v>
      </c>
      <c r="F444" s="45">
        <v>300</v>
      </c>
      <c r="G444" s="45"/>
      <c r="H444" s="45"/>
      <c r="I444" s="45"/>
      <c r="J444" s="46">
        <f>IF(VLOOKUP($C444,REV!$C:$AA,8,0)-'TRADE IN'!$F444=0,"",(VLOOKUP($C444,REV!$C:$AA,8,0)-'TRADE IN'!$F444))</f>
        <v>3499</v>
      </c>
      <c r="K444" s="46">
        <f>IF(VLOOKUP($C444,REV!$C:$AA,9,0)-'TRADE IN'!$F444=0,"",(VLOOKUP($C444,REV!$C:$AA,9,0)-'TRADE IN'!$F444))</f>
        <v>3499</v>
      </c>
      <c r="L444" s="46">
        <f>IF(VLOOKUP($C444,REV!$C:$AA,10,0)-'TRADE IN'!$F444=0,"",(VLOOKUP($C444,REV!$C:$AA,10,0)-'TRADE IN'!$F444))</f>
        <v>3499</v>
      </c>
      <c r="M444" s="46">
        <f>IF(VLOOKUP($C444,REV!$C:$AA,11,0)-'TRADE IN'!$F444=0,"",(VLOOKUP($C444,REV!$C:$AA,11,0)-'TRADE IN'!$F444))</f>
        <v>3499</v>
      </c>
      <c r="N444" s="46">
        <f>IF(VLOOKUP($C444,REV!$C:$AA,12,0)-'TRADE IN'!$F444=0,"",(VLOOKUP($C444,REV!$C:$AA,12,0)-'TRADE IN'!$F444))</f>
        <v>3499</v>
      </c>
      <c r="O444" s="46">
        <f>IF(VLOOKUP($C444,REV!$C:$AA,13,0)-'TRADE IN'!$F444=0,"",(VLOOKUP($C444,REV!$C:$AA,13,0)-'TRADE IN'!$F444))</f>
        <v>3399</v>
      </c>
      <c r="P444" s="46">
        <f>IF(VLOOKUP($C444,REV!$C:$AA,14,0)-'TRADE IN'!$F444=0,"",(VLOOKUP($C444,REV!$C:$AA,14,0)-'TRADE IN'!$F444))</f>
        <v>3299</v>
      </c>
      <c r="Q444" s="46">
        <f>IF(VLOOKUP($C444,REV!$C:$AA,15,0)-'TRADE IN'!$F444=0,"",(VLOOKUP($C444,REV!$C:$AA,15,0)-'TRADE IN'!$F444))</f>
        <v>2199</v>
      </c>
      <c r="R444" s="46">
        <f>IF(VLOOKUP($C444,REV!$C:$AA,16,0)-'TRADE IN'!$F444=0,"",(VLOOKUP($C444,REV!$C:$AA,16,0)-'TRADE IN'!$F444))</f>
        <v>3399</v>
      </c>
      <c r="S444" s="46">
        <f>IF(VLOOKUP($C444,REV!$C:$AA,17,0)-'TRADE IN'!$F444=0,"",(VLOOKUP($C444,REV!$C:$AA,17,0)-'TRADE IN'!$F444))</f>
        <v>3299</v>
      </c>
      <c r="T444" s="46">
        <f>IF(VLOOKUP($C444,REV!$C:$AA,18,0)-'TRADE IN'!$F444=0,"",(VLOOKUP($C444,REV!$C:$AA,18,0)-'TRADE IN'!$F444))</f>
        <v>2199</v>
      </c>
      <c r="U444" s="46">
        <f>IF(VLOOKUP($C444,REV!$C:$AA,19,0)-'TRADE IN'!$F444=0,"",(VLOOKUP($C444,REV!$C:$AA,19,0)-'TRADE IN'!$F444))</f>
        <v>2199</v>
      </c>
      <c r="V444" s="46">
        <f>IF(VLOOKUP($C444,REV!$C:$AA,20,0)-'TRADE IN'!$F444=0,"",(VLOOKUP($C444,REV!$C:$AA,20,0)-'TRADE IN'!$F444))</f>
        <v>2199</v>
      </c>
      <c r="W444" s="46">
        <f>IF(VLOOKUP($C444,REV!$C:$AA,21,0)-'TRADE IN'!$F444=0,"",(VLOOKUP($C444,REV!$C:$AA,21,0)-'TRADE IN'!$F444))</f>
        <v>2199</v>
      </c>
      <c r="X444" s="46">
        <f>IF(VLOOKUP($C444,REV!$C:$AA,22,0)-'TRADE IN'!$F444=0,"",(VLOOKUP($C444,REV!$C:$AA,22,0)-'TRADE IN'!$F444))</f>
        <v>2099</v>
      </c>
      <c r="Y444" s="46">
        <f>IF(VLOOKUP($C444,REV!$C:$AA,23,0)-'TRADE IN'!$F444=0,"",(VLOOKUP($C444,REV!$C:$AA,23,0)-'TRADE IN'!$F444))</f>
        <v>1899</v>
      </c>
      <c r="Z444" s="46">
        <f>IF(VLOOKUP($C444,REV!$C:$AA,24,0)-'TRADE IN'!$F444=0,"",(VLOOKUP($C444,REV!$C:$AA,24,0)-'TRADE IN'!$F444))</f>
        <v>1899</v>
      </c>
      <c r="AA444" s="46">
        <f>IF(VLOOKUP($C444,REV!$C:$AA,25,0)-'TRADE IN'!$F444=0,"",(VLOOKUP($C444,REV!$C:$AA,25,0)-'TRADE IN'!$F444))</f>
        <v>1699</v>
      </c>
      <c r="AB444" s="45">
        <f>IF(VLOOKUP($C444,REV!$C:$AL,27,0)-'TRADE IN'!$F444=0,"",(VLOOKUP($C444,REV!$C:$AL,27,0)-'TRADE IN'!$F444))</f>
        <v>3499</v>
      </c>
      <c r="AC444" s="45">
        <f>IF(VLOOKUP($C444,REV!$C:$AL,28,0)-'TRADE IN'!$F444=0,"",(VLOOKUP($C444,REV!$C:$AL,28,0)-'TRADE IN'!$F444))</f>
        <v>3499</v>
      </c>
      <c r="AD444" s="45">
        <f>IF(VLOOKUP($C444,REV!$C:$AL,29,0)-'TRADE IN'!$F444=0,"",(VLOOKUP($C444,REV!$C:$AL,29,0)-'TRADE IN'!$F444))</f>
        <v>3499</v>
      </c>
      <c r="AE444" s="45">
        <f>IF(VLOOKUP($C444,REV!$C:$AL,30,0)-'TRADE IN'!$F444=0,"",(VLOOKUP($C444,REV!$C:$AL,30,0)-'TRADE IN'!$F444))</f>
        <v>3399</v>
      </c>
      <c r="AF444" s="45">
        <f>IF(VLOOKUP($C444,REV!$C:$AL,31,0)-'TRADE IN'!$F444=0,"",(VLOOKUP($C444,REV!$C:$AL,31,0)-'TRADE IN'!$F444))</f>
        <v>3299</v>
      </c>
      <c r="AG444" s="45">
        <f>IF(VLOOKUP($C444,REV!$C:$AL,31,0)-'TRADE IN'!$F444=0,"",(VLOOKUP($C444,REV!$C:$AL,31,0)-'TRADE IN'!$F444))</f>
        <v>3299</v>
      </c>
      <c r="AH444" s="45">
        <f>IF(VLOOKUP($C444,REV!$C:$AL,32,0)-'TRADE IN'!$F444=0,"",(VLOOKUP($C444,REV!$C:$AL,32,0)-'TRADE IN'!$F444))</f>
        <v>2199</v>
      </c>
      <c r="AI444" s="45">
        <f>IF(VLOOKUP($C444,REV!$C:$AL,33,0)-'TRADE IN'!$F444=0,"",(VLOOKUP($C444,REV!$C:$AL,33,0)-'TRADE IN'!$F444))</f>
        <v>2199</v>
      </c>
      <c r="AJ444" s="45">
        <f>IF(VLOOKUP($C444,REV!$C:$AL,34,0)-'TRADE IN'!$F444=0,"",(VLOOKUP($C444,REV!$C:$AL,34,0)-'TRADE IN'!$F444))</f>
        <v>2199</v>
      </c>
      <c r="AK444" s="45">
        <f>IF(VLOOKUP($C444,REV!$C:$AL,35,0)-'TRADE IN'!$F444=0,"",(VLOOKUP($C444,REV!$C:$AL,35,0)-'TRADE IN'!$F444))</f>
        <v>2199</v>
      </c>
      <c r="AL444" s="45">
        <f>IF(VLOOKUP($C444,REV!$C:$AL,36,0)-'TRADE IN'!$F444=0,"",(VLOOKUP($C444,REV!$C:$AL,36,0)-'TRADE IN'!$F444))</f>
        <v>1899</v>
      </c>
      <c r="AM444" s="45"/>
      <c r="AN444" s="45"/>
      <c r="AO444" s="45"/>
      <c r="AP444" s="45"/>
      <c r="AQ444" s="45"/>
      <c r="AR444" s="45"/>
      <c r="AS444" s="45"/>
      <c r="AT444" s="45"/>
      <c r="AU444" s="45"/>
      <c r="AV444" s="47"/>
      <c r="AW444" s="48" t="str">
        <f>REV!AW444</f>
        <v>01.12.2026</v>
      </c>
      <c r="AX444" s="153" t="str">
        <f>VLOOKUP(C444,REV!C:AX,48,0)</f>
        <v>5G</v>
      </c>
    </row>
    <row r="445" spans="1:50" ht="22.5" customHeight="1">
      <c r="A445" s="41" t="s">
        <v>63</v>
      </c>
      <c r="B445" s="42" t="s">
        <v>64</v>
      </c>
      <c r="C445" s="43">
        <v>4017416</v>
      </c>
      <c r="D445" s="58" t="s">
        <v>642</v>
      </c>
      <c r="E445" s="58" t="s">
        <v>647</v>
      </c>
      <c r="F445" s="45">
        <v>300</v>
      </c>
      <c r="G445" s="45"/>
      <c r="H445" s="45"/>
      <c r="I445" s="45"/>
      <c r="J445" s="46">
        <f>IF(VLOOKUP($C445,REV!$C:$AA,8,0)-'TRADE IN'!$F445=0,"",(VLOOKUP($C445,REV!$C:$AA,8,0)-'TRADE IN'!$F445))</f>
        <v>3499</v>
      </c>
      <c r="K445" s="46">
        <f>IF(VLOOKUP($C445,REV!$C:$AA,9,0)-'TRADE IN'!$F445=0,"",(VLOOKUP($C445,REV!$C:$AA,9,0)-'TRADE IN'!$F445))</f>
        <v>3499</v>
      </c>
      <c r="L445" s="46">
        <f>IF(VLOOKUP($C445,REV!$C:$AA,10,0)-'TRADE IN'!$F445=0,"",(VLOOKUP($C445,REV!$C:$AA,10,0)-'TRADE IN'!$F445))</f>
        <v>3499</v>
      </c>
      <c r="M445" s="46">
        <f>IF(VLOOKUP($C445,REV!$C:$AA,11,0)-'TRADE IN'!$F445=0,"",(VLOOKUP($C445,REV!$C:$AA,11,0)-'TRADE IN'!$F445))</f>
        <v>3499</v>
      </c>
      <c r="N445" s="46">
        <f>IF(VLOOKUP($C445,REV!$C:$AA,12,0)-'TRADE IN'!$F445=0,"",(VLOOKUP($C445,REV!$C:$AA,12,0)-'TRADE IN'!$F445))</f>
        <v>3499</v>
      </c>
      <c r="O445" s="46">
        <f>IF(VLOOKUP($C445,REV!$C:$AA,13,0)-'TRADE IN'!$F445=0,"",(VLOOKUP($C445,REV!$C:$AA,13,0)-'TRADE IN'!$F445))</f>
        <v>3399</v>
      </c>
      <c r="P445" s="46">
        <f>IF(VLOOKUP($C445,REV!$C:$AA,14,0)-'TRADE IN'!$F445=0,"",(VLOOKUP($C445,REV!$C:$AA,14,0)-'TRADE IN'!$F445))</f>
        <v>3299</v>
      </c>
      <c r="Q445" s="46">
        <f>IF(VLOOKUP($C445,REV!$C:$AA,15,0)-'TRADE IN'!$F445=0,"",(VLOOKUP($C445,REV!$C:$AA,15,0)-'TRADE IN'!$F445))</f>
        <v>2199</v>
      </c>
      <c r="R445" s="46">
        <f>IF(VLOOKUP($C445,REV!$C:$AA,16,0)-'TRADE IN'!$F445=0,"",(VLOOKUP($C445,REV!$C:$AA,16,0)-'TRADE IN'!$F445))</f>
        <v>3399</v>
      </c>
      <c r="S445" s="46">
        <f>IF(VLOOKUP($C445,REV!$C:$AA,17,0)-'TRADE IN'!$F445=0,"",(VLOOKUP($C445,REV!$C:$AA,17,0)-'TRADE IN'!$F445))</f>
        <v>3299</v>
      </c>
      <c r="T445" s="46">
        <f>IF(VLOOKUP($C445,REV!$C:$AA,18,0)-'TRADE IN'!$F445=0,"",(VLOOKUP($C445,REV!$C:$AA,18,0)-'TRADE IN'!$F445))</f>
        <v>2199</v>
      </c>
      <c r="U445" s="46">
        <f>IF(VLOOKUP($C445,REV!$C:$AA,19,0)-'TRADE IN'!$F445=0,"",(VLOOKUP($C445,REV!$C:$AA,19,0)-'TRADE IN'!$F445))</f>
        <v>2199</v>
      </c>
      <c r="V445" s="46">
        <f>IF(VLOOKUP($C445,REV!$C:$AA,20,0)-'TRADE IN'!$F445=0,"",(VLOOKUP($C445,REV!$C:$AA,20,0)-'TRADE IN'!$F445))</f>
        <v>2199</v>
      </c>
      <c r="W445" s="46">
        <f>IF(VLOOKUP($C445,REV!$C:$AA,21,0)-'TRADE IN'!$F445=0,"",(VLOOKUP($C445,REV!$C:$AA,21,0)-'TRADE IN'!$F445))</f>
        <v>2199</v>
      </c>
      <c r="X445" s="46">
        <f>IF(VLOOKUP($C445,REV!$C:$AA,22,0)-'TRADE IN'!$F445=0,"",(VLOOKUP($C445,REV!$C:$AA,22,0)-'TRADE IN'!$F445))</f>
        <v>2099</v>
      </c>
      <c r="Y445" s="46">
        <f>IF(VLOOKUP($C445,REV!$C:$AA,23,0)-'TRADE IN'!$F445=0,"",(VLOOKUP($C445,REV!$C:$AA,23,0)-'TRADE IN'!$F445))</f>
        <v>1899</v>
      </c>
      <c r="Z445" s="46">
        <f>IF(VLOOKUP($C445,REV!$C:$AA,24,0)-'TRADE IN'!$F445=0,"",(VLOOKUP($C445,REV!$C:$AA,24,0)-'TRADE IN'!$F445))</f>
        <v>1899</v>
      </c>
      <c r="AA445" s="46">
        <f>IF(VLOOKUP($C445,REV!$C:$AA,25,0)-'TRADE IN'!$F445=0,"",(VLOOKUP($C445,REV!$C:$AA,25,0)-'TRADE IN'!$F445))</f>
        <v>1699</v>
      </c>
      <c r="AB445" s="45">
        <f>IF(VLOOKUP($C445,REV!$C:$AL,27,0)-'TRADE IN'!$F445=0,"",(VLOOKUP($C445,REV!$C:$AL,27,0)-'TRADE IN'!$F445))</f>
        <v>3499</v>
      </c>
      <c r="AC445" s="45">
        <f>IF(VLOOKUP($C445,REV!$C:$AL,28,0)-'TRADE IN'!$F445=0,"",(VLOOKUP($C445,REV!$C:$AL,28,0)-'TRADE IN'!$F445))</f>
        <v>3499</v>
      </c>
      <c r="AD445" s="45">
        <f>IF(VLOOKUP($C445,REV!$C:$AL,29,0)-'TRADE IN'!$F445=0,"",(VLOOKUP($C445,REV!$C:$AL,29,0)-'TRADE IN'!$F445))</f>
        <v>3499</v>
      </c>
      <c r="AE445" s="45">
        <f>IF(VLOOKUP($C445,REV!$C:$AL,30,0)-'TRADE IN'!$F445=0,"",(VLOOKUP($C445,REV!$C:$AL,30,0)-'TRADE IN'!$F445))</f>
        <v>3399</v>
      </c>
      <c r="AF445" s="45">
        <f>IF(VLOOKUP($C445,REV!$C:$AL,31,0)-'TRADE IN'!$F445=0,"",(VLOOKUP($C445,REV!$C:$AL,31,0)-'TRADE IN'!$F445))</f>
        <v>3299</v>
      </c>
      <c r="AG445" s="45">
        <f>IF(VLOOKUP($C445,REV!$C:$AL,31,0)-'TRADE IN'!$F445=0,"",(VLOOKUP($C445,REV!$C:$AL,31,0)-'TRADE IN'!$F445))</f>
        <v>3299</v>
      </c>
      <c r="AH445" s="45">
        <f>IF(VLOOKUP($C445,REV!$C:$AL,32,0)-'TRADE IN'!$F445=0,"",(VLOOKUP($C445,REV!$C:$AL,32,0)-'TRADE IN'!$F445))</f>
        <v>2199</v>
      </c>
      <c r="AI445" s="45">
        <f>IF(VLOOKUP($C445,REV!$C:$AL,33,0)-'TRADE IN'!$F445=0,"",(VLOOKUP($C445,REV!$C:$AL,33,0)-'TRADE IN'!$F445))</f>
        <v>2199</v>
      </c>
      <c r="AJ445" s="45">
        <f>IF(VLOOKUP($C445,REV!$C:$AL,34,0)-'TRADE IN'!$F445=0,"",(VLOOKUP($C445,REV!$C:$AL,34,0)-'TRADE IN'!$F445))</f>
        <v>2199</v>
      </c>
      <c r="AK445" s="45">
        <f>IF(VLOOKUP($C445,REV!$C:$AL,35,0)-'TRADE IN'!$F445=0,"",(VLOOKUP($C445,REV!$C:$AL,35,0)-'TRADE IN'!$F445))</f>
        <v>2199</v>
      </c>
      <c r="AL445" s="45">
        <f>IF(VLOOKUP($C445,REV!$C:$AL,36,0)-'TRADE IN'!$F445=0,"",(VLOOKUP($C445,REV!$C:$AL,36,0)-'TRADE IN'!$F445))</f>
        <v>1899</v>
      </c>
      <c r="AM445" s="45"/>
      <c r="AN445" s="45"/>
      <c r="AO445" s="45"/>
      <c r="AP445" s="45"/>
      <c r="AQ445" s="45"/>
      <c r="AR445" s="45"/>
      <c r="AS445" s="45"/>
      <c r="AT445" s="45"/>
      <c r="AU445" s="45"/>
      <c r="AV445" s="47"/>
      <c r="AW445" s="48" t="str">
        <f>REV!AW445</f>
        <v>01.12.2026</v>
      </c>
      <c r="AX445" s="153" t="str">
        <f>VLOOKUP(C445,REV!C:AX,48,0)</f>
        <v>5G</v>
      </c>
    </row>
    <row r="446" spans="1:50" ht="22.5" customHeight="1">
      <c r="A446" s="41" t="s">
        <v>63</v>
      </c>
      <c r="B446" s="42" t="s">
        <v>64</v>
      </c>
      <c r="C446" s="43">
        <v>4017400</v>
      </c>
      <c r="D446" s="58" t="s">
        <v>642</v>
      </c>
      <c r="E446" s="58" t="s">
        <v>648</v>
      </c>
      <c r="F446" s="45">
        <v>300</v>
      </c>
      <c r="G446" s="45"/>
      <c r="H446" s="45"/>
      <c r="I446" s="45"/>
      <c r="J446" s="46">
        <f>IF(VLOOKUP($C446,REV!$C:$AA,8,0)-'TRADE IN'!$F446=0,"",(VLOOKUP($C446,REV!$C:$AA,8,0)-'TRADE IN'!$F446))</f>
        <v>3499</v>
      </c>
      <c r="K446" s="46">
        <f>IF(VLOOKUP($C446,REV!$C:$AA,9,0)-'TRADE IN'!$F446=0,"",(VLOOKUP($C446,REV!$C:$AA,9,0)-'TRADE IN'!$F446))</f>
        <v>3499</v>
      </c>
      <c r="L446" s="46">
        <f>IF(VLOOKUP($C446,REV!$C:$AA,10,0)-'TRADE IN'!$F446=0,"",(VLOOKUP($C446,REV!$C:$AA,10,0)-'TRADE IN'!$F446))</f>
        <v>3499</v>
      </c>
      <c r="M446" s="46">
        <f>IF(VLOOKUP($C446,REV!$C:$AA,11,0)-'TRADE IN'!$F446=0,"",(VLOOKUP($C446,REV!$C:$AA,11,0)-'TRADE IN'!$F446))</f>
        <v>3499</v>
      </c>
      <c r="N446" s="46">
        <f>IF(VLOOKUP($C446,REV!$C:$AA,12,0)-'TRADE IN'!$F446=0,"",(VLOOKUP($C446,REV!$C:$AA,12,0)-'TRADE IN'!$F446))</f>
        <v>3499</v>
      </c>
      <c r="O446" s="46">
        <f>IF(VLOOKUP($C446,REV!$C:$AA,13,0)-'TRADE IN'!$F446=0,"",(VLOOKUP($C446,REV!$C:$AA,13,0)-'TRADE IN'!$F446))</f>
        <v>3399</v>
      </c>
      <c r="P446" s="46">
        <f>IF(VLOOKUP($C446,REV!$C:$AA,14,0)-'TRADE IN'!$F446=0,"",(VLOOKUP($C446,REV!$C:$AA,14,0)-'TRADE IN'!$F446))</f>
        <v>3299</v>
      </c>
      <c r="Q446" s="46">
        <f>IF(VLOOKUP($C446,REV!$C:$AA,15,0)-'TRADE IN'!$F446=0,"",(VLOOKUP($C446,REV!$C:$AA,15,0)-'TRADE IN'!$F446))</f>
        <v>2199</v>
      </c>
      <c r="R446" s="46">
        <f>IF(VLOOKUP($C446,REV!$C:$AA,16,0)-'TRADE IN'!$F446=0,"",(VLOOKUP($C446,REV!$C:$AA,16,0)-'TRADE IN'!$F446))</f>
        <v>3399</v>
      </c>
      <c r="S446" s="46">
        <f>IF(VLOOKUP($C446,REV!$C:$AA,17,0)-'TRADE IN'!$F446=0,"",(VLOOKUP($C446,REV!$C:$AA,17,0)-'TRADE IN'!$F446))</f>
        <v>3299</v>
      </c>
      <c r="T446" s="46">
        <f>IF(VLOOKUP($C446,REV!$C:$AA,18,0)-'TRADE IN'!$F446=0,"",(VLOOKUP($C446,REV!$C:$AA,18,0)-'TRADE IN'!$F446))</f>
        <v>2199</v>
      </c>
      <c r="U446" s="46">
        <f>IF(VLOOKUP($C446,REV!$C:$AA,19,0)-'TRADE IN'!$F446=0,"",(VLOOKUP($C446,REV!$C:$AA,19,0)-'TRADE IN'!$F446))</f>
        <v>2199</v>
      </c>
      <c r="V446" s="46">
        <f>IF(VLOOKUP($C446,REV!$C:$AA,20,0)-'TRADE IN'!$F446=0,"",(VLOOKUP($C446,REV!$C:$AA,20,0)-'TRADE IN'!$F446))</f>
        <v>2199</v>
      </c>
      <c r="W446" s="46">
        <f>IF(VLOOKUP($C446,REV!$C:$AA,21,0)-'TRADE IN'!$F446=0,"",(VLOOKUP($C446,REV!$C:$AA,21,0)-'TRADE IN'!$F446))</f>
        <v>2199</v>
      </c>
      <c r="X446" s="46">
        <f>IF(VLOOKUP($C446,REV!$C:$AA,22,0)-'TRADE IN'!$F446=0,"",(VLOOKUP($C446,REV!$C:$AA,22,0)-'TRADE IN'!$F446))</f>
        <v>2099</v>
      </c>
      <c r="Y446" s="46">
        <f>IF(VLOOKUP($C446,REV!$C:$AA,23,0)-'TRADE IN'!$F446=0,"",(VLOOKUP($C446,REV!$C:$AA,23,0)-'TRADE IN'!$F446))</f>
        <v>1899</v>
      </c>
      <c r="Z446" s="46">
        <f>IF(VLOOKUP($C446,REV!$C:$AA,24,0)-'TRADE IN'!$F446=0,"",(VLOOKUP($C446,REV!$C:$AA,24,0)-'TRADE IN'!$F446))</f>
        <v>1899</v>
      </c>
      <c r="AA446" s="46">
        <f>IF(VLOOKUP($C446,REV!$C:$AA,25,0)-'TRADE IN'!$F446=0,"",(VLOOKUP($C446,REV!$C:$AA,25,0)-'TRADE IN'!$F446))</f>
        <v>1699</v>
      </c>
      <c r="AB446" s="45">
        <f>IF(VLOOKUP($C446,REV!$C:$AL,27,0)-'TRADE IN'!$F446=0,"",(VLOOKUP($C446,REV!$C:$AL,27,0)-'TRADE IN'!$F446))</f>
        <v>3499</v>
      </c>
      <c r="AC446" s="45">
        <f>IF(VLOOKUP($C446,REV!$C:$AL,28,0)-'TRADE IN'!$F446=0,"",(VLOOKUP($C446,REV!$C:$AL,28,0)-'TRADE IN'!$F446))</f>
        <v>3499</v>
      </c>
      <c r="AD446" s="45">
        <f>IF(VLOOKUP($C446,REV!$C:$AL,29,0)-'TRADE IN'!$F446=0,"",(VLOOKUP($C446,REV!$C:$AL,29,0)-'TRADE IN'!$F446))</f>
        <v>3499</v>
      </c>
      <c r="AE446" s="45">
        <f>IF(VLOOKUP($C446,REV!$C:$AL,30,0)-'TRADE IN'!$F446=0,"",(VLOOKUP($C446,REV!$C:$AL,30,0)-'TRADE IN'!$F446))</f>
        <v>3399</v>
      </c>
      <c r="AF446" s="45">
        <f>IF(VLOOKUP($C446,REV!$C:$AL,31,0)-'TRADE IN'!$F446=0,"",(VLOOKUP($C446,REV!$C:$AL,31,0)-'TRADE IN'!$F446))</f>
        <v>3299</v>
      </c>
      <c r="AG446" s="45">
        <f>IF(VLOOKUP($C446,REV!$C:$AL,31,0)-'TRADE IN'!$F446=0,"",(VLOOKUP($C446,REV!$C:$AL,31,0)-'TRADE IN'!$F446))</f>
        <v>3299</v>
      </c>
      <c r="AH446" s="45">
        <f>IF(VLOOKUP($C446,REV!$C:$AL,32,0)-'TRADE IN'!$F446=0,"",(VLOOKUP($C446,REV!$C:$AL,32,0)-'TRADE IN'!$F446))</f>
        <v>2199</v>
      </c>
      <c r="AI446" s="45">
        <f>IF(VLOOKUP($C446,REV!$C:$AL,33,0)-'TRADE IN'!$F446=0,"",(VLOOKUP($C446,REV!$C:$AL,33,0)-'TRADE IN'!$F446))</f>
        <v>2199</v>
      </c>
      <c r="AJ446" s="45">
        <f>IF(VLOOKUP($C446,REV!$C:$AL,34,0)-'TRADE IN'!$F446=0,"",(VLOOKUP($C446,REV!$C:$AL,34,0)-'TRADE IN'!$F446))</f>
        <v>2199</v>
      </c>
      <c r="AK446" s="45">
        <f>IF(VLOOKUP($C446,REV!$C:$AL,35,0)-'TRADE IN'!$F446=0,"",(VLOOKUP($C446,REV!$C:$AL,35,0)-'TRADE IN'!$F446))</f>
        <v>2199</v>
      </c>
      <c r="AL446" s="45">
        <f>IF(VLOOKUP($C446,REV!$C:$AL,36,0)-'TRADE IN'!$F446=0,"",(VLOOKUP($C446,REV!$C:$AL,36,0)-'TRADE IN'!$F446))</f>
        <v>1899</v>
      </c>
      <c r="AM446" s="45"/>
      <c r="AN446" s="45"/>
      <c r="AO446" s="45"/>
      <c r="AP446" s="45"/>
      <c r="AQ446" s="45"/>
      <c r="AR446" s="45"/>
      <c r="AS446" s="45"/>
      <c r="AT446" s="45"/>
      <c r="AU446" s="45"/>
      <c r="AV446" s="47"/>
      <c r="AW446" s="48" t="str">
        <f>REV!AW446</f>
        <v>01.12.2026</v>
      </c>
      <c r="AX446" s="153" t="str">
        <f>VLOOKUP(C446,REV!C:AX,48,0)</f>
        <v>5G</v>
      </c>
    </row>
    <row r="447" spans="1:50" ht="22.5" customHeight="1">
      <c r="A447" s="41" t="s">
        <v>63</v>
      </c>
      <c r="B447" s="42" t="s">
        <v>64</v>
      </c>
      <c r="C447" s="43">
        <v>4017678</v>
      </c>
      <c r="D447" s="58" t="s">
        <v>649</v>
      </c>
      <c r="E447" s="58" t="s">
        <v>650</v>
      </c>
      <c r="F447" s="45">
        <v>1200</v>
      </c>
      <c r="G447" s="45"/>
      <c r="H447" s="45"/>
      <c r="I447" s="45"/>
      <c r="J447" s="46">
        <f>IF(VLOOKUP($C447,REV!$C:$AA,8,0)-'TRADE IN'!$F447=0,"",(VLOOKUP($C447,REV!$C:$AA,8,0)-'TRADE IN'!$F447))</f>
        <v>3999</v>
      </c>
      <c r="K447" s="46">
        <f>IF(VLOOKUP($C447,REV!$C:$AA,9,0)-'TRADE IN'!$F447=0,"",(VLOOKUP($C447,REV!$C:$AA,9,0)-'TRADE IN'!$F447))</f>
        <v>3999</v>
      </c>
      <c r="L447" s="46">
        <f>IF(VLOOKUP($C447,REV!$C:$AA,10,0)-'TRADE IN'!$F447=0,"",(VLOOKUP($C447,REV!$C:$AA,10,0)-'TRADE IN'!$F447))</f>
        <v>3999</v>
      </c>
      <c r="M447" s="46">
        <f>IF(VLOOKUP($C447,REV!$C:$AA,11,0)-'TRADE IN'!$F447=0,"",(VLOOKUP($C447,REV!$C:$AA,11,0)-'TRADE IN'!$F447))</f>
        <v>3999</v>
      </c>
      <c r="N447" s="46">
        <f>IF(VLOOKUP($C447,REV!$C:$AA,12,0)-'TRADE IN'!$F447=0,"",(VLOOKUP($C447,REV!$C:$AA,12,0)-'TRADE IN'!$F447))</f>
        <v>3999</v>
      </c>
      <c r="O447" s="46">
        <f>IF(VLOOKUP($C447,REV!$C:$AA,13,0)-'TRADE IN'!$F447=0,"",(VLOOKUP($C447,REV!$C:$AA,13,0)-'TRADE IN'!$F447))</f>
        <v>3899</v>
      </c>
      <c r="P447" s="46">
        <f>IF(VLOOKUP($C447,REV!$C:$AA,14,0)-'TRADE IN'!$F447=0,"",(VLOOKUP($C447,REV!$C:$AA,14,0)-'TRADE IN'!$F447))</f>
        <v>3849</v>
      </c>
      <c r="Q447" s="46">
        <f>IF(VLOOKUP($C447,REV!$C:$AA,15,0)-'TRADE IN'!$F447=0,"",(VLOOKUP($C447,REV!$C:$AA,15,0)-'TRADE IN'!$F447))</f>
        <v>3599</v>
      </c>
      <c r="R447" s="46">
        <f>IF(VLOOKUP($C447,REV!$C:$AA,16,0)-'TRADE IN'!$F447=0,"",(VLOOKUP($C447,REV!$C:$AA,16,0)-'TRADE IN'!$F447))</f>
        <v>3899</v>
      </c>
      <c r="S447" s="46">
        <f>IF(VLOOKUP($C447,REV!$C:$AA,17,0)-'TRADE IN'!$F447=0,"",(VLOOKUP($C447,REV!$C:$AA,17,0)-'TRADE IN'!$F447))</f>
        <v>3849</v>
      </c>
      <c r="T447" s="46">
        <f>IF(VLOOKUP($C447,REV!$C:$AA,18,0)-'TRADE IN'!$F447=0,"",(VLOOKUP($C447,REV!$C:$AA,18,0)-'TRADE IN'!$F447))</f>
        <v>3599</v>
      </c>
      <c r="U447" s="46">
        <f>IF(VLOOKUP($C447,REV!$C:$AA,19,0)-'TRADE IN'!$F447=0,"",(VLOOKUP($C447,REV!$C:$AA,19,0)-'TRADE IN'!$F447))</f>
        <v>3599</v>
      </c>
      <c r="V447" s="46">
        <f>IF(VLOOKUP($C447,REV!$C:$AA,20,0)-'TRADE IN'!$F447=0,"",(VLOOKUP($C447,REV!$C:$AA,20,0)-'TRADE IN'!$F447))</f>
        <v>3599</v>
      </c>
      <c r="W447" s="46">
        <f>IF(VLOOKUP($C447,REV!$C:$AA,21,0)-'TRADE IN'!$F447=0,"",(VLOOKUP($C447,REV!$C:$AA,21,0)-'TRADE IN'!$F447))</f>
        <v>3599</v>
      </c>
      <c r="X447" s="46">
        <f>IF(VLOOKUP($C447,REV!$C:$AA,22,0)-'TRADE IN'!$F447=0,"",(VLOOKUP($C447,REV!$C:$AA,22,0)-'TRADE IN'!$F447))</f>
        <v>3499</v>
      </c>
      <c r="Y447" s="46">
        <f>IF(VLOOKUP($C447,REV!$C:$AA,23,0)-'TRADE IN'!$F447=0,"",(VLOOKUP($C447,REV!$C:$AA,23,0)-'TRADE IN'!$F447))</f>
        <v>2499</v>
      </c>
      <c r="Z447" s="46">
        <f>IF(VLOOKUP($C447,REV!$C:$AA,24,0)-'TRADE IN'!$F447=0,"",(VLOOKUP($C447,REV!$C:$AA,24,0)-'TRADE IN'!$F447))</f>
        <v>2499</v>
      </c>
      <c r="AA447" s="46">
        <f>IF(VLOOKUP($C447,REV!$C:$AA,25,0)-'TRADE IN'!$F447=0,"",(VLOOKUP($C447,REV!$C:$AA,25,0)-'TRADE IN'!$F447))</f>
        <v>2299</v>
      </c>
      <c r="AB447" s="45">
        <f>IF(VLOOKUP($C447,REV!$C:$AL,27,0)-'TRADE IN'!$F447=0,"",(VLOOKUP($C447,REV!$C:$AL,27,0)-'TRADE IN'!$F447))</f>
        <v>3999</v>
      </c>
      <c r="AC447" s="45">
        <f>IF(VLOOKUP($C447,REV!$C:$AL,28,0)-'TRADE IN'!$F447=0,"",(VLOOKUP($C447,REV!$C:$AL,28,0)-'TRADE IN'!$F447))</f>
        <v>3999</v>
      </c>
      <c r="AD447" s="45">
        <f>IF(VLOOKUP($C447,REV!$C:$AL,29,0)-'TRADE IN'!$F447=0,"",(VLOOKUP($C447,REV!$C:$AL,29,0)-'TRADE IN'!$F447))</f>
        <v>3999</v>
      </c>
      <c r="AE447" s="45">
        <f>IF(VLOOKUP($C447,REV!$C:$AL,30,0)-'TRADE IN'!$F447=0,"",(VLOOKUP($C447,REV!$C:$AL,30,0)-'TRADE IN'!$F447))</f>
        <v>3899</v>
      </c>
      <c r="AF447" s="45">
        <f>IF(VLOOKUP($C447,REV!$C:$AL,31,0)-'TRADE IN'!$F447=0,"",(VLOOKUP($C447,REV!$C:$AL,31,0)-'TRADE IN'!$F447))</f>
        <v>3849</v>
      </c>
      <c r="AG447" s="45">
        <f>IF(VLOOKUP($C447,REV!$C:$AL,31,0)-'TRADE IN'!$F447=0,"",(VLOOKUP($C447,REV!$C:$AL,31,0)-'TRADE IN'!$F447))</f>
        <v>3849</v>
      </c>
      <c r="AH447" s="45">
        <f>IF(VLOOKUP($C447,REV!$C:$AL,32,0)-'TRADE IN'!$F447=0,"",(VLOOKUP($C447,REV!$C:$AL,32,0)-'TRADE IN'!$F447))</f>
        <v>3599</v>
      </c>
      <c r="AI447" s="45">
        <f>IF(VLOOKUP($C447,REV!$C:$AL,33,0)-'TRADE IN'!$F447=0,"",(VLOOKUP($C447,REV!$C:$AL,33,0)-'TRADE IN'!$F447))</f>
        <v>3599</v>
      </c>
      <c r="AJ447" s="45">
        <f>IF(VLOOKUP($C447,REV!$C:$AL,34,0)-'TRADE IN'!$F447=0,"",(VLOOKUP($C447,REV!$C:$AL,34,0)-'TRADE IN'!$F447))</f>
        <v>3599</v>
      </c>
      <c r="AK447" s="45">
        <f>IF(VLOOKUP($C447,REV!$C:$AL,35,0)-'TRADE IN'!$F447=0,"",(VLOOKUP($C447,REV!$C:$AL,35,0)-'TRADE IN'!$F447))</f>
        <v>3599</v>
      </c>
      <c r="AL447" s="45">
        <f>IF(VLOOKUP($C447,REV!$C:$AL,36,0)-'TRADE IN'!$F447=0,"",(VLOOKUP($C447,REV!$C:$AL,36,0)-'TRADE IN'!$F447))</f>
        <v>2499</v>
      </c>
      <c r="AM447" s="45"/>
      <c r="AN447" s="45"/>
      <c r="AO447" s="45"/>
      <c r="AP447" s="45"/>
      <c r="AQ447" s="45"/>
      <c r="AR447" s="45"/>
      <c r="AS447" s="45"/>
      <c r="AT447" s="45"/>
      <c r="AU447" s="45"/>
      <c r="AV447" s="47"/>
      <c r="AW447" s="48" t="str">
        <f>REV!AW447</f>
        <v>01.12.2026</v>
      </c>
      <c r="AX447" s="153" t="str">
        <f>VLOOKUP(C447,REV!C:AX,48,0)</f>
        <v>5G</v>
      </c>
    </row>
    <row r="448" spans="1:50" ht="22.5" customHeight="1">
      <c r="A448" s="41" t="s">
        <v>63</v>
      </c>
      <c r="B448" s="42" t="s">
        <v>64</v>
      </c>
      <c r="C448" s="43">
        <v>4017679</v>
      </c>
      <c r="D448" s="58" t="s">
        <v>649</v>
      </c>
      <c r="E448" s="58" t="s">
        <v>651</v>
      </c>
      <c r="F448" s="45">
        <v>1200</v>
      </c>
      <c r="G448" s="45"/>
      <c r="H448" s="45"/>
      <c r="I448" s="45"/>
      <c r="J448" s="46">
        <f>IF(VLOOKUP($C448,REV!$C:$AA,8,0)-'TRADE IN'!$F448=0,"",(VLOOKUP($C448,REV!$C:$AA,8,0)-'TRADE IN'!$F448))</f>
        <v>3999</v>
      </c>
      <c r="K448" s="46">
        <f>IF(VLOOKUP($C448,REV!$C:$AA,9,0)-'TRADE IN'!$F448=0,"",(VLOOKUP($C448,REV!$C:$AA,9,0)-'TRADE IN'!$F448))</f>
        <v>3999</v>
      </c>
      <c r="L448" s="46">
        <f>IF(VLOOKUP($C448,REV!$C:$AA,10,0)-'TRADE IN'!$F448=0,"",(VLOOKUP($C448,REV!$C:$AA,10,0)-'TRADE IN'!$F448))</f>
        <v>3999</v>
      </c>
      <c r="M448" s="46">
        <f>IF(VLOOKUP($C448,REV!$C:$AA,11,0)-'TRADE IN'!$F448=0,"",(VLOOKUP($C448,REV!$C:$AA,11,0)-'TRADE IN'!$F448))</f>
        <v>3999</v>
      </c>
      <c r="N448" s="46">
        <f>IF(VLOOKUP($C448,REV!$C:$AA,12,0)-'TRADE IN'!$F448=0,"",(VLOOKUP($C448,REV!$C:$AA,12,0)-'TRADE IN'!$F448))</f>
        <v>3999</v>
      </c>
      <c r="O448" s="46">
        <f>IF(VLOOKUP($C448,REV!$C:$AA,13,0)-'TRADE IN'!$F448=0,"",(VLOOKUP($C448,REV!$C:$AA,13,0)-'TRADE IN'!$F448))</f>
        <v>3899</v>
      </c>
      <c r="P448" s="46">
        <f>IF(VLOOKUP($C448,REV!$C:$AA,14,0)-'TRADE IN'!$F448=0,"",(VLOOKUP($C448,REV!$C:$AA,14,0)-'TRADE IN'!$F448))</f>
        <v>3849</v>
      </c>
      <c r="Q448" s="46">
        <f>IF(VLOOKUP($C448,REV!$C:$AA,15,0)-'TRADE IN'!$F448=0,"",(VLOOKUP($C448,REV!$C:$AA,15,0)-'TRADE IN'!$F448))</f>
        <v>3599</v>
      </c>
      <c r="R448" s="46">
        <f>IF(VLOOKUP($C448,REV!$C:$AA,16,0)-'TRADE IN'!$F448=0,"",(VLOOKUP($C448,REV!$C:$AA,16,0)-'TRADE IN'!$F448))</f>
        <v>3899</v>
      </c>
      <c r="S448" s="46">
        <f>IF(VLOOKUP($C448,REV!$C:$AA,17,0)-'TRADE IN'!$F448=0,"",(VLOOKUP($C448,REV!$C:$AA,17,0)-'TRADE IN'!$F448))</f>
        <v>3849</v>
      </c>
      <c r="T448" s="46">
        <f>IF(VLOOKUP($C448,REV!$C:$AA,18,0)-'TRADE IN'!$F448=0,"",(VLOOKUP($C448,REV!$C:$AA,18,0)-'TRADE IN'!$F448))</f>
        <v>3599</v>
      </c>
      <c r="U448" s="46">
        <f>IF(VLOOKUP($C448,REV!$C:$AA,19,0)-'TRADE IN'!$F448=0,"",(VLOOKUP($C448,REV!$C:$AA,19,0)-'TRADE IN'!$F448))</f>
        <v>3599</v>
      </c>
      <c r="V448" s="46">
        <f>IF(VLOOKUP($C448,REV!$C:$AA,20,0)-'TRADE IN'!$F448=0,"",(VLOOKUP($C448,REV!$C:$AA,20,0)-'TRADE IN'!$F448))</f>
        <v>3599</v>
      </c>
      <c r="W448" s="46">
        <f>IF(VLOOKUP($C448,REV!$C:$AA,21,0)-'TRADE IN'!$F448=0,"",(VLOOKUP($C448,REV!$C:$AA,21,0)-'TRADE IN'!$F448))</f>
        <v>3599</v>
      </c>
      <c r="X448" s="46">
        <f>IF(VLOOKUP($C448,REV!$C:$AA,22,0)-'TRADE IN'!$F448=0,"",(VLOOKUP($C448,REV!$C:$AA,22,0)-'TRADE IN'!$F448))</f>
        <v>3499</v>
      </c>
      <c r="Y448" s="46">
        <f>IF(VLOOKUP($C448,REV!$C:$AA,23,0)-'TRADE IN'!$F448=0,"",(VLOOKUP($C448,REV!$C:$AA,23,0)-'TRADE IN'!$F448))</f>
        <v>2499</v>
      </c>
      <c r="Z448" s="46">
        <f>IF(VLOOKUP($C448,REV!$C:$AA,24,0)-'TRADE IN'!$F448=0,"",(VLOOKUP($C448,REV!$C:$AA,24,0)-'TRADE IN'!$F448))</f>
        <v>2499</v>
      </c>
      <c r="AA448" s="46">
        <f>IF(VLOOKUP($C448,REV!$C:$AA,25,0)-'TRADE IN'!$F448=0,"",(VLOOKUP($C448,REV!$C:$AA,25,0)-'TRADE IN'!$F448))</f>
        <v>2299</v>
      </c>
      <c r="AB448" s="45">
        <f>IF(VLOOKUP($C448,REV!$C:$AL,27,0)-'TRADE IN'!$F448=0,"",(VLOOKUP($C448,REV!$C:$AL,27,0)-'TRADE IN'!$F448))</f>
        <v>3999</v>
      </c>
      <c r="AC448" s="45">
        <f>IF(VLOOKUP($C448,REV!$C:$AL,28,0)-'TRADE IN'!$F448=0,"",(VLOOKUP($C448,REV!$C:$AL,28,0)-'TRADE IN'!$F448))</f>
        <v>3999</v>
      </c>
      <c r="AD448" s="45">
        <f>IF(VLOOKUP($C448,REV!$C:$AL,29,0)-'TRADE IN'!$F448=0,"",(VLOOKUP($C448,REV!$C:$AL,29,0)-'TRADE IN'!$F448))</f>
        <v>3999</v>
      </c>
      <c r="AE448" s="45">
        <f>IF(VLOOKUP($C448,REV!$C:$AL,30,0)-'TRADE IN'!$F448=0,"",(VLOOKUP($C448,REV!$C:$AL,30,0)-'TRADE IN'!$F448))</f>
        <v>3899</v>
      </c>
      <c r="AF448" s="45">
        <f>IF(VLOOKUP($C448,REV!$C:$AL,31,0)-'TRADE IN'!$F448=0,"",(VLOOKUP($C448,REV!$C:$AL,31,0)-'TRADE IN'!$F448))</f>
        <v>3849</v>
      </c>
      <c r="AG448" s="45">
        <f>IF(VLOOKUP($C448,REV!$C:$AL,31,0)-'TRADE IN'!$F448=0,"",(VLOOKUP($C448,REV!$C:$AL,31,0)-'TRADE IN'!$F448))</f>
        <v>3849</v>
      </c>
      <c r="AH448" s="45">
        <f>IF(VLOOKUP($C448,REV!$C:$AL,32,0)-'TRADE IN'!$F448=0,"",(VLOOKUP($C448,REV!$C:$AL,32,0)-'TRADE IN'!$F448))</f>
        <v>3599</v>
      </c>
      <c r="AI448" s="45">
        <f>IF(VLOOKUP($C448,REV!$C:$AL,33,0)-'TRADE IN'!$F448=0,"",(VLOOKUP($C448,REV!$C:$AL,33,0)-'TRADE IN'!$F448))</f>
        <v>3599</v>
      </c>
      <c r="AJ448" s="45">
        <f>IF(VLOOKUP($C448,REV!$C:$AL,34,0)-'TRADE IN'!$F448=0,"",(VLOOKUP($C448,REV!$C:$AL,34,0)-'TRADE IN'!$F448))</f>
        <v>3599</v>
      </c>
      <c r="AK448" s="45">
        <f>IF(VLOOKUP($C448,REV!$C:$AL,35,0)-'TRADE IN'!$F448=0,"",(VLOOKUP($C448,REV!$C:$AL,35,0)-'TRADE IN'!$F448))</f>
        <v>3599</v>
      </c>
      <c r="AL448" s="45">
        <f>IF(VLOOKUP($C448,REV!$C:$AL,36,0)-'TRADE IN'!$F448=0,"",(VLOOKUP($C448,REV!$C:$AL,36,0)-'TRADE IN'!$F448))</f>
        <v>2499</v>
      </c>
      <c r="AM448" s="45"/>
      <c r="AN448" s="45"/>
      <c r="AO448" s="45"/>
      <c r="AP448" s="45"/>
      <c r="AQ448" s="45"/>
      <c r="AR448" s="45"/>
      <c r="AS448" s="45"/>
      <c r="AT448" s="45"/>
      <c r="AU448" s="45"/>
      <c r="AV448" s="47"/>
      <c r="AW448" s="48" t="str">
        <f>REV!AW448</f>
        <v>01.12.2026</v>
      </c>
      <c r="AX448" s="153" t="str">
        <f>VLOOKUP(C448,REV!C:AX,48,0)</f>
        <v>5G</v>
      </c>
    </row>
    <row r="449" spans="1:50" ht="22.5" customHeight="1">
      <c r="A449" s="41" t="s">
        <v>63</v>
      </c>
      <c r="B449" s="42" t="s">
        <v>64</v>
      </c>
      <c r="C449" s="43">
        <v>4017750</v>
      </c>
      <c r="D449" s="58" t="s">
        <v>649</v>
      </c>
      <c r="E449" s="58" t="s">
        <v>652</v>
      </c>
      <c r="F449" s="45">
        <v>1200</v>
      </c>
      <c r="G449" s="45"/>
      <c r="H449" s="45"/>
      <c r="I449" s="45"/>
      <c r="J449" s="46">
        <f>IF(VLOOKUP($C449,REV!$C:$AA,8,0)-'TRADE IN'!$F449=0,"",(VLOOKUP($C449,REV!$C:$AA,8,0)-'TRADE IN'!$F449))</f>
        <v>3999</v>
      </c>
      <c r="K449" s="46">
        <f>IF(VLOOKUP($C449,REV!$C:$AA,9,0)-'TRADE IN'!$F449=0,"",(VLOOKUP($C449,REV!$C:$AA,9,0)-'TRADE IN'!$F449))</f>
        <v>3999</v>
      </c>
      <c r="L449" s="46">
        <f>IF(VLOOKUP($C449,REV!$C:$AA,10,0)-'TRADE IN'!$F449=0,"",(VLOOKUP($C449,REV!$C:$AA,10,0)-'TRADE IN'!$F449))</f>
        <v>3999</v>
      </c>
      <c r="M449" s="46">
        <f>IF(VLOOKUP($C449,REV!$C:$AA,11,0)-'TRADE IN'!$F449=0,"",(VLOOKUP($C449,REV!$C:$AA,11,0)-'TRADE IN'!$F449))</f>
        <v>3999</v>
      </c>
      <c r="N449" s="46">
        <f>IF(VLOOKUP($C449,REV!$C:$AA,12,0)-'TRADE IN'!$F449=0,"",(VLOOKUP($C449,REV!$C:$AA,12,0)-'TRADE IN'!$F449))</f>
        <v>3999</v>
      </c>
      <c r="O449" s="46">
        <f>IF(VLOOKUP($C449,REV!$C:$AA,13,0)-'TRADE IN'!$F449=0,"",(VLOOKUP($C449,REV!$C:$AA,13,0)-'TRADE IN'!$F449))</f>
        <v>3899</v>
      </c>
      <c r="P449" s="46">
        <f>IF(VLOOKUP($C449,REV!$C:$AA,14,0)-'TRADE IN'!$F449=0,"",(VLOOKUP($C449,REV!$C:$AA,14,0)-'TRADE IN'!$F449))</f>
        <v>3849</v>
      </c>
      <c r="Q449" s="46">
        <f>IF(VLOOKUP($C449,REV!$C:$AA,15,0)-'TRADE IN'!$F449=0,"",(VLOOKUP($C449,REV!$C:$AA,15,0)-'TRADE IN'!$F449))</f>
        <v>3599</v>
      </c>
      <c r="R449" s="46">
        <f>IF(VLOOKUP($C449,REV!$C:$AA,16,0)-'TRADE IN'!$F449=0,"",(VLOOKUP($C449,REV!$C:$AA,16,0)-'TRADE IN'!$F449))</f>
        <v>3899</v>
      </c>
      <c r="S449" s="46">
        <f>IF(VLOOKUP($C449,REV!$C:$AA,17,0)-'TRADE IN'!$F449=0,"",(VLOOKUP($C449,REV!$C:$AA,17,0)-'TRADE IN'!$F449))</f>
        <v>3849</v>
      </c>
      <c r="T449" s="46">
        <f>IF(VLOOKUP($C449,REV!$C:$AA,18,0)-'TRADE IN'!$F449=0,"",(VLOOKUP($C449,REV!$C:$AA,18,0)-'TRADE IN'!$F449))</f>
        <v>3599</v>
      </c>
      <c r="U449" s="46">
        <f>IF(VLOOKUP($C449,REV!$C:$AA,19,0)-'TRADE IN'!$F449=0,"",(VLOOKUP($C449,REV!$C:$AA,19,0)-'TRADE IN'!$F449))</f>
        <v>3599</v>
      </c>
      <c r="V449" s="46">
        <f>IF(VLOOKUP($C449,REV!$C:$AA,20,0)-'TRADE IN'!$F449=0,"",(VLOOKUP($C449,REV!$C:$AA,20,0)-'TRADE IN'!$F449))</f>
        <v>3599</v>
      </c>
      <c r="W449" s="46">
        <f>IF(VLOOKUP($C449,REV!$C:$AA,21,0)-'TRADE IN'!$F449=0,"",(VLOOKUP($C449,REV!$C:$AA,21,0)-'TRADE IN'!$F449))</f>
        <v>3599</v>
      </c>
      <c r="X449" s="46">
        <f>IF(VLOOKUP($C449,REV!$C:$AA,22,0)-'TRADE IN'!$F449=0,"",(VLOOKUP($C449,REV!$C:$AA,22,0)-'TRADE IN'!$F449))</f>
        <v>3499</v>
      </c>
      <c r="Y449" s="46">
        <f>IF(VLOOKUP($C449,REV!$C:$AA,23,0)-'TRADE IN'!$F449=0,"",(VLOOKUP($C449,REV!$C:$AA,23,0)-'TRADE IN'!$F449))</f>
        <v>2499</v>
      </c>
      <c r="Z449" s="46">
        <f>IF(VLOOKUP($C449,REV!$C:$AA,24,0)-'TRADE IN'!$F449=0,"",(VLOOKUP($C449,REV!$C:$AA,24,0)-'TRADE IN'!$F449))</f>
        <v>2499</v>
      </c>
      <c r="AA449" s="46">
        <f>IF(VLOOKUP($C449,REV!$C:$AA,25,0)-'TRADE IN'!$F449=0,"",(VLOOKUP($C449,REV!$C:$AA,25,0)-'TRADE IN'!$F449))</f>
        <v>2299</v>
      </c>
      <c r="AB449" s="45">
        <f>IF(VLOOKUP($C449,REV!$C:$AL,27,0)-'TRADE IN'!$F449=0,"",(VLOOKUP($C449,REV!$C:$AL,27,0)-'TRADE IN'!$F449))</f>
        <v>3999</v>
      </c>
      <c r="AC449" s="45">
        <f>IF(VLOOKUP($C449,REV!$C:$AL,28,0)-'TRADE IN'!$F449=0,"",(VLOOKUP($C449,REV!$C:$AL,28,0)-'TRADE IN'!$F449))</f>
        <v>3999</v>
      </c>
      <c r="AD449" s="45">
        <f>IF(VLOOKUP($C449,REV!$C:$AL,29,0)-'TRADE IN'!$F449=0,"",(VLOOKUP($C449,REV!$C:$AL,29,0)-'TRADE IN'!$F449))</f>
        <v>3999</v>
      </c>
      <c r="AE449" s="45">
        <f>IF(VLOOKUP($C449,REV!$C:$AL,30,0)-'TRADE IN'!$F449=0,"",(VLOOKUP($C449,REV!$C:$AL,30,0)-'TRADE IN'!$F449))</f>
        <v>3899</v>
      </c>
      <c r="AF449" s="45">
        <f>IF(VLOOKUP($C449,REV!$C:$AL,31,0)-'TRADE IN'!$F449=0,"",(VLOOKUP($C449,REV!$C:$AL,31,0)-'TRADE IN'!$F449))</f>
        <v>3849</v>
      </c>
      <c r="AG449" s="45">
        <f>IF(VLOOKUP($C449,REV!$C:$AL,31,0)-'TRADE IN'!$F449=0,"",(VLOOKUP($C449,REV!$C:$AL,31,0)-'TRADE IN'!$F449))</f>
        <v>3849</v>
      </c>
      <c r="AH449" s="45">
        <f>IF(VLOOKUP($C449,REV!$C:$AL,32,0)-'TRADE IN'!$F449=0,"",(VLOOKUP($C449,REV!$C:$AL,32,0)-'TRADE IN'!$F449))</f>
        <v>3599</v>
      </c>
      <c r="AI449" s="45">
        <f>IF(VLOOKUP($C449,REV!$C:$AL,33,0)-'TRADE IN'!$F449=0,"",(VLOOKUP($C449,REV!$C:$AL,33,0)-'TRADE IN'!$F449))</f>
        <v>3599</v>
      </c>
      <c r="AJ449" s="45">
        <f>IF(VLOOKUP($C449,REV!$C:$AL,34,0)-'TRADE IN'!$F449=0,"",(VLOOKUP($C449,REV!$C:$AL,34,0)-'TRADE IN'!$F449))</f>
        <v>3599</v>
      </c>
      <c r="AK449" s="45">
        <f>IF(VLOOKUP($C449,REV!$C:$AL,35,0)-'TRADE IN'!$F449=0,"",(VLOOKUP($C449,REV!$C:$AL,35,0)-'TRADE IN'!$F449))</f>
        <v>3599</v>
      </c>
      <c r="AL449" s="45">
        <f>IF(VLOOKUP($C449,REV!$C:$AL,36,0)-'TRADE IN'!$F449=0,"",(VLOOKUP($C449,REV!$C:$AL,36,0)-'TRADE IN'!$F449))</f>
        <v>2499</v>
      </c>
      <c r="AM449" s="45"/>
      <c r="AN449" s="45"/>
      <c r="AO449" s="45"/>
      <c r="AP449" s="45"/>
      <c r="AQ449" s="45"/>
      <c r="AR449" s="45"/>
      <c r="AS449" s="45"/>
      <c r="AT449" s="45"/>
      <c r="AU449" s="45"/>
      <c r="AV449" s="47"/>
      <c r="AW449" s="48" t="str">
        <f>REV!AW449</f>
        <v>01.12.2026</v>
      </c>
      <c r="AX449" s="153" t="str">
        <f>VLOOKUP(C449,REV!C:AX,48,0)</f>
        <v>5G</v>
      </c>
    </row>
    <row r="450" spans="1:50" ht="22.5" customHeight="1">
      <c r="A450" s="41" t="s">
        <v>63</v>
      </c>
      <c r="B450" s="42" t="s">
        <v>64</v>
      </c>
      <c r="C450" s="43">
        <v>4017751</v>
      </c>
      <c r="D450" s="58" t="s">
        <v>649</v>
      </c>
      <c r="E450" s="58" t="s">
        <v>653</v>
      </c>
      <c r="F450" s="45">
        <v>1200</v>
      </c>
      <c r="G450" s="45"/>
      <c r="H450" s="45"/>
      <c r="I450" s="45"/>
      <c r="J450" s="46">
        <f>IF(VLOOKUP($C450,REV!$C:$AA,8,0)-'TRADE IN'!$F450=0,"",(VLOOKUP($C450,REV!$C:$AA,8,0)-'TRADE IN'!$F450))</f>
        <v>3999</v>
      </c>
      <c r="K450" s="46">
        <f>IF(VLOOKUP($C450,REV!$C:$AA,9,0)-'TRADE IN'!$F450=0,"",(VLOOKUP($C450,REV!$C:$AA,9,0)-'TRADE IN'!$F450))</f>
        <v>3999</v>
      </c>
      <c r="L450" s="46">
        <f>IF(VLOOKUP($C450,REV!$C:$AA,10,0)-'TRADE IN'!$F450=0,"",(VLOOKUP($C450,REV!$C:$AA,10,0)-'TRADE IN'!$F450))</f>
        <v>3999</v>
      </c>
      <c r="M450" s="46">
        <f>IF(VLOOKUP($C450,REV!$C:$AA,11,0)-'TRADE IN'!$F450=0,"",(VLOOKUP($C450,REV!$C:$AA,11,0)-'TRADE IN'!$F450))</f>
        <v>3999</v>
      </c>
      <c r="N450" s="46">
        <f>IF(VLOOKUP($C450,REV!$C:$AA,12,0)-'TRADE IN'!$F450=0,"",(VLOOKUP($C450,REV!$C:$AA,12,0)-'TRADE IN'!$F450))</f>
        <v>3999</v>
      </c>
      <c r="O450" s="46">
        <f>IF(VLOOKUP($C450,REV!$C:$AA,13,0)-'TRADE IN'!$F450=0,"",(VLOOKUP($C450,REV!$C:$AA,13,0)-'TRADE IN'!$F450))</f>
        <v>3899</v>
      </c>
      <c r="P450" s="46">
        <f>IF(VLOOKUP($C450,REV!$C:$AA,14,0)-'TRADE IN'!$F450=0,"",(VLOOKUP($C450,REV!$C:$AA,14,0)-'TRADE IN'!$F450))</f>
        <v>3849</v>
      </c>
      <c r="Q450" s="46">
        <f>IF(VLOOKUP($C450,REV!$C:$AA,15,0)-'TRADE IN'!$F450=0,"",(VLOOKUP($C450,REV!$C:$AA,15,0)-'TRADE IN'!$F450))</f>
        <v>3599</v>
      </c>
      <c r="R450" s="46">
        <f>IF(VLOOKUP($C450,REV!$C:$AA,16,0)-'TRADE IN'!$F450=0,"",(VLOOKUP($C450,REV!$C:$AA,16,0)-'TRADE IN'!$F450))</f>
        <v>3899</v>
      </c>
      <c r="S450" s="46">
        <f>IF(VLOOKUP($C450,REV!$C:$AA,17,0)-'TRADE IN'!$F450=0,"",(VLOOKUP($C450,REV!$C:$AA,17,0)-'TRADE IN'!$F450))</f>
        <v>3849</v>
      </c>
      <c r="T450" s="46">
        <f>IF(VLOOKUP($C450,REV!$C:$AA,18,0)-'TRADE IN'!$F450=0,"",(VLOOKUP($C450,REV!$C:$AA,18,0)-'TRADE IN'!$F450))</f>
        <v>3599</v>
      </c>
      <c r="U450" s="46">
        <f>IF(VLOOKUP($C450,REV!$C:$AA,19,0)-'TRADE IN'!$F450=0,"",(VLOOKUP($C450,REV!$C:$AA,19,0)-'TRADE IN'!$F450))</f>
        <v>3599</v>
      </c>
      <c r="V450" s="46">
        <f>IF(VLOOKUP($C450,REV!$C:$AA,20,0)-'TRADE IN'!$F450=0,"",(VLOOKUP($C450,REV!$C:$AA,20,0)-'TRADE IN'!$F450))</f>
        <v>3599</v>
      </c>
      <c r="W450" s="46">
        <f>IF(VLOOKUP($C450,REV!$C:$AA,21,0)-'TRADE IN'!$F450=0,"",(VLOOKUP($C450,REV!$C:$AA,21,0)-'TRADE IN'!$F450))</f>
        <v>3599</v>
      </c>
      <c r="X450" s="46">
        <f>IF(VLOOKUP($C450,REV!$C:$AA,22,0)-'TRADE IN'!$F450=0,"",(VLOOKUP($C450,REV!$C:$AA,22,0)-'TRADE IN'!$F450))</f>
        <v>3499</v>
      </c>
      <c r="Y450" s="46">
        <f>IF(VLOOKUP($C450,REV!$C:$AA,23,0)-'TRADE IN'!$F450=0,"",(VLOOKUP($C450,REV!$C:$AA,23,0)-'TRADE IN'!$F450))</f>
        <v>2499</v>
      </c>
      <c r="Z450" s="46">
        <f>IF(VLOOKUP($C450,REV!$C:$AA,24,0)-'TRADE IN'!$F450=0,"",(VLOOKUP($C450,REV!$C:$AA,24,0)-'TRADE IN'!$F450))</f>
        <v>2499</v>
      </c>
      <c r="AA450" s="46">
        <f>IF(VLOOKUP($C450,REV!$C:$AA,25,0)-'TRADE IN'!$F450=0,"",(VLOOKUP($C450,REV!$C:$AA,25,0)-'TRADE IN'!$F450))</f>
        <v>2299</v>
      </c>
      <c r="AB450" s="45">
        <f>IF(VLOOKUP($C450,REV!$C:$AL,27,0)-'TRADE IN'!$F450=0,"",(VLOOKUP($C450,REV!$C:$AL,27,0)-'TRADE IN'!$F450))</f>
        <v>3999</v>
      </c>
      <c r="AC450" s="45">
        <f>IF(VLOOKUP($C450,REV!$C:$AL,28,0)-'TRADE IN'!$F450=0,"",(VLOOKUP($C450,REV!$C:$AL,28,0)-'TRADE IN'!$F450))</f>
        <v>3999</v>
      </c>
      <c r="AD450" s="45">
        <f>IF(VLOOKUP($C450,REV!$C:$AL,29,0)-'TRADE IN'!$F450=0,"",(VLOOKUP($C450,REV!$C:$AL,29,0)-'TRADE IN'!$F450))</f>
        <v>3999</v>
      </c>
      <c r="AE450" s="45">
        <f>IF(VLOOKUP($C450,REV!$C:$AL,30,0)-'TRADE IN'!$F450=0,"",(VLOOKUP($C450,REV!$C:$AL,30,0)-'TRADE IN'!$F450))</f>
        <v>3899</v>
      </c>
      <c r="AF450" s="45">
        <f>IF(VLOOKUP($C450,REV!$C:$AL,31,0)-'TRADE IN'!$F450=0,"",(VLOOKUP($C450,REV!$C:$AL,31,0)-'TRADE IN'!$F450))</f>
        <v>3849</v>
      </c>
      <c r="AG450" s="45">
        <f>IF(VLOOKUP($C450,REV!$C:$AL,31,0)-'TRADE IN'!$F450=0,"",(VLOOKUP($C450,REV!$C:$AL,31,0)-'TRADE IN'!$F450))</f>
        <v>3849</v>
      </c>
      <c r="AH450" s="45">
        <f>IF(VLOOKUP($C450,REV!$C:$AL,32,0)-'TRADE IN'!$F450=0,"",(VLOOKUP($C450,REV!$C:$AL,32,0)-'TRADE IN'!$F450))</f>
        <v>3599</v>
      </c>
      <c r="AI450" s="45">
        <f>IF(VLOOKUP($C450,REV!$C:$AL,33,0)-'TRADE IN'!$F450=0,"",(VLOOKUP($C450,REV!$C:$AL,33,0)-'TRADE IN'!$F450))</f>
        <v>3599</v>
      </c>
      <c r="AJ450" s="45">
        <f>IF(VLOOKUP($C450,REV!$C:$AL,34,0)-'TRADE IN'!$F450=0,"",(VLOOKUP($C450,REV!$C:$AL,34,0)-'TRADE IN'!$F450))</f>
        <v>3599</v>
      </c>
      <c r="AK450" s="45">
        <f>IF(VLOOKUP($C450,REV!$C:$AL,35,0)-'TRADE IN'!$F450=0,"",(VLOOKUP($C450,REV!$C:$AL,35,0)-'TRADE IN'!$F450))</f>
        <v>3599</v>
      </c>
      <c r="AL450" s="45">
        <f>IF(VLOOKUP($C450,REV!$C:$AL,36,0)-'TRADE IN'!$F450=0,"",(VLOOKUP($C450,REV!$C:$AL,36,0)-'TRADE IN'!$F450))</f>
        <v>2499</v>
      </c>
      <c r="AM450" s="45"/>
      <c r="AN450" s="45"/>
      <c r="AO450" s="45"/>
      <c r="AP450" s="45"/>
      <c r="AQ450" s="45"/>
      <c r="AR450" s="45"/>
      <c r="AS450" s="45"/>
      <c r="AT450" s="45"/>
      <c r="AU450" s="45"/>
      <c r="AV450" s="47"/>
      <c r="AW450" s="48" t="str">
        <f>REV!AW450</f>
        <v>01.12.2026</v>
      </c>
      <c r="AX450" s="153" t="str">
        <f>VLOOKUP(C450,REV!C:AX,48,0)</f>
        <v>5G</v>
      </c>
    </row>
    <row r="451" spans="1:50" ht="22.5" customHeight="1">
      <c r="A451" s="41" t="s">
        <v>63</v>
      </c>
      <c r="B451" s="42" t="s">
        <v>64</v>
      </c>
      <c r="C451" s="43">
        <v>4017756</v>
      </c>
      <c r="D451" s="58" t="s">
        <v>649</v>
      </c>
      <c r="E451" s="58" t="s">
        <v>654</v>
      </c>
      <c r="F451" s="45">
        <v>1200</v>
      </c>
      <c r="G451" s="45"/>
      <c r="H451" s="45"/>
      <c r="I451" s="45"/>
      <c r="J451" s="46">
        <f>IF(VLOOKUP($C451,REV!$C:$AA,8,0)-'TRADE IN'!$F451=0,"",(VLOOKUP($C451,REV!$C:$AA,8,0)-'TRADE IN'!$F451))</f>
        <v>3999</v>
      </c>
      <c r="K451" s="46">
        <f>IF(VLOOKUP($C451,REV!$C:$AA,9,0)-'TRADE IN'!$F451=0,"",(VLOOKUP($C451,REV!$C:$AA,9,0)-'TRADE IN'!$F451))</f>
        <v>3999</v>
      </c>
      <c r="L451" s="46">
        <f>IF(VLOOKUP($C451,REV!$C:$AA,10,0)-'TRADE IN'!$F451=0,"",(VLOOKUP($C451,REV!$C:$AA,10,0)-'TRADE IN'!$F451))</f>
        <v>3999</v>
      </c>
      <c r="M451" s="46">
        <f>IF(VLOOKUP($C451,REV!$C:$AA,11,0)-'TRADE IN'!$F451=0,"",(VLOOKUP($C451,REV!$C:$AA,11,0)-'TRADE IN'!$F451))</f>
        <v>3999</v>
      </c>
      <c r="N451" s="46">
        <f>IF(VLOOKUP($C451,REV!$C:$AA,12,0)-'TRADE IN'!$F451=0,"",(VLOOKUP($C451,REV!$C:$AA,12,0)-'TRADE IN'!$F451))</f>
        <v>3999</v>
      </c>
      <c r="O451" s="46">
        <f>IF(VLOOKUP($C451,REV!$C:$AA,13,0)-'TRADE IN'!$F451=0,"",(VLOOKUP($C451,REV!$C:$AA,13,0)-'TRADE IN'!$F451))</f>
        <v>3899</v>
      </c>
      <c r="P451" s="46">
        <f>IF(VLOOKUP($C451,REV!$C:$AA,14,0)-'TRADE IN'!$F451=0,"",(VLOOKUP($C451,REV!$C:$AA,14,0)-'TRADE IN'!$F451))</f>
        <v>3849</v>
      </c>
      <c r="Q451" s="46">
        <f>IF(VLOOKUP($C451,REV!$C:$AA,15,0)-'TRADE IN'!$F451=0,"",(VLOOKUP($C451,REV!$C:$AA,15,0)-'TRADE IN'!$F451))</f>
        <v>3599</v>
      </c>
      <c r="R451" s="46">
        <f>IF(VLOOKUP($C451,REV!$C:$AA,16,0)-'TRADE IN'!$F451=0,"",(VLOOKUP($C451,REV!$C:$AA,16,0)-'TRADE IN'!$F451))</f>
        <v>3899</v>
      </c>
      <c r="S451" s="46">
        <f>IF(VLOOKUP($C451,REV!$C:$AA,17,0)-'TRADE IN'!$F451=0,"",(VLOOKUP($C451,REV!$C:$AA,17,0)-'TRADE IN'!$F451))</f>
        <v>3849</v>
      </c>
      <c r="T451" s="46">
        <f>IF(VLOOKUP($C451,REV!$C:$AA,18,0)-'TRADE IN'!$F451=0,"",(VLOOKUP($C451,REV!$C:$AA,18,0)-'TRADE IN'!$F451))</f>
        <v>3599</v>
      </c>
      <c r="U451" s="46">
        <f>IF(VLOOKUP($C451,REV!$C:$AA,19,0)-'TRADE IN'!$F451=0,"",(VLOOKUP($C451,REV!$C:$AA,19,0)-'TRADE IN'!$F451))</f>
        <v>3599</v>
      </c>
      <c r="V451" s="46">
        <f>IF(VLOOKUP($C451,REV!$C:$AA,20,0)-'TRADE IN'!$F451=0,"",(VLOOKUP($C451,REV!$C:$AA,20,0)-'TRADE IN'!$F451))</f>
        <v>3599</v>
      </c>
      <c r="W451" s="46">
        <f>IF(VLOOKUP($C451,REV!$C:$AA,21,0)-'TRADE IN'!$F451=0,"",(VLOOKUP($C451,REV!$C:$AA,21,0)-'TRADE IN'!$F451))</f>
        <v>3599</v>
      </c>
      <c r="X451" s="46">
        <f>IF(VLOOKUP($C451,REV!$C:$AA,22,0)-'TRADE IN'!$F451=0,"",(VLOOKUP($C451,REV!$C:$AA,22,0)-'TRADE IN'!$F451))</f>
        <v>3499</v>
      </c>
      <c r="Y451" s="46">
        <f>IF(VLOOKUP($C451,REV!$C:$AA,23,0)-'TRADE IN'!$F451=0,"",(VLOOKUP($C451,REV!$C:$AA,23,0)-'TRADE IN'!$F451))</f>
        <v>2499</v>
      </c>
      <c r="Z451" s="46">
        <f>IF(VLOOKUP($C451,REV!$C:$AA,24,0)-'TRADE IN'!$F451=0,"",(VLOOKUP($C451,REV!$C:$AA,24,0)-'TRADE IN'!$F451))</f>
        <v>2499</v>
      </c>
      <c r="AA451" s="46">
        <f>IF(VLOOKUP($C451,REV!$C:$AA,25,0)-'TRADE IN'!$F451=0,"",(VLOOKUP($C451,REV!$C:$AA,25,0)-'TRADE IN'!$F451))</f>
        <v>2299</v>
      </c>
      <c r="AB451" s="45">
        <f>IF(VLOOKUP($C451,REV!$C:$AL,27,0)-'TRADE IN'!$F451=0,"",(VLOOKUP($C451,REV!$C:$AL,27,0)-'TRADE IN'!$F451))</f>
        <v>3999</v>
      </c>
      <c r="AC451" s="45">
        <f>IF(VLOOKUP($C451,REV!$C:$AL,28,0)-'TRADE IN'!$F451=0,"",(VLOOKUP($C451,REV!$C:$AL,28,0)-'TRADE IN'!$F451))</f>
        <v>3999</v>
      </c>
      <c r="AD451" s="45">
        <f>IF(VLOOKUP($C451,REV!$C:$AL,29,0)-'TRADE IN'!$F451=0,"",(VLOOKUP($C451,REV!$C:$AL,29,0)-'TRADE IN'!$F451))</f>
        <v>3999</v>
      </c>
      <c r="AE451" s="45">
        <f>IF(VLOOKUP($C451,REV!$C:$AL,30,0)-'TRADE IN'!$F451=0,"",(VLOOKUP($C451,REV!$C:$AL,30,0)-'TRADE IN'!$F451))</f>
        <v>3899</v>
      </c>
      <c r="AF451" s="45">
        <f>IF(VLOOKUP($C451,REV!$C:$AL,31,0)-'TRADE IN'!$F451=0,"",(VLOOKUP($C451,REV!$C:$AL,31,0)-'TRADE IN'!$F451))</f>
        <v>3849</v>
      </c>
      <c r="AG451" s="45">
        <f>IF(VLOOKUP($C451,REV!$C:$AL,31,0)-'TRADE IN'!$F451=0,"",(VLOOKUP($C451,REV!$C:$AL,31,0)-'TRADE IN'!$F451))</f>
        <v>3849</v>
      </c>
      <c r="AH451" s="45">
        <f>IF(VLOOKUP($C451,REV!$C:$AL,32,0)-'TRADE IN'!$F451=0,"",(VLOOKUP($C451,REV!$C:$AL,32,0)-'TRADE IN'!$F451))</f>
        <v>3599</v>
      </c>
      <c r="AI451" s="45">
        <f>IF(VLOOKUP($C451,REV!$C:$AL,33,0)-'TRADE IN'!$F451=0,"",(VLOOKUP($C451,REV!$C:$AL,33,0)-'TRADE IN'!$F451))</f>
        <v>3599</v>
      </c>
      <c r="AJ451" s="45">
        <f>IF(VLOOKUP($C451,REV!$C:$AL,34,0)-'TRADE IN'!$F451=0,"",(VLOOKUP($C451,REV!$C:$AL,34,0)-'TRADE IN'!$F451))</f>
        <v>3599</v>
      </c>
      <c r="AK451" s="45">
        <f>IF(VLOOKUP($C451,REV!$C:$AL,35,0)-'TRADE IN'!$F451=0,"",(VLOOKUP($C451,REV!$C:$AL,35,0)-'TRADE IN'!$F451))</f>
        <v>3599</v>
      </c>
      <c r="AL451" s="45">
        <f>IF(VLOOKUP($C451,REV!$C:$AL,36,0)-'TRADE IN'!$F451=0,"",(VLOOKUP($C451,REV!$C:$AL,36,0)-'TRADE IN'!$F451))</f>
        <v>2499</v>
      </c>
      <c r="AM451" s="45"/>
      <c r="AN451" s="45"/>
      <c r="AO451" s="45"/>
      <c r="AP451" s="45"/>
      <c r="AQ451" s="45"/>
      <c r="AR451" s="45"/>
      <c r="AS451" s="45"/>
      <c r="AT451" s="45"/>
      <c r="AU451" s="45"/>
      <c r="AV451" s="47"/>
      <c r="AW451" s="48" t="str">
        <f>REV!AW451</f>
        <v>01.12.2026</v>
      </c>
      <c r="AX451" s="153" t="str">
        <f>VLOOKUP(C451,REV!C:AX,48,0)</f>
        <v>5G</v>
      </c>
    </row>
    <row r="452" spans="1:50" ht="22.5" customHeight="1">
      <c r="A452" s="41" t="s">
        <v>63</v>
      </c>
      <c r="B452" s="42" t="s">
        <v>64</v>
      </c>
      <c r="C452" s="43">
        <v>4017757</v>
      </c>
      <c r="D452" s="58" t="s">
        <v>649</v>
      </c>
      <c r="E452" s="58" t="s">
        <v>655</v>
      </c>
      <c r="F452" s="45">
        <v>1200</v>
      </c>
      <c r="G452" s="45"/>
      <c r="H452" s="45"/>
      <c r="I452" s="45"/>
      <c r="J452" s="46">
        <f>IF(VLOOKUP($C452,REV!$C:$AA,8,0)-'TRADE IN'!$F452=0,"",(VLOOKUP($C452,REV!$C:$AA,8,0)-'TRADE IN'!$F452))</f>
        <v>3999</v>
      </c>
      <c r="K452" s="46">
        <f>IF(VLOOKUP($C452,REV!$C:$AA,9,0)-'TRADE IN'!$F452=0,"",(VLOOKUP($C452,REV!$C:$AA,9,0)-'TRADE IN'!$F452))</f>
        <v>3999</v>
      </c>
      <c r="L452" s="46">
        <f>IF(VLOOKUP($C452,REV!$C:$AA,10,0)-'TRADE IN'!$F452=0,"",(VLOOKUP($C452,REV!$C:$AA,10,0)-'TRADE IN'!$F452))</f>
        <v>3999</v>
      </c>
      <c r="M452" s="46">
        <f>IF(VLOOKUP($C452,REV!$C:$AA,11,0)-'TRADE IN'!$F452=0,"",(VLOOKUP($C452,REV!$C:$AA,11,0)-'TRADE IN'!$F452))</f>
        <v>3999</v>
      </c>
      <c r="N452" s="46">
        <f>IF(VLOOKUP($C452,REV!$C:$AA,12,0)-'TRADE IN'!$F452=0,"",(VLOOKUP($C452,REV!$C:$AA,12,0)-'TRADE IN'!$F452))</f>
        <v>3999</v>
      </c>
      <c r="O452" s="46">
        <f>IF(VLOOKUP($C452,REV!$C:$AA,13,0)-'TRADE IN'!$F452=0,"",(VLOOKUP($C452,REV!$C:$AA,13,0)-'TRADE IN'!$F452))</f>
        <v>3899</v>
      </c>
      <c r="P452" s="46">
        <f>IF(VLOOKUP($C452,REV!$C:$AA,14,0)-'TRADE IN'!$F452=0,"",(VLOOKUP($C452,REV!$C:$AA,14,0)-'TRADE IN'!$F452))</f>
        <v>3849</v>
      </c>
      <c r="Q452" s="46">
        <f>IF(VLOOKUP($C452,REV!$C:$AA,15,0)-'TRADE IN'!$F452=0,"",(VLOOKUP($C452,REV!$C:$AA,15,0)-'TRADE IN'!$F452))</f>
        <v>3599</v>
      </c>
      <c r="R452" s="46">
        <f>IF(VLOOKUP($C452,REV!$C:$AA,16,0)-'TRADE IN'!$F452=0,"",(VLOOKUP($C452,REV!$C:$AA,16,0)-'TRADE IN'!$F452))</f>
        <v>3899</v>
      </c>
      <c r="S452" s="46">
        <f>IF(VLOOKUP($C452,REV!$C:$AA,17,0)-'TRADE IN'!$F452=0,"",(VLOOKUP($C452,REV!$C:$AA,17,0)-'TRADE IN'!$F452))</f>
        <v>3849</v>
      </c>
      <c r="T452" s="46">
        <f>IF(VLOOKUP($C452,REV!$C:$AA,18,0)-'TRADE IN'!$F452=0,"",(VLOOKUP($C452,REV!$C:$AA,18,0)-'TRADE IN'!$F452))</f>
        <v>3599</v>
      </c>
      <c r="U452" s="46">
        <f>IF(VLOOKUP($C452,REV!$C:$AA,19,0)-'TRADE IN'!$F452=0,"",(VLOOKUP($C452,REV!$C:$AA,19,0)-'TRADE IN'!$F452))</f>
        <v>3599</v>
      </c>
      <c r="V452" s="46">
        <f>IF(VLOOKUP($C452,REV!$C:$AA,20,0)-'TRADE IN'!$F452=0,"",(VLOOKUP($C452,REV!$C:$AA,20,0)-'TRADE IN'!$F452))</f>
        <v>3599</v>
      </c>
      <c r="W452" s="46">
        <f>IF(VLOOKUP($C452,REV!$C:$AA,21,0)-'TRADE IN'!$F452=0,"",(VLOOKUP($C452,REV!$C:$AA,21,0)-'TRADE IN'!$F452))</f>
        <v>3599</v>
      </c>
      <c r="X452" s="46">
        <f>IF(VLOOKUP($C452,REV!$C:$AA,22,0)-'TRADE IN'!$F452=0,"",(VLOOKUP($C452,REV!$C:$AA,22,0)-'TRADE IN'!$F452))</f>
        <v>3499</v>
      </c>
      <c r="Y452" s="46">
        <f>IF(VLOOKUP($C452,REV!$C:$AA,23,0)-'TRADE IN'!$F452=0,"",(VLOOKUP($C452,REV!$C:$AA,23,0)-'TRADE IN'!$F452))</f>
        <v>2499</v>
      </c>
      <c r="Z452" s="46">
        <f>IF(VLOOKUP($C452,REV!$C:$AA,24,0)-'TRADE IN'!$F452=0,"",(VLOOKUP($C452,REV!$C:$AA,24,0)-'TRADE IN'!$F452))</f>
        <v>2499</v>
      </c>
      <c r="AA452" s="46">
        <f>IF(VLOOKUP($C452,REV!$C:$AA,25,0)-'TRADE IN'!$F452=0,"",(VLOOKUP($C452,REV!$C:$AA,25,0)-'TRADE IN'!$F452))</f>
        <v>2299</v>
      </c>
      <c r="AB452" s="45">
        <f>IF(VLOOKUP($C452,REV!$C:$AL,27,0)-'TRADE IN'!$F452=0,"",(VLOOKUP($C452,REV!$C:$AL,27,0)-'TRADE IN'!$F452))</f>
        <v>3999</v>
      </c>
      <c r="AC452" s="45">
        <f>IF(VLOOKUP($C452,REV!$C:$AL,28,0)-'TRADE IN'!$F452=0,"",(VLOOKUP($C452,REV!$C:$AL,28,0)-'TRADE IN'!$F452))</f>
        <v>3999</v>
      </c>
      <c r="AD452" s="45">
        <f>IF(VLOOKUP($C452,REV!$C:$AL,29,0)-'TRADE IN'!$F452=0,"",(VLOOKUP($C452,REV!$C:$AL,29,0)-'TRADE IN'!$F452))</f>
        <v>3999</v>
      </c>
      <c r="AE452" s="45">
        <f>IF(VLOOKUP($C452,REV!$C:$AL,30,0)-'TRADE IN'!$F452=0,"",(VLOOKUP($C452,REV!$C:$AL,30,0)-'TRADE IN'!$F452))</f>
        <v>3899</v>
      </c>
      <c r="AF452" s="45">
        <f>IF(VLOOKUP($C452,REV!$C:$AL,31,0)-'TRADE IN'!$F452=0,"",(VLOOKUP($C452,REV!$C:$AL,31,0)-'TRADE IN'!$F452))</f>
        <v>3849</v>
      </c>
      <c r="AG452" s="45">
        <f>IF(VLOOKUP($C452,REV!$C:$AL,31,0)-'TRADE IN'!$F452=0,"",(VLOOKUP($C452,REV!$C:$AL,31,0)-'TRADE IN'!$F452))</f>
        <v>3849</v>
      </c>
      <c r="AH452" s="45">
        <f>IF(VLOOKUP($C452,REV!$C:$AL,32,0)-'TRADE IN'!$F452=0,"",(VLOOKUP($C452,REV!$C:$AL,32,0)-'TRADE IN'!$F452))</f>
        <v>3599</v>
      </c>
      <c r="AI452" s="45">
        <f>IF(VLOOKUP($C452,REV!$C:$AL,33,0)-'TRADE IN'!$F452=0,"",(VLOOKUP($C452,REV!$C:$AL,33,0)-'TRADE IN'!$F452))</f>
        <v>3599</v>
      </c>
      <c r="AJ452" s="45">
        <f>IF(VLOOKUP($C452,REV!$C:$AL,34,0)-'TRADE IN'!$F452=0,"",(VLOOKUP($C452,REV!$C:$AL,34,0)-'TRADE IN'!$F452))</f>
        <v>3599</v>
      </c>
      <c r="AK452" s="45">
        <f>IF(VLOOKUP($C452,REV!$C:$AL,35,0)-'TRADE IN'!$F452=0,"",(VLOOKUP($C452,REV!$C:$AL,35,0)-'TRADE IN'!$F452))</f>
        <v>3599</v>
      </c>
      <c r="AL452" s="45">
        <f>IF(VLOOKUP($C452,REV!$C:$AL,36,0)-'TRADE IN'!$F452=0,"",(VLOOKUP($C452,REV!$C:$AL,36,0)-'TRADE IN'!$F452))</f>
        <v>2499</v>
      </c>
      <c r="AM452" s="45"/>
      <c r="AN452" s="45"/>
      <c r="AO452" s="45"/>
      <c r="AP452" s="45"/>
      <c r="AQ452" s="45"/>
      <c r="AR452" s="45"/>
      <c r="AS452" s="45"/>
      <c r="AT452" s="45"/>
      <c r="AU452" s="45"/>
      <c r="AV452" s="47"/>
      <c r="AW452" s="48" t="str">
        <f>REV!AW452</f>
        <v>01.12.2026</v>
      </c>
      <c r="AX452" s="153" t="str">
        <f>VLOOKUP(C452,REV!C:AX,48,0)</f>
        <v>5G</v>
      </c>
    </row>
    <row r="453" spans="1:50" ht="22.5" customHeight="1">
      <c r="A453" s="41" t="s">
        <v>63</v>
      </c>
      <c r="B453" s="42" t="s">
        <v>64</v>
      </c>
      <c r="C453" s="43">
        <v>4017746</v>
      </c>
      <c r="D453" s="58" t="s">
        <v>656</v>
      </c>
      <c r="E453" s="58" t="s">
        <v>657</v>
      </c>
      <c r="F453" s="45"/>
      <c r="G453" s="45"/>
      <c r="H453" s="45"/>
      <c r="I453" s="45"/>
      <c r="J453" s="46">
        <f>IF(VLOOKUP($C453,REV!$C:$AA,8,0)-'TRADE IN'!$F453=0,"",(VLOOKUP($C453,REV!$C:$AA,8,0)-'TRADE IN'!$F453))</f>
        <v>7099</v>
      </c>
      <c r="K453" s="46">
        <f>IF(VLOOKUP($C453,REV!$C:$AA,9,0)-'TRADE IN'!$F453=0,"",(VLOOKUP($C453,REV!$C:$AA,9,0)-'TRADE IN'!$F453))</f>
        <v>7099</v>
      </c>
      <c r="L453" s="46">
        <f>IF(VLOOKUP($C453,REV!$C:$AA,10,0)-'TRADE IN'!$F453=0,"",(VLOOKUP($C453,REV!$C:$AA,10,0)-'TRADE IN'!$F453))</f>
        <v>7099</v>
      </c>
      <c r="M453" s="46">
        <f>IF(VLOOKUP($C453,REV!$C:$AA,11,0)-'TRADE IN'!$F453=0,"",(VLOOKUP($C453,REV!$C:$AA,11,0)-'TRADE IN'!$F453))</f>
        <v>7099</v>
      </c>
      <c r="N453" s="46">
        <f>IF(VLOOKUP($C453,REV!$C:$AA,12,0)-'TRADE IN'!$F453=0,"",(VLOOKUP($C453,REV!$C:$AA,12,0)-'TRADE IN'!$F453))</f>
        <v>7099</v>
      </c>
      <c r="O453" s="46">
        <f>IF(VLOOKUP($C453,REV!$C:$AA,13,0)-'TRADE IN'!$F453=0,"",(VLOOKUP($C453,REV!$C:$AA,13,0)-'TRADE IN'!$F453))</f>
        <v>6999</v>
      </c>
      <c r="P453" s="46">
        <f>IF(VLOOKUP($C453,REV!$C:$AA,14,0)-'TRADE IN'!$F453=0,"",(VLOOKUP($C453,REV!$C:$AA,14,0)-'TRADE IN'!$F453))</f>
        <v>6899</v>
      </c>
      <c r="Q453" s="46">
        <f>IF(VLOOKUP($C453,REV!$C:$AA,15,0)-'TRADE IN'!$F453=0,"",(VLOOKUP($C453,REV!$C:$AA,15,0)-'TRADE IN'!$F453))</f>
        <v>6499</v>
      </c>
      <c r="R453" s="46">
        <f>IF(VLOOKUP($C453,REV!$C:$AA,16,0)-'TRADE IN'!$F453=0,"",(VLOOKUP($C453,REV!$C:$AA,16,0)-'TRADE IN'!$F453))</f>
        <v>6999</v>
      </c>
      <c r="S453" s="46">
        <f>IF(VLOOKUP($C453,REV!$C:$AA,17,0)-'TRADE IN'!$F453=0,"",(VLOOKUP($C453,REV!$C:$AA,17,0)-'TRADE IN'!$F453))</f>
        <v>6899</v>
      </c>
      <c r="T453" s="46">
        <f>IF(VLOOKUP($C453,REV!$C:$AA,18,0)-'TRADE IN'!$F453=0,"",(VLOOKUP($C453,REV!$C:$AA,18,0)-'TRADE IN'!$F453))</f>
        <v>6499</v>
      </c>
      <c r="U453" s="46">
        <f>IF(VLOOKUP($C453,REV!$C:$AA,19,0)-'TRADE IN'!$F453=0,"",(VLOOKUP($C453,REV!$C:$AA,19,0)-'TRADE IN'!$F453))</f>
        <v>6499</v>
      </c>
      <c r="V453" s="46">
        <f>IF(VLOOKUP($C453,REV!$C:$AA,20,0)-'TRADE IN'!$F453=0,"",(VLOOKUP($C453,REV!$C:$AA,20,0)-'TRADE IN'!$F453))</f>
        <v>6499</v>
      </c>
      <c r="W453" s="46">
        <f>IF(VLOOKUP($C453,REV!$C:$AA,21,0)-'TRADE IN'!$F453=0,"",(VLOOKUP($C453,REV!$C:$AA,21,0)-'TRADE IN'!$F453))</f>
        <v>6499</v>
      </c>
      <c r="X453" s="46">
        <f>IF(VLOOKUP($C453,REV!$C:$AA,22,0)-'TRADE IN'!$F453=0,"",(VLOOKUP($C453,REV!$C:$AA,22,0)-'TRADE IN'!$F453))</f>
        <v>6399</v>
      </c>
      <c r="Y453" s="46">
        <f>IF(VLOOKUP($C453,REV!$C:$AA,23,0)-'TRADE IN'!$F453=0,"",(VLOOKUP($C453,REV!$C:$AA,23,0)-'TRADE IN'!$F453))</f>
        <v>4799</v>
      </c>
      <c r="Z453" s="46">
        <f>IF(VLOOKUP($C453,REV!$C:$AA,24,0)-'TRADE IN'!$F453=0,"",(VLOOKUP($C453,REV!$C:$AA,24,0)-'TRADE IN'!$F453))</f>
        <v>4799</v>
      </c>
      <c r="AA453" s="46">
        <f>IF(VLOOKUP($C453,REV!$C:$AA,25,0)-'TRADE IN'!$F453=0,"",(VLOOKUP($C453,REV!$C:$AA,25,0)-'TRADE IN'!$F453))</f>
        <v>4699</v>
      </c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7"/>
      <c r="AW453" s="48" t="str">
        <f>REV!AW453</f>
        <v>01.12.2026</v>
      </c>
      <c r="AX453" s="153" t="str">
        <f>VLOOKUP(C453,REV!C:AX,48,0)</f>
        <v>5G</v>
      </c>
    </row>
    <row r="454" spans="1:50" ht="22.5" customHeight="1">
      <c r="A454" s="41" t="s">
        <v>63</v>
      </c>
      <c r="B454" s="42" t="s">
        <v>64</v>
      </c>
      <c r="C454" s="43">
        <v>4017748</v>
      </c>
      <c r="D454" s="58" t="s">
        <v>656</v>
      </c>
      <c r="E454" s="58" t="s">
        <v>658</v>
      </c>
      <c r="F454" s="45"/>
      <c r="G454" s="45"/>
      <c r="H454" s="45"/>
      <c r="I454" s="45"/>
      <c r="J454" s="46">
        <f>IF(VLOOKUP($C454,REV!$C:$AA,8,0)-'TRADE IN'!$F454=0,"",(VLOOKUP($C454,REV!$C:$AA,8,0)-'TRADE IN'!$F454))</f>
        <v>7099</v>
      </c>
      <c r="K454" s="46">
        <f>IF(VLOOKUP($C454,REV!$C:$AA,9,0)-'TRADE IN'!$F454=0,"",(VLOOKUP($C454,REV!$C:$AA,9,0)-'TRADE IN'!$F454))</f>
        <v>7099</v>
      </c>
      <c r="L454" s="46">
        <f>IF(VLOOKUP($C454,REV!$C:$AA,10,0)-'TRADE IN'!$F454=0,"",(VLOOKUP($C454,REV!$C:$AA,10,0)-'TRADE IN'!$F454))</f>
        <v>7099</v>
      </c>
      <c r="M454" s="46">
        <f>IF(VLOOKUP($C454,REV!$C:$AA,11,0)-'TRADE IN'!$F454=0,"",(VLOOKUP($C454,REV!$C:$AA,11,0)-'TRADE IN'!$F454))</f>
        <v>7099</v>
      </c>
      <c r="N454" s="46">
        <f>IF(VLOOKUP($C454,REV!$C:$AA,12,0)-'TRADE IN'!$F454=0,"",(VLOOKUP($C454,REV!$C:$AA,12,0)-'TRADE IN'!$F454))</f>
        <v>7099</v>
      </c>
      <c r="O454" s="46">
        <f>IF(VLOOKUP($C454,REV!$C:$AA,13,0)-'TRADE IN'!$F454=0,"",(VLOOKUP($C454,REV!$C:$AA,13,0)-'TRADE IN'!$F454))</f>
        <v>6999</v>
      </c>
      <c r="P454" s="46">
        <f>IF(VLOOKUP($C454,REV!$C:$AA,14,0)-'TRADE IN'!$F454=0,"",(VLOOKUP($C454,REV!$C:$AA,14,0)-'TRADE IN'!$F454))</f>
        <v>6899</v>
      </c>
      <c r="Q454" s="46">
        <f>IF(VLOOKUP($C454,REV!$C:$AA,15,0)-'TRADE IN'!$F454=0,"",(VLOOKUP($C454,REV!$C:$AA,15,0)-'TRADE IN'!$F454))</f>
        <v>6499</v>
      </c>
      <c r="R454" s="46">
        <f>IF(VLOOKUP($C454,REV!$C:$AA,16,0)-'TRADE IN'!$F454=0,"",(VLOOKUP($C454,REV!$C:$AA,16,0)-'TRADE IN'!$F454))</f>
        <v>6999</v>
      </c>
      <c r="S454" s="46">
        <f>IF(VLOOKUP($C454,REV!$C:$AA,17,0)-'TRADE IN'!$F454=0,"",(VLOOKUP($C454,REV!$C:$AA,17,0)-'TRADE IN'!$F454))</f>
        <v>6899</v>
      </c>
      <c r="T454" s="46">
        <f>IF(VLOOKUP($C454,REV!$C:$AA,18,0)-'TRADE IN'!$F454=0,"",(VLOOKUP($C454,REV!$C:$AA,18,0)-'TRADE IN'!$F454))</f>
        <v>6499</v>
      </c>
      <c r="U454" s="46">
        <f>IF(VLOOKUP($C454,REV!$C:$AA,19,0)-'TRADE IN'!$F454=0,"",(VLOOKUP($C454,REV!$C:$AA,19,0)-'TRADE IN'!$F454))</f>
        <v>6499</v>
      </c>
      <c r="V454" s="46">
        <f>IF(VLOOKUP($C454,REV!$C:$AA,20,0)-'TRADE IN'!$F454=0,"",(VLOOKUP($C454,REV!$C:$AA,20,0)-'TRADE IN'!$F454))</f>
        <v>6499</v>
      </c>
      <c r="W454" s="46">
        <f>IF(VLOOKUP($C454,REV!$C:$AA,21,0)-'TRADE IN'!$F454=0,"",(VLOOKUP($C454,REV!$C:$AA,21,0)-'TRADE IN'!$F454))</f>
        <v>6499</v>
      </c>
      <c r="X454" s="46">
        <f>IF(VLOOKUP($C454,REV!$C:$AA,22,0)-'TRADE IN'!$F454=0,"",(VLOOKUP($C454,REV!$C:$AA,22,0)-'TRADE IN'!$F454))</f>
        <v>6399</v>
      </c>
      <c r="Y454" s="46">
        <f>IF(VLOOKUP($C454,REV!$C:$AA,23,0)-'TRADE IN'!$F454=0,"",(VLOOKUP($C454,REV!$C:$AA,23,0)-'TRADE IN'!$F454))</f>
        <v>4799</v>
      </c>
      <c r="Z454" s="46">
        <f>IF(VLOOKUP($C454,REV!$C:$AA,24,0)-'TRADE IN'!$F454=0,"",(VLOOKUP($C454,REV!$C:$AA,24,0)-'TRADE IN'!$F454))</f>
        <v>4799</v>
      </c>
      <c r="AA454" s="46">
        <f>IF(VLOOKUP($C454,REV!$C:$AA,25,0)-'TRADE IN'!$F454=0,"",(VLOOKUP($C454,REV!$C:$AA,25,0)-'TRADE IN'!$F454))</f>
        <v>4699</v>
      </c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7"/>
      <c r="AW454" s="48" t="str">
        <f>REV!AW454</f>
        <v>01.12.2026</v>
      </c>
      <c r="AX454" s="153" t="str">
        <f>VLOOKUP(C454,REV!C:AX,48,0)</f>
        <v>5G</v>
      </c>
    </row>
    <row r="455" spans="1:50" ht="22.5" customHeight="1">
      <c r="A455" s="41" t="s">
        <v>63</v>
      </c>
      <c r="B455" s="42" t="s">
        <v>64</v>
      </c>
      <c r="C455" s="43">
        <v>4017752</v>
      </c>
      <c r="D455" s="58" t="s">
        <v>656</v>
      </c>
      <c r="E455" s="58" t="s">
        <v>659</v>
      </c>
      <c r="F455" s="45"/>
      <c r="G455" s="45"/>
      <c r="H455" s="45"/>
      <c r="I455" s="45"/>
      <c r="J455" s="46">
        <f>IF(VLOOKUP($C455,REV!$C:$AA,8,0)-'TRADE IN'!$F455=0,"",(VLOOKUP($C455,REV!$C:$AA,8,0)-'TRADE IN'!$F455))</f>
        <v>7099</v>
      </c>
      <c r="K455" s="46">
        <f>IF(VLOOKUP($C455,REV!$C:$AA,9,0)-'TRADE IN'!$F455=0,"",(VLOOKUP($C455,REV!$C:$AA,9,0)-'TRADE IN'!$F455))</f>
        <v>7099</v>
      </c>
      <c r="L455" s="46">
        <f>IF(VLOOKUP($C455,REV!$C:$AA,10,0)-'TRADE IN'!$F455=0,"",(VLOOKUP($C455,REV!$C:$AA,10,0)-'TRADE IN'!$F455))</f>
        <v>7099</v>
      </c>
      <c r="M455" s="46">
        <f>IF(VLOOKUP($C455,REV!$C:$AA,11,0)-'TRADE IN'!$F455=0,"",(VLOOKUP($C455,REV!$C:$AA,11,0)-'TRADE IN'!$F455))</f>
        <v>7099</v>
      </c>
      <c r="N455" s="46">
        <f>IF(VLOOKUP($C455,REV!$C:$AA,12,0)-'TRADE IN'!$F455=0,"",(VLOOKUP($C455,REV!$C:$AA,12,0)-'TRADE IN'!$F455))</f>
        <v>7099</v>
      </c>
      <c r="O455" s="46">
        <f>IF(VLOOKUP($C455,REV!$C:$AA,13,0)-'TRADE IN'!$F455=0,"",(VLOOKUP($C455,REV!$C:$AA,13,0)-'TRADE IN'!$F455))</f>
        <v>6999</v>
      </c>
      <c r="P455" s="46">
        <f>IF(VLOOKUP($C455,REV!$C:$AA,14,0)-'TRADE IN'!$F455=0,"",(VLOOKUP($C455,REV!$C:$AA,14,0)-'TRADE IN'!$F455))</f>
        <v>6899</v>
      </c>
      <c r="Q455" s="46">
        <f>IF(VLOOKUP($C455,REV!$C:$AA,15,0)-'TRADE IN'!$F455=0,"",(VLOOKUP($C455,REV!$C:$AA,15,0)-'TRADE IN'!$F455))</f>
        <v>6499</v>
      </c>
      <c r="R455" s="46">
        <f>IF(VLOOKUP($C455,REV!$C:$AA,16,0)-'TRADE IN'!$F455=0,"",(VLOOKUP($C455,REV!$C:$AA,16,0)-'TRADE IN'!$F455))</f>
        <v>6999</v>
      </c>
      <c r="S455" s="46">
        <f>IF(VLOOKUP($C455,REV!$C:$AA,17,0)-'TRADE IN'!$F455=0,"",(VLOOKUP($C455,REV!$C:$AA,17,0)-'TRADE IN'!$F455))</f>
        <v>6899</v>
      </c>
      <c r="T455" s="46">
        <f>IF(VLOOKUP($C455,REV!$C:$AA,18,0)-'TRADE IN'!$F455=0,"",(VLOOKUP($C455,REV!$C:$AA,18,0)-'TRADE IN'!$F455))</f>
        <v>6499</v>
      </c>
      <c r="U455" s="46">
        <f>IF(VLOOKUP($C455,REV!$C:$AA,19,0)-'TRADE IN'!$F455=0,"",(VLOOKUP($C455,REV!$C:$AA,19,0)-'TRADE IN'!$F455))</f>
        <v>6499</v>
      </c>
      <c r="V455" s="46">
        <f>IF(VLOOKUP($C455,REV!$C:$AA,20,0)-'TRADE IN'!$F455=0,"",(VLOOKUP($C455,REV!$C:$AA,20,0)-'TRADE IN'!$F455))</f>
        <v>6499</v>
      </c>
      <c r="W455" s="46">
        <f>IF(VLOOKUP($C455,REV!$C:$AA,21,0)-'TRADE IN'!$F455=0,"",(VLOOKUP($C455,REV!$C:$AA,21,0)-'TRADE IN'!$F455))</f>
        <v>6499</v>
      </c>
      <c r="X455" s="46">
        <f>IF(VLOOKUP($C455,REV!$C:$AA,22,0)-'TRADE IN'!$F455=0,"",(VLOOKUP($C455,REV!$C:$AA,22,0)-'TRADE IN'!$F455))</f>
        <v>6399</v>
      </c>
      <c r="Y455" s="46">
        <f>IF(VLOOKUP($C455,REV!$C:$AA,23,0)-'TRADE IN'!$F455=0,"",(VLOOKUP($C455,REV!$C:$AA,23,0)-'TRADE IN'!$F455))</f>
        <v>4799</v>
      </c>
      <c r="Z455" s="46">
        <f>IF(VLOOKUP($C455,REV!$C:$AA,24,0)-'TRADE IN'!$F455=0,"",(VLOOKUP($C455,REV!$C:$AA,24,0)-'TRADE IN'!$F455))</f>
        <v>4799</v>
      </c>
      <c r="AA455" s="46">
        <f>IF(VLOOKUP($C455,REV!$C:$AA,25,0)-'TRADE IN'!$F455=0,"",(VLOOKUP($C455,REV!$C:$AA,25,0)-'TRADE IN'!$F455))</f>
        <v>4699</v>
      </c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7"/>
      <c r="AW455" s="48" t="str">
        <f>REV!AW455</f>
        <v>01.12.2026</v>
      </c>
      <c r="AX455" s="153" t="str">
        <f>VLOOKUP(C455,REV!C:AX,48,0)</f>
        <v>5G</v>
      </c>
    </row>
    <row r="456" spans="1:50" ht="22.5" customHeight="1">
      <c r="A456" s="41" t="s">
        <v>63</v>
      </c>
      <c r="B456" s="42" t="s">
        <v>64</v>
      </c>
      <c r="C456" s="43">
        <v>4017754</v>
      </c>
      <c r="D456" s="58" t="s">
        <v>656</v>
      </c>
      <c r="E456" s="58" t="s">
        <v>660</v>
      </c>
      <c r="F456" s="45"/>
      <c r="G456" s="45"/>
      <c r="H456" s="45"/>
      <c r="I456" s="45"/>
      <c r="J456" s="46">
        <f>IF(VLOOKUP($C456,REV!$C:$AA,8,0)-'TRADE IN'!$F456=0,"",(VLOOKUP($C456,REV!$C:$AA,8,0)-'TRADE IN'!$F456))</f>
        <v>7099</v>
      </c>
      <c r="K456" s="46">
        <f>IF(VLOOKUP($C456,REV!$C:$AA,9,0)-'TRADE IN'!$F456=0,"",(VLOOKUP($C456,REV!$C:$AA,9,0)-'TRADE IN'!$F456))</f>
        <v>7099</v>
      </c>
      <c r="L456" s="46">
        <f>IF(VLOOKUP($C456,REV!$C:$AA,10,0)-'TRADE IN'!$F456=0,"",(VLOOKUP($C456,REV!$C:$AA,10,0)-'TRADE IN'!$F456))</f>
        <v>7099</v>
      </c>
      <c r="M456" s="46">
        <f>IF(VLOOKUP($C456,REV!$C:$AA,11,0)-'TRADE IN'!$F456=0,"",(VLOOKUP($C456,REV!$C:$AA,11,0)-'TRADE IN'!$F456))</f>
        <v>7099</v>
      </c>
      <c r="N456" s="46">
        <f>IF(VLOOKUP($C456,REV!$C:$AA,12,0)-'TRADE IN'!$F456=0,"",(VLOOKUP($C456,REV!$C:$AA,12,0)-'TRADE IN'!$F456))</f>
        <v>7099</v>
      </c>
      <c r="O456" s="46">
        <f>IF(VLOOKUP($C456,REV!$C:$AA,13,0)-'TRADE IN'!$F456=0,"",(VLOOKUP($C456,REV!$C:$AA,13,0)-'TRADE IN'!$F456))</f>
        <v>6999</v>
      </c>
      <c r="P456" s="46">
        <f>IF(VLOOKUP($C456,REV!$C:$AA,14,0)-'TRADE IN'!$F456=0,"",(VLOOKUP($C456,REV!$C:$AA,14,0)-'TRADE IN'!$F456))</f>
        <v>6899</v>
      </c>
      <c r="Q456" s="46">
        <f>IF(VLOOKUP($C456,REV!$C:$AA,15,0)-'TRADE IN'!$F456=0,"",(VLOOKUP($C456,REV!$C:$AA,15,0)-'TRADE IN'!$F456))</f>
        <v>6499</v>
      </c>
      <c r="R456" s="46">
        <f>IF(VLOOKUP($C456,REV!$C:$AA,16,0)-'TRADE IN'!$F456=0,"",(VLOOKUP($C456,REV!$C:$AA,16,0)-'TRADE IN'!$F456))</f>
        <v>6999</v>
      </c>
      <c r="S456" s="46">
        <f>IF(VLOOKUP($C456,REV!$C:$AA,17,0)-'TRADE IN'!$F456=0,"",(VLOOKUP($C456,REV!$C:$AA,17,0)-'TRADE IN'!$F456))</f>
        <v>6899</v>
      </c>
      <c r="T456" s="46">
        <f>IF(VLOOKUP($C456,REV!$C:$AA,18,0)-'TRADE IN'!$F456=0,"",(VLOOKUP($C456,REV!$C:$AA,18,0)-'TRADE IN'!$F456))</f>
        <v>6499</v>
      </c>
      <c r="U456" s="46">
        <f>IF(VLOOKUP($C456,REV!$C:$AA,19,0)-'TRADE IN'!$F456=0,"",(VLOOKUP($C456,REV!$C:$AA,19,0)-'TRADE IN'!$F456))</f>
        <v>6499</v>
      </c>
      <c r="V456" s="46">
        <f>IF(VLOOKUP($C456,REV!$C:$AA,20,0)-'TRADE IN'!$F456=0,"",(VLOOKUP($C456,REV!$C:$AA,20,0)-'TRADE IN'!$F456))</f>
        <v>6499</v>
      </c>
      <c r="W456" s="46">
        <f>IF(VLOOKUP($C456,REV!$C:$AA,21,0)-'TRADE IN'!$F456=0,"",(VLOOKUP($C456,REV!$C:$AA,21,0)-'TRADE IN'!$F456))</f>
        <v>6499</v>
      </c>
      <c r="X456" s="46">
        <f>IF(VLOOKUP($C456,REV!$C:$AA,22,0)-'TRADE IN'!$F456=0,"",(VLOOKUP($C456,REV!$C:$AA,22,0)-'TRADE IN'!$F456))</f>
        <v>6399</v>
      </c>
      <c r="Y456" s="46">
        <f>IF(VLOOKUP($C456,REV!$C:$AA,23,0)-'TRADE IN'!$F456=0,"",(VLOOKUP($C456,REV!$C:$AA,23,0)-'TRADE IN'!$F456))</f>
        <v>4799</v>
      </c>
      <c r="Z456" s="46">
        <f>IF(VLOOKUP($C456,REV!$C:$AA,24,0)-'TRADE IN'!$F456=0,"",(VLOOKUP($C456,REV!$C:$AA,24,0)-'TRADE IN'!$F456))</f>
        <v>4799</v>
      </c>
      <c r="AA456" s="46">
        <f>IF(VLOOKUP($C456,REV!$C:$AA,25,0)-'TRADE IN'!$F456=0,"",(VLOOKUP($C456,REV!$C:$AA,25,0)-'TRADE IN'!$F456))</f>
        <v>4699</v>
      </c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7"/>
      <c r="AW456" s="48" t="str">
        <f>REV!AW456</f>
        <v>01.12.2026</v>
      </c>
      <c r="AX456" s="153" t="str">
        <f>VLOOKUP(C456,REV!C:AX,48,0)</f>
        <v>5G</v>
      </c>
    </row>
    <row r="457" spans="1:50" ht="22.5" customHeight="1">
      <c r="A457" s="41" t="s">
        <v>63</v>
      </c>
      <c r="B457" s="42" t="s">
        <v>64</v>
      </c>
      <c r="C457" s="43">
        <v>4017675</v>
      </c>
      <c r="D457" s="58" t="s">
        <v>656</v>
      </c>
      <c r="E457" s="58" t="s">
        <v>661</v>
      </c>
      <c r="F457" s="45"/>
      <c r="G457" s="45"/>
      <c r="H457" s="45"/>
      <c r="I457" s="45"/>
      <c r="J457" s="46">
        <f>IF(VLOOKUP($C457,REV!$C:$AA,8,0)-'TRADE IN'!$F457=0,"",(VLOOKUP($C457,REV!$C:$AA,8,0)-'TRADE IN'!$F457))</f>
        <v>7099</v>
      </c>
      <c r="K457" s="46">
        <f>IF(VLOOKUP($C457,REV!$C:$AA,9,0)-'TRADE IN'!$F457=0,"",(VLOOKUP($C457,REV!$C:$AA,9,0)-'TRADE IN'!$F457))</f>
        <v>7099</v>
      </c>
      <c r="L457" s="46">
        <f>IF(VLOOKUP($C457,REV!$C:$AA,10,0)-'TRADE IN'!$F457=0,"",(VLOOKUP($C457,REV!$C:$AA,10,0)-'TRADE IN'!$F457))</f>
        <v>7099</v>
      </c>
      <c r="M457" s="46">
        <f>IF(VLOOKUP($C457,REV!$C:$AA,11,0)-'TRADE IN'!$F457=0,"",(VLOOKUP($C457,REV!$C:$AA,11,0)-'TRADE IN'!$F457))</f>
        <v>7099</v>
      </c>
      <c r="N457" s="46">
        <f>IF(VLOOKUP($C457,REV!$C:$AA,12,0)-'TRADE IN'!$F457=0,"",(VLOOKUP($C457,REV!$C:$AA,12,0)-'TRADE IN'!$F457))</f>
        <v>7099</v>
      </c>
      <c r="O457" s="46">
        <f>IF(VLOOKUP($C457,REV!$C:$AA,13,0)-'TRADE IN'!$F457=0,"",(VLOOKUP($C457,REV!$C:$AA,13,0)-'TRADE IN'!$F457))</f>
        <v>6999</v>
      </c>
      <c r="P457" s="46">
        <f>IF(VLOOKUP($C457,REV!$C:$AA,14,0)-'TRADE IN'!$F457=0,"",(VLOOKUP($C457,REV!$C:$AA,14,0)-'TRADE IN'!$F457))</f>
        <v>6899</v>
      </c>
      <c r="Q457" s="46">
        <f>IF(VLOOKUP($C457,REV!$C:$AA,15,0)-'TRADE IN'!$F457=0,"",(VLOOKUP($C457,REV!$C:$AA,15,0)-'TRADE IN'!$F457))</f>
        <v>6499</v>
      </c>
      <c r="R457" s="46">
        <f>IF(VLOOKUP($C457,REV!$C:$AA,16,0)-'TRADE IN'!$F457=0,"",(VLOOKUP($C457,REV!$C:$AA,16,0)-'TRADE IN'!$F457))</f>
        <v>6999</v>
      </c>
      <c r="S457" s="46">
        <f>IF(VLOOKUP($C457,REV!$C:$AA,17,0)-'TRADE IN'!$F457=0,"",(VLOOKUP($C457,REV!$C:$AA,17,0)-'TRADE IN'!$F457))</f>
        <v>6899</v>
      </c>
      <c r="T457" s="46">
        <f>IF(VLOOKUP($C457,REV!$C:$AA,18,0)-'TRADE IN'!$F457=0,"",(VLOOKUP($C457,REV!$C:$AA,18,0)-'TRADE IN'!$F457))</f>
        <v>6499</v>
      </c>
      <c r="U457" s="46">
        <f>IF(VLOOKUP($C457,REV!$C:$AA,19,0)-'TRADE IN'!$F457=0,"",(VLOOKUP($C457,REV!$C:$AA,19,0)-'TRADE IN'!$F457))</f>
        <v>6499</v>
      </c>
      <c r="V457" s="46">
        <f>IF(VLOOKUP($C457,REV!$C:$AA,20,0)-'TRADE IN'!$F457=0,"",(VLOOKUP($C457,REV!$C:$AA,20,0)-'TRADE IN'!$F457))</f>
        <v>6499</v>
      </c>
      <c r="W457" s="46">
        <f>IF(VLOOKUP($C457,REV!$C:$AA,21,0)-'TRADE IN'!$F457=0,"",(VLOOKUP($C457,REV!$C:$AA,21,0)-'TRADE IN'!$F457))</f>
        <v>6499</v>
      </c>
      <c r="X457" s="46">
        <f>IF(VLOOKUP($C457,REV!$C:$AA,22,0)-'TRADE IN'!$F457=0,"",(VLOOKUP($C457,REV!$C:$AA,22,0)-'TRADE IN'!$F457))</f>
        <v>6399</v>
      </c>
      <c r="Y457" s="46">
        <f>IF(VLOOKUP($C457,REV!$C:$AA,23,0)-'TRADE IN'!$F457=0,"",(VLOOKUP($C457,REV!$C:$AA,23,0)-'TRADE IN'!$F457))</f>
        <v>4799</v>
      </c>
      <c r="Z457" s="46">
        <f>IF(VLOOKUP($C457,REV!$C:$AA,24,0)-'TRADE IN'!$F457=0,"",(VLOOKUP($C457,REV!$C:$AA,24,0)-'TRADE IN'!$F457))</f>
        <v>4799</v>
      </c>
      <c r="AA457" s="46">
        <f>IF(VLOOKUP($C457,REV!$C:$AA,25,0)-'TRADE IN'!$F457=0,"",(VLOOKUP($C457,REV!$C:$AA,25,0)-'TRADE IN'!$F457))</f>
        <v>4699</v>
      </c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7"/>
      <c r="AW457" s="48" t="str">
        <f>REV!AW457</f>
        <v>01.12.2026</v>
      </c>
      <c r="AX457" s="153" t="str">
        <f>VLOOKUP(C457,REV!C:AX,48,0)</f>
        <v>5G</v>
      </c>
    </row>
    <row r="458" spans="1:50" ht="22.5" customHeight="1">
      <c r="A458" s="41" t="s">
        <v>63</v>
      </c>
      <c r="B458" s="42" t="s">
        <v>64</v>
      </c>
      <c r="C458" s="43">
        <v>4017676</v>
      </c>
      <c r="D458" s="58" t="s">
        <v>656</v>
      </c>
      <c r="E458" s="58" t="s">
        <v>662</v>
      </c>
      <c r="F458" s="45"/>
      <c r="G458" s="45"/>
      <c r="H458" s="45"/>
      <c r="I458" s="45"/>
      <c r="J458" s="46">
        <f>IF(VLOOKUP($C458,REV!$C:$AA,8,0)-'TRADE IN'!$F458=0,"",(VLOOKUP($C458,REV!$C:$AA,8,0)-'TRADE IN'!$F458))</f>
        <v>7099</v>
      </c>
      <c r="K458" s="46">
        <f>IF(VLOOKUP($C458,REV!$C:$AA,9,0)-'TRADE IN'!$F458=0,"",(VLOOKUP($C458,REV!$C:$AA,9,0)-'TRADE IN'!$F458))</f>
        <v>7099</v>
      </c>
      <c r="L458" s="46">
        <f>IF(VLOOKUP($C458,REV!$C:$AA,10,0)-'TRADE IN'!$F458=0,"",(VLOOKUP($C458,REV!$C:$AA,10,0)-'TRADE IN'!$F458))</f>
        <v>7099</v>
      </c>
      <c r="M458" s="46">
        <f>IF(VLOOKUP($C458,REV!$C:$AA,11,0)-'TRADE IN'!$F458=0,"",(VLOOKUP($C458,REV!$C:$AA,11,0)-'TRADE IN'!$F458))</f>
        <v>7099</v>
      </c>
      <c r="N458" s="46">
        <f>IF(VLOOKUP($C458,REV!$C:$AA,12,0)-'TRADE IN'!$F458=0,"",(VLOOKUP($C458,REV!$C:$AA,12,0)-'TRADE IN'!$F458))</f>
        <v>7099</v>
      </c>
      <c r="O458" s="46">
        <f>IF(VLOOKUP($C458,REV!$C:$AA,13,0)-'TRADE IN'!$F458=0,"",(VLOOKUP($C458,REV!$C:$AA,13,0)-'TRADE IN'!$F458))</f>
        <v>6999</v>
      </c>
      <c r="P458" s="46">
        <f>IF(VLOOKUP($C458,REV!$C:$AA,14,0)-'TRADE IN'!$F458=0,"",(VLOOKUP($C458,REV!$C:$AA,14,0)-'TRADE IN'!$F458))</f>
        <v>6899</v>
      </c>
      <c r="Q458" s="46">
        <f>IF(VLOOKUP($C458,REV!$C:$AA,15,0)-'TRADE IN'!$F458=0,"",(VLOOKUP($C458,REV!$C:$AA,15,0)-'TRADE IN'!$F458))</f>
        <v>6499</v>
      </c>
      <c r="R458" s="46">
        <f>IF(VLOOKUP($C458,REV!$C:$AA,16,0)-'TRADE IN'!$F458=0,"",(VLOOKUP($C458,REV!$C:$AA,16,0)-'TRADE IN'!$F458))</f>
        <v>6999</v>
      </c>
      <c r="S458" s="46">
        <f>IF(VLOOKUP($C458,REV!$C:$AA,17,0)-'TRADE IN'!$F458=0,"",(VLOOKUP($C458,REV!$C:$AA,17,0)-'TRADE IN'!$F458))</f>
        <v>6899</v>
      </c>
      <c r="T458" s="46">
        <f>IF(VLOOKUP($C458,REV!$C:$AA,18,0)-'TRADE IN'!$F458=0,"",(VLOOKUP($C458,REV!$C:$AA,18,0)-'TRADE IN'!$F458))</f>
        <v>6499</v>
      </c>
      <c r="U458" s="46">
        <f>IF(VLOOKUP($C458,REV!$C:$AA,19,0)-'TRADE IN'!$F458=0,"",(VLOOKUP($C458,REV!$C:$AA,19,0)-'TRADE IN'!$F458))</f>
        <v>6499</v>
      </c>
      <c r="V458" s="46">
        <f>IF(VLOOKUP($C458,REV!$C:$AA,20,0)-'TRADE IN'!$F458=0,"",(VLOOKUP($C458,REV!$C:$AA,20,0)-'TRADE IN'!$F458))</f>
        <v>6499</v>
      </c>
      <c r="W458" s="46">
        <f>IF(VLOOKUP($C458,REV!$C:$AA,21,0)-'TRADE IN'!$F458=0,"",(VLOOKUP($C458,REV!$C:$AA,21,0)-'TRADE IN'!$F458))</f>
        <v>6499</v>
      </c>
      <c r="X458" s="46">
        <f>IF(VLOOKUP($C458,REV!$C:$AA,22,0)-'TRADE IN'!$F458=0,"",(VLOOKUP($C458,REV!$C:$AA,22,0)-'TRADE IN'!$F458))</f>
        <v>6399</v>
      </c>
      <c r="Y458" s="46">
        <f>IF(VLOOKUP($C458,REV!$C:$AA,23,0)-'TRADE IN'!$F458=0,"",(VLOOKUP($C458,REV!$C:$AA,23,0)-'TRADE IN'!$F458))</f>
        <v>4799</v>
      </c>
      <c r="Z458" s="46">
        <f>IF(VLOOKUP($C458,REV!$C:$AA,24,0)-'TRADE IN'!$F458=0,"",(VLOOKUP($C458,REV!$C:$AA,24,0)-'TRADE IN'!$F458))</f>
        <v>4799</v>
      </c>
      <c r="AA458" s="46">
        <f>IF(VLOOKUP($C458,REV!$C:$AA,25,0)-'TRADE IN'!$F458=0,"",(VLOOKUP($C458,REV!$C:$AA,25,0)-'TRADE IN'!$F458))</f>
        <v>4699</v>
      </c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7"/>
      <c r="AW458" s="48" t="str">
        <f>REV!AW458</f>
        <v>01.12.2026</v>
      </c>
      <c r="AX458" s="153" t="str">
        <f>VLOOKUP(C458,REV!C:AX,48,0)</f>
        <v>5G</v>
      </c>
    </row>
    <row r="459" spans="1:50" ht="22.5" customHeight="1">
      <c r="A459" s="41" t="s">
        <v>63</v>
      </c>
      <c r="B459" s="42" t="s">
        <v>64</v>
      </c>
      <c r="C459" s="43">
        <v>4017762</v>
      </c>
      <c r="D459" s="58" t="s">
        <v>663</v>
      </c>
      <c r="E459" s="58" t="s">
        <v>664</v>
      </c>
      <c r="F459" s="45">
        <v>500</v>
      </c>
      <c r="G459" s="45"/>
      <c r="H459" s="45"/>
      <c r="I459" s="45"/>
      <c r="J459" s="46">
        <f>IF(VLOOKUP($C459,REV!$C:$AA,8,0)-'TRADE IN'!$F459=0,"",(VLOOKUP($C459,REV!$C:$AA,8,0)-'TRADE IN'!$F459))</f>
        <v>5699</v>
      </c>
      <c r="K459" s="46">
        <f>IF(VLOOKUP($C459,REV!$C:$AA,9,0)-'TRADE IN'!$F459=0,"",(VLOOKUP($C459,REV!$C:$AA,9,0)-'TRADE IN'!$F459))</f>
        <v>5699</v>
      </c>
      <c r="L459" s="46">
        <f>IF(VLOOKUP($C459,REV!$C:$AA,10,0)-'TRADE IN'!$F459=0,"",(VLOOKUP($C459,REV!$C:$AA,10,0)-'TRADE IN'!$F459))</f>
        <v>5699</v>
      </c>
      <c r="M459" s="46">
        <f>IF(VLOOKUP($C459,REV!$C:$AA,11,0)-'TRADE IN'!$F459=0,"",(VLOOKUP($C459,REV!$C:$AA,11,0)-'TRADE IN'!$F459))</f>
        <v>5699</v>
      </c>
      <c r="N459" s="46">
        <f>IF(VLOOKUP($C459,REV!$C:$AA,12,0)-'TRADE IN'!$F459=0,"",(VLOOKUP($C459,REV!$C:$AA,12,0)-'TRADE IN'!$F459))</f>
        <v>5699</v>
      </c>
      <c r="O459" s="46">
        <f>IF(VLOOKUP($C459,REV!$C:$AA,13,0)-'TRADE IN'!$F459=0,"",(VLOOKUP($C459,REV!$C:$AA,13,0)-'TRADE IN'!$F459))</f>
        <v>5599</v>
      </c>
      <c r="P459" s="46">
        <f>IF(VLOOKUP($C459,REV!$C:$AA,14,0)-'TRADE IN'!$F459=0,"",(VLOOKUP($C459,REV!$C:$AA,14,0)-'TRADE IN'!$F459))</f>
        <v>5499</v>
      </c>
      <c r="Q459" s="46">
        <f>IF(VLOOKUP($C459,REV!$C:$AA,15,0)-'TRADE IN'!$F459=0,"",(VLOOKUP($C459,REV!$C:$AA,15,0)-'TRADE IN'!$F459))</f>
        <v>5099</v>
      </c>
      <c r="R459" s="46">
        <f>IF(VLOOKUP($C459,REV!$C:$AA,16,0)-'TRADE IN'!$F459=0,"",(VLOOKUP($C459,REV!$C:$AA,16,0)-'TRADE IN'!$F459))</f>
        <v>5599</v>
      </c>
      <c r="S459" s="46">
        <f>IF(VLOOKUP($C459,REV!$C:$AA,17,0)-'TRADE IN'!$F459=0,"",(VLOOKUP($C459,REV!$C:$AA,17,0)-'TRADE IN'!$F459))</f>
        <v>5499</v>
      </c>
      <c r="T459" s="46">
        <f>IF(VLOOKUP($C459,REV!$C:$AA,18,0)-'TRADE IN'!$F459=0,"",(VLOOKUP($C459,REV!$C:$AA,18,0)-'TRADE IN'!$F459))</f>
        <v>5099</v>
      </c>
      <c r="U459" s="46">
        <f>IF(VLOOKUP($C459,REV!$C:$AA,19,0)-'TRADE IN'!$F459=0,"",(VLOOKUP($C459,REV!$C:$AA,19,0)-'TRADE IN'!$F459))</f>
        <v>5099</v>
      </c>
      <c r="V459" s="46">
        <f>IF(VLOOKUP($C459,REV!$C:$AA,20,0)-'TRADE IN'!$F459=0,"",(VLOOKUP($C459,REV!$C:$AA,20,0)-'TRADE IN'!$F459))</f>
        <v>5099</v>
      </c>
      <c r="W459" s="46">
        <f>IF(VLOOKUP($C459,REV!$C:$AA,21,0)-'TRADE IN'!$F459=0,"",(VLOOKUP($C459,REV!$C:$AA,21,0)-'TRADE IN'!$F459))</f>
        <v>5099</v>
      </c>
      <c r="X459" s="46">
        <f>IF(VLOOKUP($C459,REV!$C:$AA,22,0)-'TRADE IN'!$F459=0,"",(VLOOKUP($C459,REV!$C:$AA,22,0)-'TRADE IN'!$F459))</f>
        <v>4999</v>
      </c>
      <c r="Y459" s="46">
        <f>IF(VLOOKUP($C459,REV!$C:$AA,23,0)-'TRADE IN'!$F459=0,"",(VLOOKUP($C459,REV!$C:$AA,23,0)-'TRADE IN'!$F459))</f>
        <v>4299</v>
      </c>
      <c r="Z459" s="46">
        <f>IF(VLOOKUP($C459,REV!$C:$AA,24,0)-'TRADE IN'!$F459=0,"",(VLOOKUP($C459,REV!$C:$AA,24,0)-'TRADE IN'!$F459))</f>
        <v>4299</v>
      </c>
      <c r="AA459" s="46">
        <f>IF(VLOOKUP($C459,REV!$C:$AA,25,0)-'TRADE IN'!$F459=0,"",(VLOOKUP($C459,REV!$C:$AA,25,0)-'TRADE IN'!$F459))</f>
        <v>4099</v>
      </c>
      <c r="AB459" s="45">
        <f>IF(VLOOKUP($C459,REV!$C:$AL,27,0)-'TRADE IN'!$F459=0,"",(VLOOKUP($C459,REV!$C:$AL,27,0)-'TRADE IN'!$F459))</f>
        <v>5699</v>
      </c>
      <c r="AC459" s="45">
        <f>IF(VLOOKUP($C459,REV!$C:$AL,28,0)-'TRADE IN'!$F459=0,"",(VLOOKUP($C459,REV!$C:$AL,28,0)-'TRADE IN'!$F459))</f>
        <v>5699</v>
      </c>
      <c r="AD459" s="45">
        <f>IF(VLOOKUP($C459,REV!$C:$AL,29,0)-'TRADE IN'!$F459=0,"",(VLOOKUP($C459,REV!$C:$AL,29,0)-'TRADE IN'!$F459))</f>
        <v>5599</v>
      </c>
      <c r="AE459" s="45">
        <f>IF(VLOOKUP($C459,REV!$C:$AL,30,0)-'TRADE IN'!$F459=0,"",(VLOOKUP($C459,REV!$C:$AL,30,0)-'TRADE IN'!$F459))</f>
        <v>5499</v>
      </c>
      <c r="AF459" s="45">
        <f>IF(VLOOKUP($C459,REV!$C:$AL,31,0)-'TRADE IN'!$F459=0,"",(VLOOKUP($C459,REV!$C:$AL,31,0)-'TRADE IN'!$F459))</f>
        <v>5499</v>
      </c>
      <c r="AG459" s="45">
        <f>IF(VLOOKUP($C459,REV!$C:$AL,31,0)-'TRADE IN'!$F459=0,"",(VLOOKUP($C459,REV!$C:$AL,31,0)-'TRADE IN'!$F459))</f>
        <v>5499</v>
      </c>
      <c r="AH459" s="45">
        <f>IF(VLOOKUP($C459,REV!$C:$AL,32,0)-'TRADE IN'!$F459=0,"",(VLOOKUP($C459,REV!$C:$AL,32,0)-'TRADE IN'!$F459))</f>
        <v>5099</v>
      </c>
      <c r="AI459" s="45">
        <f>IF(VLOOKUP($C459,REV!$C:$AL,33,0)-'TRADE IN'!$F459=0,"",(VLOOKUP($C459,REV!$C:$AL,33,0)-'TRADE IN'!$F459))</f>
        <v>5099</v>
      </c>
      <c r="AJ459" s="45">
        <f>IF(VLOOKUP($C459,REV!$C:$AL,34,0)-'TRADE IN'!$F459=0,"",(VLOOKUP($C459,REV!$C:$AL,34,0)-'TRADE IN'!$F459))</f>
        <v>5099</v>
      </c>
      <c r="AK459" s="45">
        <f>IF(VLOOKUP($C459,REV!$C:$AL,35,0)-'TRADE IN'!$F459=0,"",(VLOOKUP($C459,REV!$C:$AL,35,0)-'TRADE IN'!$F459))</f>
        <v>5099</v>
      </c>
      <c r="AL459" s="45">
        <f>IF(VLOOKUP($C459,REV!$C:$AL,36,0)-'TRADE IN'!$F459=0,"",(VLOOKUP($C459,REV!$C:$AL,36,0)-'TRADE IN'!$F459))</f>
        <v>4299</v>
      </c>
      <c r="AM459" s="45"/>
      <c r="AN459" s="45"/>
      <c r="AO459" s="45"/>
      <c r="AP459" s="45"/>
      <c r="AQ459" s="45"/>
      <c r="AR459" s="45"/>
      <c r="AS459" s="45"/>
      <c r="AT459" s="45"/>
      <c r="AU459" s="45"/>
      <c r="AV459" s="47"/>
      <c r="AW459" s="48" t="str">
        <f>REV!AW459</f>
        <v>01.12.2026</v>
      </c>
      <c r="AX459" s="153" t="str">
        <f>VLOOKUP(C459,REV!C:AX,48,0)</f>
        <v>5G</v>
      </c>
    </row>
    <row r="460" spans="1:50" ht="22.5" customHeight="1">
      <c r="A460" s="41" t="s">
        <v>63</v>
      </c>
      <c r="B460" s="42" t="s">
        <v>64</v>
      </c>
      <c r="C460" s="43">
        <v>4017763</v>
      </c>
      <c r="D460" s="58" t="s">
        <v>663</v>
      </c>
      <c r="E460" s="58" t="s">
        <v>665</v>
      </c>
      <c r="F460" s="45">
        <v>500</v>
      </c>
      <c r="G460" s="45"/>
      <c r="H460" s="45"/>
      <c r="I460" s="45"/>
      <c r="J460" s="46">
        <f>IF(VLOOKUP($C460,REV!$C:$AA,8,0)-'TRADE IN'!$F460=0,"",(VLOOKUP($C460,REV!$C:$AA,8,0)-'TRADE IN'!$F460))</f>
        <v>5699</v>
      </c>
      <c r="K460" s="46">
        <f>IF(VLOOKUP($C460,REV!$C:$AA,9,0)-'TRADE IN'!$F460=0,"",(VLOOKUP($C460,REV!$C:$AA,9,0)-'TRADE IN'!$F460))</f>
        <v>5699</v>
      </c>
      <c r="L460" s="46">
        <f>IF(VLOOKUP($C460,REV!$C:$AA,10,0)-'TRADE IN'!$F460=0,"",(VLOOKUP($C460,REV!$C:$AA,10,0)-'TRADE IN'!$F460))</f>
        <v>5699</v>
      </c>
      <c r="M460" s="46">
        <f>IF(VLOOKUP($C460,REV!$C:$AA,11,0)-'TRADE IN'!$F460=0,"",(VLOOKUP($C460,REV!$C:$AA,11,0)-'TRADE IN'!$F460))</f>
        <v>5699</v>
      </c>
      <c r="N460" s="46">
        <f>IF(VLOOKUP($C460,REV!$C:$AA,12,0)-'TRADE IN'!$F460=0,"",(VLOOKUP($C460,REV!$C:$AA,12,0)-'TRADE IN'!$F460))</f>
        <v>5699</v>
      </c>
      <c r="O460" s="46">
        <f>IF(VLOOKUP($C460,REV!$C:$AA,13,0)-'TRADE IN'!$F460=0,"",(VLOOKUP($C460,REV!$C:$AA,13,0)-'TRADE IN'!$F460))</f>
        <v>5599</v>
      </c>
      <c r="P460" s="46">
        <f>IF(VLOOKUP($C460,REV!$C:$AA,14,0)-'TRADE IN'!$F460=0,"",(VLOOKUP($C460,REV!$C:$AA,14,0)-'TRADE IN'!$F460))</f>
        <v>5499</v>
      </c>
      <c r="Q460" s="46">
        <f>IF(VLOOKUP($C460,REV!$C:$AA,15,0)-'TRADE IN'!$F460=0,"",(VLOOKUP($C460,REV!$C:$AA,15,0)-'TRADE IN'!$F460))</f>
        <v>5099</v>
      </c>
      <c r="R460" s="46">
        <f>IF(VLOOKUP($C460,REV!$C:$AA,16,0)-'TRADE IN'!$F460=0,"",(VLOOKUP($C460,REV!$C:$AA,16,0)-'TRADE IN'!$F460))</f>
        <v>5599</v>
      </c>
      <c r="S460" s="46">
        <f>IF(VLOOKUP($C460,REV!$C:$AA,17,0)-'TRADE IN'!$F460=0,"",(VLOOKUP($C460,REV!$C:$AA,17,0)-'TRADE IN'!$F460))</f>
        <v>5499</v>
      </c>
      <c r="T460" s="46">
        <f>IF(VLOOKUP($C460,REV!$C:$AA,18,0)-'TRADE IN'!$F460=0,"",(VLOOKUP($C460,REV!$C:$AA,18,0)-'TRADE IN'!$F460))</f>
        <v>5099</v>
      </c>
      <c r="U460" s="46">
        <f>IF(VLOOKUP($C460,REV!$C:$AA,19,0)-'TRADE IN'!$F460=0,"",(VLOOKUP($C460,REV!$C:$AA,19,0)-'TRADE IN'!$F460))</f>
        <v>5099</v>
      </c>
      <c r="V460" s="46">
        <f>IF(VLOOKUP($C460,REV!$C:$AA,20,0)-'TRADE IN'!$F460=0,"",(VLOOKUP($C460,REV!$C:$AA,20,0)-'TRADE IN'!$F460))</f>
        <v>5099</v>
      </c>
      <c r="W460" s="46">
        <f>IF(VLOOKUP($C460,REV!$C:$AA,21,0)-'TRADE IN'!$F460=0,"",(VLOOKUP($C460,REV!$C:$AA,21,0)-'TRADE IN'!$F460))</f>
        <v>5099</v>
      </c>
      <c r="X460" s="46">
        <f>IF(VLOOKUP($C460,REV!$C:$AA,22,0)-'TRADE IN'!$F460=0,"",(VLOOKUP($C460,REV!$C:$AA,22,0)-'TRADE IN'!$F460))</f>
        <v>4999</v>
      </c>
      <c r="Y460" s="46">
        <f>IF(VLOOKUP($C460,REV!$C:$AA,23,0)-'TRADE IN'!$F460=0,"",(VLOOKUP($C460,REV!$C:$AA,23,0)-'TRADE IN'!$F460))</f>
        <v>4299</v>
      </c>
      <c r="Z460" s="46">
        <f>IF(VLOOKUP($C460,REV!$C:$AA,24,0)-'TRADE IN'!$F460=0,"",(VLOOKUP($C460,REV!$C:$AA,24,0)-'TRADE IN'!$F460))</f>
        <v>4299</v>
      </c>
      <c r="AA460" s="46">
        <f>IF(VLOOKUP($C460,REV!$C:$AA,25,0)-'TRADE IN'!$F460=0,"",(VLOOKUP($C460,REV!$C:$AA,25,0)-'TRADE IN'!$F460))</f>
        <v>4099</v>
      </c>
      <c r="AB460" s="45">
        <f>IF(VLOOKUP($C460,REV!$C:$AL,27,0)-'TRADE IN'!$F460=0,"",(VLOOKUP($C460,REV!$C:$AL,27,0)-'TRADE IN'!$F460))</f>
        <v>5699</v>
      </c>
      <c r="AC460" s="45">
        <f>IF(VLOOKUP($C460,REV!$C:$AL,28,0)-'TRADE IN'!$F460=0,"",(VLOOKUP($C460,REV!$C:$AL,28,0)-'TRADE IN'!$F460))</f>
        <v>5699</v>
      </c>
      <c r="AD460" s="45">
        <f>IF(VLOOKUP($C460,REV!$C:$AL,29,0)-'TRADE IN'!$F460=0,"",(VLOOKUP($C460,REV!$C:$AL,29,0)-'TRADE IN'!$F460))</f>
        <v>5599</v>
      </c>
      <c r="AE460" s="45">
        <f>IF(VLOOKUP($C460,REV!$C:$AL,30,0)-'TRADE IN'!$F460=0,"",(VLOOKUP($C460,REV!$C:$AL,30,0)-'TRADE IN'!$F460))</f>
        <v>5499</v>
      </c>
      <c r="AF460" s="45">
        <f>IF(VLOOKUP($C460,REV!$C:$AL,31,0)-'TRADE IN'!$F460=0,"",(VLOOKUP($C460,REV!$C:$AL,31,0)-'TRADE IN'!$F460))</f>
        <v>5499</v>
      </c>
      <c r="AG460" s="45">
        <f>IF(VLOOKUP($C460,REV!$C:$AL,31,0)-'TRADE IN'!$F460=0,"",(VLOOKUP($C460,REV!$C:$AL,31,0)-'TRADE IN'!$F460))</f>
        <v>5499</v>
      </c>
      <c r="AH460" s="45">
        <f>IF(VLOOKUP($C460,REV!$C:$AL,32,0)-'TRADE IN'!$F460=0,"",(VLOOKUP($C460,REV!$C:$AL,32,0)-'TRADE IN'!$F460))</f>
        <v>5099</v>
      </c>
      <c r="AI460" s="45">
        <f>IF(VLOOKUP($C460,REV!$C:$AL,33,0)-'TRADE IN'!$F460=0,"",(VLOOKUP($C460,REV!$C:$AL,33,0)-'TRADE IN'!$F460))</f>
        <v>5099</v>
      </c>
      <c r="AJ460" s="45">
        <f>IF(VLOOKUP($C460,REV!$C:$AL,34,0)-'TRADE IN'!$F460=0,"",(VLOOKUP($C460,REV!$C:$AL,34,0)-'TRADE IN'!$F460))</f>
        <v>5099</v>
      </c>
      <c r="AK460" s="45">
        <f>IF(VLOOKUP($C460,REV!$C:$AL,35,0)-'TRADE IN'!$F460=0,"",(VLOOKUP($C460,REV!$C:$AL,35,0)-'TRADE IN'!$F460))</f>
        <v>5099</v>
      </c>
      <c r="AL460" s="45">
        <f>IF(VLOOKUP($C460,REV!$C:$AL,36,0)-'TRADE IN'!$F460=0,"",(VLOOKUP($C460,REV!$C:$AL,36,0)-'TRADE IN'!$F460))</f>
        <v>4299</v>
      </c>
      <c r="AM460" s="45"/>
      <c r="AN460" s="45"/>
      <c r="AO460" s="45"/>
      <c r="AP460" s="45"/>
      <c r="AQ460" s="45"/>
      <c r="AR460" s="45"/>
      <c r="AS460" s="45"/>
      <c r="AT460" s="45"/>
      <c r="AU460" s="45"/>
      <c r="AV460" s="47"/>
      <c r="AW460" s="48" t="str">
        <f>REV!AW460</f>
        <v>01.12.2026</v>
      </c>
      <c r="AX460" s="153" t="str">
        <f>VLOOKUP(C460,REV!C:AX,48,0)</f>
        <v>5G</v>
      </c>
    </row>
    <row r="461" spans="1:50" ht="22.5" customHeight="1">
      <c r="A461" s="41" t="s">
        <v>63</v>
      </c>
      <c r="B461" s="42" t="s">
        <v>64</v>
      </c>
      <c r="C461" s="43">
        <v>4017766</v>
      </c>
      <c r="D461" s="58" t="s">
        <v>663</v>
      </c>
      <c r="E461" s="58" t="s">
        <v>666</v>
      </c>
      <c r="F461" s="45">
        <v>500</v>
      </c>
      <c r="G461" s="45"/>
      <c r="H461" s="45"/>
      <c r="I461" s="45"/>
      <c r="J461" s="46">
        <f>IF(VLOOKUP($C461,REV!$C:$AA,8,0)-'TRADE IN'!$F461=0,"",(VLOOKUP($C461,REV!$C:$AA,8,0)-'TRADE IN'!$F461))</f>
        <v>5699</v>
      </c>
      <c r="K461" s="46">
        <f>IF(VLOOKUP($C461,REV!$C:$AA,9,0)-'TRADE IN'!$F461=0,"",(VLOOKUP($C461,REV!$C:$AA,9,0)-'TRADE IN'!$F461))</f>
        <v>5699</v>
      </c>
      <c r="L461" s="46">
        <f>IF(VLOOKUP($C461,REV!$C:$AA,10,0)-'TRADE IN'!$F461=0,"",(VLOOKUP($C461,REV!$C:$AA,10,0)-'TRADE IN'!$F461))</f>
        <v>5699</v>
      </c>
      <c r="M461" s="46">
        <f>IF(VLOOKUP($C461,REV!$C:$AA,11,0)-'TRADE IN'!$F461=0,"",(VLOOKUP($C461,REV!$C:$AA,11,0)-'TRADE IN'!$F461))</f>
        <v>5699</v>
      </c>
      <c r="N461" s="46">
        <f>IF(VLOOKUP($C461,REV!$C:$AA,12,0)-'TRADE IN'!$F461=0,"",(VLOOKUP($C461,REV!$C:$AA,12,0)-'TRADE IN'!$F461))</f>
        <v>5699</v>
      </c>
      <c r="O461" s="46">
        <f>IF(VLOOKUP($C461,REV!$C:$AA,13,0)-'TRADE IN'!$F461=0,"",(VLOOKUP($C461,REV!$C:$AA,13,0)-'TRADE IN'!$F461))</f>
        <v>5599</v>
      </c>
      <c r="P461" s="46">
        <f>IF(VLOOKUP($C461,REV!$C:$AA,14,0)-'TRADE IN'!$F461=0,"",(VLOOKUP($C461,REV!$C:$AA,14,0)-'TRADE IN'!$F461))</f>
        <v>5499</v>
      </c>
      <c r="Q461" s="46">
        <f>IF(VLOOKUP($C461,REV!$C:$AA,15,0)-'TRADE IN'!$F461=0,"",(VLOOKUP($C461,REV!$C:$AA,15,0)-'TRADE IN'!$F461))</f>
        <v>5099</v>
      </c>
      <c r="R461" s="46">
        <f>IF(VLOOKUP($C461,REV!$C:$AA,16,0)-'TRADE IN'!$F461=0,"",(VLOOKUP($C461,REV!$C:$AA,16,0)-'TRADE IN'!$F461))</f>
        <v>5599</v>
      </c>
      <c r="S461" s="46">
        <f>IF(VLOOKUP($C461,REV!$C:$AA,17,0)-'TRADE IN'!$F461=0,"",(VLOOKUP($C461,REV!$C:$AA,17,0)-'TRADE IN'!$F461))</f>
        <v>5499</v>
      </c>
      <c r="T461" s="46">
        <f>IF(VLOOKUP($C461,REV!$C:$AA,18,0)-'TRADE IN'!$F461=0,"",(VLOOKUP($C461,REV!$C:$AA,18,0)-'TRADE IN'!$F461))</f>
        <v>5099</v>
      </c>
      <c r="U461" s="46">
        <f>IF(VLOOKUP($C461,REV!$C:$AA,19,0)-'TRADE IN'!$F461=0,"",(VLOOKUP($C461,REV!$C:$AA,19,0)-'TRADE IN'!$F461))</f>
        <v>5099</v>
      </c>
      <c r="V461" s="46">
        <f>IF(VLOOKUP($C461,REV!$C:$AA,20,0)-'TRADE IN'!$F461=0,"",(VLOOKUP($C461,REV!$C:$AA,20,0)-'TRADE IN'!$F461))</f>
        <v>5099</v>
      </c>
      <c r="W461" s="46">
        <f>IF(VLOOKUP($C461,REV!$C:$AA,21,0)-'TRADE IN'!$F461=0,"",(VLOOKUP($C461,REV!$C:$AA,21,0)-'TRADE IN'!$F461))</f>
        <v>5099</v>
      </c>
      <c r="X461" s="46">
        <f>IF(VLOOKUP($C461,REV!$C:$AA,22,0)-'TRADE IN'!$F461=0,"",(VLOOKUP($C461,REV!$C:$AA,22,0)-'TRADE IN'!$F461))</f>
        <v>4999</v>
      </c>
      <c r="Y461" s="46">
        <f>IF(VLOOKUP($C461,REV!$C:$AA,23,0)-'TRADE IN'!$F461=0,"",(VLOOKUP($C461,REV!$C:$AA,23,0)-'TRADE IN'!$F461))</f>
        <v>4299</v>
      </c>
      <c r="Z461" s="46">
        <f>IF(VLOOKUP($C461,REV!$C:$AA,24,0)-'TRADE IN'!$F461=0,"",(VLOOKUP($C461,REV!$C:$AA,24,0)-'TRADE IN'!$F461))</f>
        <v>4299</v>
      </c>
      <c r="AA461" s="46">
        <f>IF(VLOOKUP($C461,REV!$C:$AA,25,0)-'TRADE IN'!$F461=0,"",(VLOOKUP($C461,REV!$C:$AA,25,0)-'TRADE IN'!$F461))</f>
        <v>4099</v>
      </c>
      <c r="AB461" s="45">
        <f>IF(VLOOKUP($C461,REV!$C:$AL,27,0)-'TRADE IN'!$F461=0,"",(VLOOKUP($C461,REV!$C:$AL,27,0)-'TRADE IN'!$F461))</f>
        <v>5699</v>
      </c>
      <c r="AC461" s="45">
        <f>IF(VLOOKUP($C461,REV!$C:$AL,28,0)-'TRADE IN'!$F461=0,"",(VLOOKUP($C461,REV!$C:$AL,28,0)-'TRADE IN'!$F461))</f>
        <v>5699</v>
      </c>
      <c r="AD461" s="45">
        <f>IF(VLOOKUP($C461,REV!$C:$AL,29,0)-'TRADE IN'!$F461=0,"",(VLOOKUP($C461,REV!$C:$AL,29,0)-'TRADE IN'!$F461))</f>
        <v>5599</v>
      </c>
      <c r="AE461" s="45">
        <f>IF(VLOOKUP($C461,REV!$C:$AL,30,0)-'TRADE IN'!$F461=0,"",(VLOOKUP($C461,REV!$C:$AL,30,0)-'TRADE IN'!$F461))</f>
        <v>5499</v>
      </c>
      <c r="AF461" s="45">
        <f>IF(VLOOKUP($C461,REV!$C:$AL,31,0)-'TRADE IN'!$F461=0,"",(VLOOKUP($C461,REV!$C:$AL,31,0)-'TRADE IN'!$F461))</f>
        <v>5499</v>
      </c>
      <c r="AG461" s="45">
        <f>IF(VLOOKUP($C461,REV!$C:$AL,31,0)-'TRADE IN'!$F461=0,"",(VLOOKUP($C461,REV!$C:$AL,31,0)-'TRADE IN'!$F461))</f>
        <v>5499</v>
      </c>
      <c r="AH461" s="45">
        <f>IF(VLOOKUP($C461,REV!$C:$AL,32,0)-'TRADE IN'!$F461=0,"",(VLOOKUP($C461,REV!$C:$AL,32,0)-'TRADE IN'!$F461))</f>
        <v>5099</v>
      </c>
      <c r="AI461" s="45">
        <f>IF(VLOOKUP($C461,REV!$C:$AL,33,0)-'TRADE IN'!$F461=0,"",(VLOOKUP($C461,REV!$C:$AL,33,0)-'TRADE IN'!$F461))</f>
        <v>5099</v>
      </c>
      <c r="AJ461" s="45">
        <f>IF(VLOOKUP($C461,REV!$C:$AL,34,0)-'TRADE IN'!$F461=0,"",(VLOOKUP($C461,REV!$C:$AL,34,0)-'TRADE IN'!$F461))</f>
        <v>5099</v>
      </c>
      <c r="AK461" s="45">
        <f>IF(VLOOKUP($C461,REV!$C:$AL,35,0)-'TRADE IN'!$F461=0,"",(VLOOKUP($C461,REV!$C:$AL,35,0)-'TRADE IN'!$F461))</f>
        <v>5099</v>
      </c>
      <c r="AL461" s="45">
        <f>IF(VLOOKUP($C461,REV!$C:$AL,36,0)-'TRADE IN'!$F461=0,"",(VLOOKUP($C461,REV!$C:$AL,36,0)-'TRADE IN'!$F461))</f>
        <v>4299</v>
      </c>
      <c r="AM461" s="45"/>
      <c r="AN461" s="45"/>
      <c r="AO461" s="45"/>
      <c r="AP461" s="45"/>
      <c r="AQ461" s="45"/>
      <c r="AR461" s="45"/>
      <c r="AS461" s="45"/>
      <c r="AT461" s="45"/>
      <c r="AU461" s="45"/>
      <c r="AV461" s="47"/>
      <c r="AW461" s="48" t="str">
        <f>REV!AW461</f>
        <v>01.12.2026</v>
      </c>
      <c r="AX461" s="153" t="str">
        <f>VLOOKUP(C461,REV!C:AX,48,0)</f>
        <v>5G</v>
      </c>
    </row>
    <row r="462" spans="1:50" ht="22.5" customHeight="1">
      <c r="A462" s="41" t="s">
        <v>63</v>
      </c>
      <c r="B462" s="42" t="s">
        <v>64</v>
      </c>
      <c r="C462" s="43">
        <v>4017769</v>
      </c>
      <c r="D462" s="58" t="s">
        <v>663</v>
      </c>
      <c r="E462" s="58" t="s">
        <v>667</v>
      </c>
      <c r="F462" s="45">
        <v>500</v>
      </c>
      <c r="G462" s="45"/>
      <c r="H462" s="45"/>
      <c r="I462" s="45"/>
      <c r="J462" s="46">
        <f>IF(VLOOKUP($C462,REV!$C:$AA,8,0)-'TRADE IN'!$F462=0,"",(VLOOKUP($C462,REV!$C:$AA,8,0)-'TRADE IN'!$F462))</f>
        <v>5699</v>
      </c>
      <c r="K462" s="46">
        <f>IF(VLOOKUP($C462,REV!$C:$AA,9,0)-'TRADE IN'!$F462=0,"",(VLOOKUP($C462,REV!$C:$AA,9,0)-'TRADE IN'!$F462))</f>
        <v>5699</v>
      </c>
      <c r="L462" s="46">
        <f>IF(VLOOKUP($C462,REV!$C:$AA,10,0)-'TRADE IN'!$F462=0,"",(VLOOKUP($C462,REV!$C:$AA,10,0)-'TRADE IN'!$F462))</f>
        <v>5699</v>
      </c>
      <c r="M462" s="46">
        <f>IF(VLOOKUP($C462,REV!$C:$AA,11,0)-'TRADE IN'!$F462=0,"",(VLOOKUP($C462,REV!$C:$AA,11,0)-'TRADE IN'!$F462))</f>
        <v>5699</v>
      </c>
      <c r="N462" s="46">
        <f>IF(VLOOKUP($C462,REV!$C:$AA,12,0)-'TRADE IN'!$F462=0,"",(VLOOKUP($C462,REV!$C:$AA,12,0)-'TRADE IN'!$F462))</f>
        <v>5699</v>
      </c>
      <c r="O462" s="46">
        <f>IF(VLOOKUP($C462,REV!$C:$AA,13,0)-'TRADE IN'!$F462=0,"",(VLOOKUP($C462,REV!$C:$AA,13,0)-'TRADE IN'!$F462))</f>
        <v>5599</v>
      </c>
      <c r="P462" s="46">
        <f>IF(VLOOKUP($C462,REV!$C:$AA,14,0)-'TRADE IN'!$F462=0,"",(VLOOKUP($C462,REV!$C:$AA,14,0)-'TRADE IN'!$F462))</f>
        <v>5499</v>
      </c>
      <c r="Q462" s="46">
        <f>IF(VLOOKUP($C462,REV!$C:$AA,15,0)-'TRADE IN'!$F462=0,"",(VLOOKUP($C462,REV!$C:$AA,15,0)-'TRADE IN'!$F462))</f>
        <v>5099</v>
      </c>
      <c r="R462" s="46">
        <f>IF(VLOOKUP($C462,REV!$C:$AA,16,0)-'TRADE IN'!$F462=0,"",(VLOOKUP($C462,REV!$C:$AA,16,0)-'TRADE IN'!$F462))</f>
        <v>5599</v>
      </c>
      <c r="S462" s="46">
        <f>IF(VLOOKUP($C462,REV!$C:$AA,17,0)-'TRADE IN'!$F462=0,"",(VLOOKUP($C462,REV!$C:$AA,17,0)-'TRADE IN'!$F462))</f>
        <v>5499</v>
      </c>
      <c r="T462" s="46">
        <f>IF(VLOOKUP($C462,REV!$C:$AA,18,0)-'TRADE IN'!$F462=0,"",(VLOOKUP($C462,REV!$C:$AA,18,0)-'TRADE IN'!$F462))</f>
        <v>5099</v>
      </c>
      <c r="U462" s="46">
        <f>IF(VLOOKUP($C462,REV!$C:$AA,19,0)-'TRADE IN'!$F462=0,"",(VLOOKUP($C462,REV!$C:$AA,19,0)-'TRADE IN'!$F462))</f>
        <v>5099</v>
      </c>
      <c r="V462" s="46">
        <f>IF(VLOOKUP($C462,REV!$C:$AA,20,0)-'TRADE IN'!$F462=0,"",(VLOOKUP($C462,REV!$C:$AA,20,0)-'TRADE IN'!$F462))</f>
        <v>5099</v>
      </c>
      <c r="W462" s="46">
        <f>IF(VLOOKUP($C462,REV!$C:$AA,21,0)-'TRADE IN'!$F462=0,"",(VLOOKUP($C462,REV!$C:$AA,21,0)-'TRADE IN'!$F462))</f>
        <v>5099</v>
      </c>
      <c r="X462" s="46">
        <f>IF(VLOOKUP($C462,REV!$C:$AA,22,0)-'TRADE IN'!$F462=0,"",(VLOOKUP($C462,REV!$C:$AA,22,0)-'TRADE IN'!$F462))</f>
        <v>4999</v>
      </c>
      <c r="Y462" s="46">
        <f>IF(VLOOKUP($C462,REV!$C:$AA,23,0)-'TRADE IN'!$F462=0,"",(VLOOKUP($C462,REV!$C:$AA,23,0)-'TRADE IN'!$F462))</f>
        <v>4299</v>
      </c>
      <c r="Z462" s="46">
        <f>IF(VLOOKUP($C462,REV!$C:$AA,24,0)-'TRADE IN'!$F462=0,"",(VLOOKUP($C462,REV!$C:$AA,24,0)-'TRADE IN'!$F462))</f>
        <v>4299</v>
      </c>
      <c r="AA462" s="46">
        <f>IF(VLOOKUP($C462,REV!$C:$AA,25,0)-'TRADE IN'!$F462=0,"",(VLOOKUP($C462,REV!$C:$AA,25,0)-'TRADE IN'!$F462))</f>
        <v>4099</v>
      </c>
      <c r="AB462" s="45">
        <f>IF(VLOOKUP($C462,REV!$C:$AL,27,0)-'TRADE IN'!$F462=0,"",(VLOOKUP($C462,REV!$C:$AL,27,0)-'TRADE IN'!$F462))</f>
        <v>5699</v>
      </c>
      <c r="AC462" s="45">
        <f>IF(VLOOKUP($C462,REV!$C:$AL,28,0)-'TRADE IN'!$F462=0,"",(VLOOKUP($C462,REV!$C:$AL,28,0)-'TRADE IN'!$F462))</f>
        <v>5699</v>
      </c>
      <c r="AD462" s="45">
        <f>IF(VLOOKUP($C462,REV!$C:$AL,29,0)-'TRADE IN'!$F462=0,"",(VLOOKUP($C462,REV!$C:$AL,29,0)-'TRADE IN'!$F462))</f>
        <v>5599</v>
      </c>
      <c r="AE462" s="45">
        <f>IF(VLOOKUP($C462,REV!$C:$AL,30,0)-'TRADE IN'!$F462=0,"",(VLOOKUP($C462,REV!$C:$AL,30,0)-'TRADE IN'!$F462))</f>
        <v>5499</v>
      </c>
      <c r="AF462" s="45">
        <f>IF(VLOOKUP($C462,REV!$C:$AL,31,0)-'TRADE IN'!$F462=0,"",(VLOOKUP($C462,REV!$C:$AL,31,0)-'TRADE IN'!$F462))</f>
        <v>5499</v>
      </c>
      <c r="AG462" s="45">
        <f>IF(VLOOKUP($C462,REV!$C:$AL,31,0)-'TRADE IN'!$F462=0,"",(VLOOKUP($C462,REV!$C:$AL,31,0)-'TRADE IN'!$F462))</f>
        <v>5499</v>
      </c>
      <c r="AH462" s="45">
        <f>IF(VLOOKUP($C462,REV!$C:$AL,32,0)-'TRADE IN'!$F462=0,"",(VLOOKUP($C462,REV!$C:$AL,32,0)-'TRADE IN'!$F462))</f>
        <v>5099</v>
      </c>
      <c r="AI462" s="45">
        <f>IF(VLOOKUP($C462,REV!$C:$AL,33,0)-'TRADE IN'!$F462=0,"",(VLOOKUP($C462,REV!$C:$AL,33,0)-'TRADE IN'!$F462))</f>
        <v>5099</v>
      </c>
      <c r="AJ462" s="45">
        <f>IF(VLOOKUP($C462,REV!$C:$AL,34,0)-'TRADE IN'!$F462=0,"",(VLOOKUP($C462,REV!$C:$AL,34,0)-'TRADE IN'!$F462))</f>
        <v>5099</v>
      </c>
      <c r="AK462" s="45">
        <f>IF(VLOOKUP($C462,REV!$C:$AL,35,0)-'TRADE IN'!$F462=0,"",(VLOOKUP($C462,REV!$C:$AL,35,0)-'TRADE IN'!$F462))</f>
        <v>5099</v>
      </c>
      <c r="AL462" s="45">
        <f>IF(VLOOKUP($C462,REV!$C:$AL,36,0)-'TRADE IN'!$F462=0,"",(VLOOKUP($C462,REV!$C:$AL,36,0)-'TRADE IN'!$F462))</f>
        <v>4299</v>
      </c>
      <c r="AM462" s="45"/>
      <c r="AN462" s="45"/>
      <c r="AO462" s="45"/>
      <c r="AP462" s="45"/>
      <c r="AQ462" s="45"/>
      <c r="AR462" s="45"/>
      <c r="AS462" s="45"/>
      <c r="AT462" s="45"/>
      <c r="AU462" s="45"/>
      <c r="AV462" s="47"/>
      <c r="AW462" s="48" t="str">
        <f>REV!AW462</f>
        <v>01.12.2026</v>
      </c>
      <c r="AX462" s="153" t="str">
        <f>VLOOKUP(C462,REV!C:AX,48,0)</f>
        <v>5G</v>
      </c>
    </row>
    <row r="463" spans="1:50" ht="22.5" customHeight="1">
      <c r="A463" s="41" t="s">
        <v>63</v>
      </c>
      <c r="B463" s="42" t="s">
        <v>64</v>
      </c>
      <c r="C463" s="43">
        <v>4017764</v>
      </c>
      <c r="D463" s="58" t="s">
        <v>668</v>
      </c>
      <c r="E463" s="58" t="s">
        <v>669</v>
      </c>
      <c r="F463" s="45">
        <v>500</v>
      </c>
      <c r="G463" s="45"/>
      <c r="H463" s="45"/>
      <c r="I463" s="45"/>
      <c r="J463" s="46">
        <f>IF(VLOOKUP($C463,REV!$C:$AA,8,0)-'TRADE IN'!$F463=0,"",(VLOOKUP($C463,REV!$C:$AA,8,0)-'TRADE IN'!$F463))</f>
        <v>6499</v>
      </c>
      <c r="K463" s="46">
        <f>IF(VLOOKUP($C463,REV!$C:$AA,9,0)-'TRADE IN'!$F463=0,"",(VLOOKUP($C463,REV!$C:$AA,9,0)-'TRADE IN'!$F463))</f>
        <v>6499</v>
      </c>
      <c r="L463" s="46">
        <f>IF(VLOOKUP($C463,REV!$C:$AA,10,0)-'TRADE IN'!$F463=0,"",(VLOOKUP($C463,REV!$C:$AA,10,0)-'TRADE IN'!$F463))</f>
        <v>6499</v>
      </c>
      <c r="M463" s="46">
        <f>IF(VLOOKUP($C463,REV!$C:$AA,11,0)-'TRADE IN'!$F463=0,"",(VLOOKUP($C463,REV!$C:$AA,11,0)-'TRADE IN'!$F463))</f>
        <v>6499</v>
      </c>
      <c r="N463" s="46">
        <f>IF(VLOOKUP($C463,REV!$C:$AA,12,0)-'TRADE IN'!$F463=0,"",(VLOOKUP($C463,REV!$C:$AA,12,0)-'TRADE IN'!$F463))</f>
        <v>6499</v>
      </c>
      <c r="O463" s="46">
        <f>IF(VLOOKUP($C463,REV!$C:$AA,13,0)-'TRADE IN'!$F463=0,"",(VLOOKUP($C463,REV!$C:$AA,13,0)-'TRADE IN'!$F463))</f>
        <v>6399</v>
      </c>
      <c r="P463" s="46">
        <f>IF(VLOOKUP($C463,REV!$C:$AA,14,0)-'TRADE IN'!$F463=0,"",(VLOOKUP($C463,REV!$C:$AA,14,0)-'TRADE IN'!$F463))</f>
        <v>6299</v>
      </c>
      <c r="Q463" s="46">
        <f>IF(VLOOKUP($C463,REV!$C:$AA,15,0)-'TRADE IN'!$F463=0,"",(VLOOKUP($C463,REV!$C:$AA,15,0)-'TRADE IN'!$F463))</f>
        <v>5999</v>
      </c>
      <c r="R463" s="46">
        <f>IF(VLOOKUP($C463,REV!$C:$AA,16,0)-'TRADE IN'!$F463=0,"",(VLOOKUP($C463,REV!$C:$AA,16,0)-'TRADE IN'!$F463))</f>
        <v>6399</v>
      </c>
      <c r="S463" s="46">
        <f>IF(VLOOKUP($C463,REV!$C:$AA,17,0)-'TRADE IN'!$F463=0,"",(VLOOKUP($C463,REV!$C:$AA,17,0)-'TRADE IN'!$F463))</f>
        <v>6299</v>
      </c>
      <c r="T463" s="46">
        <f>IF(VLOOKUP($C463,REV!$C:$AA,18,0)-'TRADE IN'!$F463=0,"",(VLOOKUP($C463,REV!$C:$AA,18,0)-'TRADE IN'!$F463))</f>
        <v>5999</v>
      </c>
      <c r="U463" s="46">
        <f>IF(VLOOKUP($C463,REV!$C:$AA,19,0)-'TRADE IN'!$F463=0,"",(VLOOKUP($C463,REV!$C:$AA,19,0)-'TRADE IN'!$F463))</f>
        <v>5999</v>
      </c>
      <c r="V463" s="46">
        <f>IF(VLOOKUP($C463,REV!$C:$AA,20,0)-'TRADE IN'!$F463=0,"",(VLOOKUP($C463,REV!$C:$AA,20,0)-'TRADE IN'!$F463))</f>
        <v>5999</v>
      </c>
      <c r="W463" s="46">
        <f>IF(VLOOKUP($C463,REV!$C:$AA,21,0)-'TRADE IN'!$F463=0,"",(VLOOKUP($C463,REV!$C:$AA,21,0)-'TRADE IN'!$F463))</f>
        <v>5999</v>
      </c>
      <c r="X463" s="46">
        <f>IF(VLOOKUP($C463,REV!$C:$AA,22,0)-'TRADE IN'!$F463=0,"",(VLOOKUP($C463,REV!$C:$AA,22,0)-'TRADE IN'!$F463))</f>
        <v>5899</v>
      </c>
      <c r="Y463" s="46">
        <f>IF(VLOOKUP($C463,REV!$C:$AA,23,0)-'TRADE IN'!$F463=0,"",(VLOOKUP($C463,REV!$C:$AA,23,0)-'TRADE IN'!$F463))</f>
        <v>4999</v>
      </c>
      <c r="Z463" s="46">
        <f>IF(VLOOKUP($C463,REV!$C:$AA,24,0)-'TRADE IN'!$F463=0,"",(VLOOKUP($C463,REV!$C:$AA,24,0)-'TRADE IN'!$F463))</f>
        <v>4999</v>
      </c>
      <c r="AA463" s="46">
        <f>IF(VLOOKUP($C463,REV!$C:$AA,25,0)-'TRADE IN'!$F463=0,"",(VLOOKUP($C463,REV!$C:$AA,25,0)-'TRADE IN'!$F463))</f>
        <v>4799</v>
      </c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7"/>
      <c r="AW463" s="48" t="str">
        <f>REV!AW463</f>
        <v>01.12.2026</v>
      </c>
      <c r="AX463" s="153" t="str">
        <f>VLOOKUP(C463,REV!C:AX,48,0)</f>
        <v>5G</v>
      </c>
    </row>
    <row r="464" spans="1:50" ht="22.5" customHeight="1">
      <c r="A464" s="41" t="s">
        <v>63</v>
      </c>
      <c r="B464" s="42" t="s">
        <v>64</v>
      </c>
      <c r="C464" s="43">
        <v>4017765</v>
      </c>
      <c r="D464" s="58" t="s">
        <v>668</v>
      </c>
      <c r="E464" s="58" t="s">
        <v>670</v>
      </c>
      <c r="F464" s="45">
        <v>500</v>
      </c>
      <c r="G464" s="45"/>
      <c r="H464" s="45"/>
      <c r="I464" s="45"/>
      <c r="J464" s="46">
        <f>IF(VLOOKUP($C464,REV!$C:$AA,8,0)-'TRADE IN'!$F464=0,"",(VLOOKUP($C464,REV!$C:$AA,8,0)-'TRADE IN'!$F464))</f>
        <v>6499</v>
      </c>
      <c r="K464" s="46">
        <f>IF(VLOOKUP($C464,REV!$C:$AA,9,0)-'TRADE IN'!$F464=0,"",(VLOOKUP($C464,REV!$C:$AA,9,0)-'TRADE IN'!$F464))</f>
        <v>6499</v>
      </c>
      <c r="L464" s="46">
        <f>IF(VLOOKUP($C464,REV!$C:$AA,10,0)-'TRADE IN'!$F464=0,"",(VLOOKUP($C464,REV!$C:$AA,10,0)-'TRADE IN'!$F464))</f>
        <v>6499</v>
      </c>
      <c r="M464" s="46">
        <f>IF(VLOOKUP($C464,REV!$C:$AA,11,0)-'TRADE IN'!$F464=0,"",(VLOOKUP($C464,REV!$C:$AA,11,0)-'TRADE IN'!$F464))</f>
        <v>6499</v>
      </c>
      <c r="N464" s="46">
        <f>IF(VLOOKUP($C464,REV!$C:$AA,12,0)-'TRADE IN'!$F464=0,"",(VLOOKUP($C464,REV!$C:$AA,12,0)-'TRADE IN'!$F464))</f>
        <v>6499</v>
      </c>
      <c r="O464" s="46">
        <f>IF(VLOOKUP($C464,REV!$C:$AA,13,0)-'TRADE IN'!$F464=0,"",(VLOOKUP($C464,REV!$C:$AA,13,0)-'TRADE IN'!$F464))</f>
        <v>6399</v>
      </c>
      <c r="P464" s="46">
        <f>IF(VLOOKUP($C464,REV!$C:$AA,14,0)-'TRADE IN'!$F464=0,"",(VLOOKUP($C464,REV!$C:$AA,14,0)-'TRADE IN'!$F464))</f>
        <v>6299</v>
      </c>
      <c r="Q464" s="46">
        <f>IF(VLOOKUP($C464,REV!$C:$AA,15,0)-'TRADE IN'!$F464=0,"",(VLOOKUP($C464,REV!$C:$AA,15,0)-'TRADE IN'!$F464))</f>
        <v>5999</v>
      </c>
      <c r="R464" s="46">
        <f>IF(VLOOKUP($C464,REV!$C:$AA,16,0)-'TRADE IN'!$F464=0,"",(VLOOKUP($C464,REV!$C:$AA,16,0)-'TRADE IN'!$F464))</f>
        <v>6399</v>
      </c>
      <c r="S464" s="46">
        <f>IF(VLOOKUP($C464,REV!$C:$AA,17,0)-'TRADE IN'!$F464=0,"",(VLOOKUP($C464,REV!$C:$AA,17,0)-'TRADE IN'!$F464))</f>
        <v>6299</v>
      </c>
      <c r="T464" s="46">
        <f>IF(VLOOKUP($C464,REV!$C:$AA,18,0)-'TRADE IN'!$F464=0,"",(VLOOKUP($C464,REV!$C:$AA,18,0)-'TRADE IN'!$F464))</f>
        <v>5999</v>
      </c>
      <c r="U464" s="46">
        <f>IF(VLOOKUP($C464,REV!$C:$AA,19,0)-'TRADE IN'!$F464=0,"",(VLOOKUP($C464,REV!$C:$AA,19,0)-'TRADE IN'!$F464))</f>
        <v>5999</v>
      </c>
      <c r="V464" s="46">
        <f>IF(VLOOKUP($C464,REV!$C:$AA,20,0)-'TRADE IN'!$F464=0,"",(VLOOKUP($C464,REV!$C:$AA,20,0)-'TRADE IN'!$F464))</f>
        <v>5999</v>
      </c>
      <c r="W464" s="46">
        <f>IF(VLOOKUP($C464,REV!$C:$AA,21,0)-'TRADE IN'!$F464=0,"",(VLOOKUP($C464,REV!$C:$AA,21,0)-'TRADE IN'!$F464))</f>
        <v>5999</v>
      </c>
      <c r="X464" s="46">
        <f>IF(VLOOKUP($C464,REV!$C:$AA,22,0)-'TRADE IN'!$F464=0,"",(VLOOKUP($C464,REV!$C:$AA,22,0)-'TRADE IN'!$F464))</f>
        <v>5899</v>
      </c>
      <c r="Y464" s="46">
        <f>IF(VLOOKUP($C464,REV!$C:$AA,23,0)-'TRADE IN'!$F464=0,"",(VLOOKUP($C464,REV!$C:$AA,23,0)-'TRADE IN'!$F464))</f>
        <v>4999</v>
      </c>
      <c r="Z464" s="46">
        <f>IF(VLOOKUP($C464,REV!$C:$AA,24,0)-'TRADE IN'!$F464=0,"",(VLOOKUP($C464,REV!$C:$AA,24,0)-'TRADE IN'!$F464))</f>
        <v>4999</v>
      </c>
      <c r="AA464" s="46">
        <f>IF(VLOOKUP($C464,REV!$C:$AA,25,0)-'TRADE IN'!$F464=0,"",(VLOOKUP($C464,REV!$C:$AA,25,0)-'TRADE IN'!$F464))</f>
        <v>4799</v>
      </c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7"/>
      <c r="AW464" s="48" t="str">
        <f>REV!AW464</f>
        <v>01.12.2026</v>
      </c>
      <c r="AX464" s="153" t="str">
        <f>VLOOKUP(C464,REV!C:AX,48,0)</f>
        <v>5G</v>
      </c>
    </row>
    <row r="465" spans="1:50" ht="22.5" customHeight="1">
      <c r="A465" s="41" t="s">
        <v>63</v>
      </c>
      <c r="B465" s="42" t="s">
        <v>64</v>
      </c>
      <c r="C465" s="43">
        <v>4017767</v>
      </c>
      <c r="D465" s="58" t="s">
        <v>668</v>
      </c>
      <c r="E465" s="58" t="s">
        <v>671</v>
      </c>
      <c r="F465" s="45">
        <v>500</v>
      </c>
      <c r="G465" s="45"/>
      <c r="H465" s="45"/>
      <c r="I465" s="45"/>
      <c r="J465" s="46">
        <f>IF(VLOOKUP($C465,REV!$C:$AA,8,0)-'TRADE IN'!$F465=0,"",(VLOOKUP($C465,REV!$C:$AA,8,0)-'TRADE IN'!$F465))</f>
        <v>6499</v>
      </c>
      <c r="K465" s="46">
        <f>IF(VLOOKUP($C465,REV!$C:$AA,9,0)-'TRADE IN'!$F465=0,"",(VLOOKUP($C465,REV!$C:$AA,9,0)-'TRADE IN'!$F465))</f>
        <v>6499</v>
      </c>
      <c r="L465" s="46">
        <f>IF(VLOOKUP($C465,REV!$C:$AA,10,0)-'TRADE IN'!$F465=0,"",(VLOOKUP($C465,REV!$C:$AA,10,0)-'TRADE IN'!$F465))</f>
        <v>6499</v>
      </c>
      <c r="M465" s="46">
        <f>IF(VLOOKUP($C465,REV!$C:$AA,11,0)-'TRADE IN'!$F465=0,"",(VLOOKUP($C465,REV!$C:$AA,11,0)-'TRADE IN'!$F465))</f>
        <v>6499</v>
      </c>
      <c r="N465" s="46">
        <f>IF(VLOOKUP($C465,REV!$C:$AA,12,0)-'TRADE IN'!$F465=0,"",(VLOOKUP($C465,REV!$C:$AA,12,0)-'TRADE IN'!$F465))</f>
        <v>6499</v>
      </c>
      <c r="O465" s="46">
        <f>IF(VLOOKUP($C465,REV!$C:$AA,13,0)-'TRADE IN'!$F465=0,"",(VLOOKUP($C465,REV!$C:$AA,13,0)-'TRADE IN'!$F465))</f>
        <v>6399</v>
      </c>
      <c r="P465" s="46">
        <f>IF(VLOOKUP($C465,REV!$C:$AA,14,0)-'TRADE IN'!$F465=0,"",(VLOOKUP($C465,REV!$C:$AA,14,0)-'TRADE IN'!$F465))</f>
        <v>6299</v>
      </c>
      <c r="Q465" s="46">
        <f>IF(VLOOKUP($C465,REV!$C:$AA,15,0)-'TRADE IN'!$F465=0,"",(VLOOKUP($C465,REV!$C:$AA,15,0)-'TRADE IN'!$F465))</f>
        <v>5999</v>
      </c>
      <c r="R465" s="46">
        <f>IF(VLOOKUP($C465,REV!$C:$AA,16,0)-'TRADE IN'!$F465=0,"",(VLOOKUP($C465,REV!$C:$AA,16,0)-'TRADE IN'!$F465))</f>
        <v>6399</v>
      </c>
      <c r="S465" s="46">
        <f>IF(VLOOKUP($C465,REV!$C:$AA,17,0)-'TRADE IN'!$F465=0,"",(VLOOKUP($C465,REV!$C:$AA,17,0)-'TRADE IN'!$F465))</f>
        <v>6299</v>
      </c>
      <c r="T465" s="46">
        <f>IF(VLOOKUP($C465,REV!$C:$AA,18,0)-'TRADE IN'!$F465=0,"",(VLOOKUP($C465,REV!$C:$AA,18,0)-'TRADE IN'!$F465))</f>
        <v>5999</v>
      </c>
      <c r="U465" s="46">
        <f>IF(VLOOKUP($C465,REV!$C:$AA,19,0)-'TRADE IN'!$F465=0,"",(VLOOKUP($C465,REV!$C:$AA,19,0)-'TRADE IN'!$F465))</f>
        <v>5999</v>
      </c>
      <c r="V465" s="46">
        <f>IF(VLOOKUP($C465,REV!$C:$AA,20,0)-'TRADE IN'!$F465=0,"",(VLOOKUP($C465,REV!$C:$AA,20,0)-'TRADE IN'!$F465))</f>
        <v>5999</v>
      </c>
      <c r="W465" s="46">
        <f>IF(VLOOKUP($C465,REV!$C:$AA,21,0)-'TRADE IN'!$F465=0,"",(VLOOKUP($C465,REV!$C:$AA,21,0)-'TRADE IN'!$F465))</f>
        <v>5999</v>
      </c>
      <c r="X465" s="46">
        <f>IF(VLOOKUP($C465,REV!$C:$AA,22,0)-'TRADE IN'!$F465=0,"",(VLOOKUP($C465,REV!$C:$AA,22,0)-'TRADE IN'!$F465))</f>
        <v>5899</v>
      </c>
      <c r="Y465" s="46">
        <f>IF(VLOOKUP($C465,REV!$C:$AA,23,0)-'TRADE IN'!$F465=0,"",(VLOOKUP($C465,REV!$C:$AA,23,0)-'TRADE IN'!$F465))</f>
        <v>4999</v>
      </c>
      <c r="Z465" s="46">
        <f>IF(VLOOKUP($C465,REV!$C:$AA,24,0)-'TRADE IN'!$F465=0,"",(VLOOKUP($C465,REV!$C:$AA,24,0)-'TRADE IN'!$F465))</f>
        <v>4999</v>
      </c>
      <c r="AA465" s="46">
        <f>IF(VLOOKUP($C465,REV!$C:$AA,25,0)-'TRADE IN'!$F465=0,"",(VLOOKUP($C465,REV!$C:$AA,25,0)-'TRADE IN'!$F465))</f>
        <v>4799</v>
      </c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7"/>
      <c r="AW465" s="48" t="str">
        <f>REV!AW465</f>
        <v>01.12.2026</v>
      </c>
      <c r="AX465" s="153" t="str">
        <f>VLOOKUP(C465,REV!C:AX,48,0)</f>
        <v>5G</v>
      </c>
    </row>
    <row r="466" spans="1:50" ht="22.5" customHeight="1">
      <c r="A466" s="41" t="s">
        <v>63</v>
      </c>
      <c r="B466" s="42" t="s">
        <v>64</v>
      </c>
      <c r="C466" s="43">
        <v>4017768</v>
      </c>
      <c r="D466" s="58" t="s">
        <v>668</v>
      </c>
      <c r="E466" s="58" t="s">
        <v>672</v>
      </c>
      <c r="F466" s="45">
        <v>500</v>
      </c>
      <c r="G466" s="45"/>
      <c r="H466" s="45"/>
      <c r="I466" s="45"/>
      <c r="J466" s="46">
        <f>IF(VLOOKUP($C466,REV!$C:$AA,8,0)-'TRADE IN'!$F466=0,"",(VLOOKUP($C466,REV!$C:$AA,8,0)-'TRADE IN'!$F466))</f>
        <v>6499</v>
      </c>
      <c r="K466" s="46">
        <f>IF(VLOOKUP($C466,REV!$C:$AA,9,0)-'TRADE IN'!$F466=0,"",(VLOOKUP($C466,REV!$C:$AA,9,0)-'TRADE IN'!$F466))</f>
        <v>6499</v>
      </c>
      <c r="L466" s="46">
        <f>IF(VLOOKUP($C466,REV!$C:$AA,10,0)-'TRADE IN'!$F466=0,"",(VLOOKUP($C466,REV!$C:$AA,10,0)-'TRADE IN'!$F466))</f>
        <v>6499</v>
      </c>
      <c r="M466" s="46">
        <f>IF(VLOOKUP($C466,REV!$C:$AA,11,0)-'TRADE IN'!$F466=0,"",(VLOOKUP($C466,REV!$C:$AA,11,0)-'TRADE IN'!$F466))</f>
        <v>6499</v>
      </c>
      <c r="N466" s="46">
        <f>IF(VLOOKUP($C466,REV!$C:$AA,12,0)-'TRADE IN'!$F466=0,"",(VLOOKUP($C466,REV!$C:$AA,12,0)-'TRADE IN'!$F466))</f>
        <v>6499</v>
      </c>
      <c r="O466" s="46">
        <f>IF(VLOOKUP($C466,REV!$C:$AA,13,0)-'TRADE IN'!$F466=0,"",(VLOOKUP($C466,REV!$C:$AA,13,0)-'TRADE IN'!$F466))</f>
        <v>6399</v>
      </c>
      <c r="P466" s="46">
        <f>IF(VLOOKUP($C466,REV!$C:$AA,14,0)-'TRADE IN'!$F466=0,"",(VLOOKUP($C466,REV!$C:$AA,14,0)-'TRADE IN'!$F466))</f>
        <v>6299</v>
      </c>
      <c r="Q466" s="46">
        <f>IF(VLOOKUP($C466,REV!$C:$AA,15,0)-'TRADE IN'!$F466=0,"",(VLOOKUP($C466,REV!$C:$AA,15,0)-'TRADE IN'!$F466))</f>
        <v>5999</v>
      </c>
      <c r="R466" s="46">
        <f>IF(VLOOKUP($C466,REV!$C:$AA,16,0)-'TRADE IN'!$F466=0,"",(VLOOKUP($C466,REV!$C:$AA,16,0)-'TRADE IN'!$F466))</f>
        <v>6399</v>
      </c>
      <c r="S466" s="46">
        <f>IF(VLOOKUP($C466,REV!$C:$AA,17,0)-'TRADE IN'!$F466=0,"",(VLOOKUP($C466,REV!$C:$AA,17,0)-'TRADE IN'!$F466))</f>
        <v>6299</v>
      </c>
      <c r="T466" s="46">
        <f>IF(VLOOKUP($C466,REV!$C:$AA,18,0)-'TRADE IN'!$F466=0,"",(VLOOKUP($C466,REV!$C:$AA,18,0)-'TRADE IN'!$F466))</f>
        <v>5999</v>
      </c>
      <c r="U466" s="46">
        <f>IF(VLOOKUP($C466,REV!$C:$AA,19,0)-'TRADE IN'!$F466=0,"",(VLOOKUP($C466,REV!$C:$AA,19,0)-'TRADE IN'!$F466))</f>
        <v>5999</v>
      </c>
      <c r="V466" s="46">
        <f>IF(VLOOKUP($C466,REV!$C:$AA,20,0)-'TRADE IN'!$F466=0,"",(VLOOKUP($C466,REV!$C:$AA,20,0)-'TRADE IN'!$F466))</f>
        <v>5999</v>
      </c>
      <c r="W466" s="46">
        <f>IF(VLOOKUP($C466,REV!$C:$AA,21,0)-'TRADE IN'!$F466=0,"",(VLOOKUP($C466,REV!$C:$AA,21,0)-'TRADE IN'!$F466))</f>
        <v>5999</v>
      </c>
      <c r="X466" s="46">
        <f>IF(VLOOKUP($C466,REV!$C:$AA,22,0)-'TRADE IN'!$F466=0,"",(VLOOKUP($C466,REV!$C:$AA,22,0)-'TRADE IN'!$F466))</f>
        <v>5899</v>
      </c>
      <c r="Y466" s="46">
        <f>IF(VLOOKUP($C466,REV!$C:$AA,23,0)-'TRADE IN'!$F466=0,"",(VLOOKUP($C466,REV!$C:$AA,23,0)-'TRADE IN'!$F466))</f>
        <v>4999</v>
      </c>
      <c r="Z466" s="46">
        <f>IF(VLOOKUP($C466,REV!$C:$AA,24,0)-'TRADE IN'!$F466=0,"",(VLOOKUP($C466,REV!$C:$AA,24,0)-'TRADE IN'!$F466))</f>
        <v>4999</v>
      </c>
      <c r="AA466" s="46">
        <f>IF(VLOOKUP($C466,REV!$C:$AA,25,0)-'TRADE IN'!$F466=0,"",(VLOOKUP($C466,REV!$C:$AA,25,0)-'TRADE IN'!$F466))</f>
        <v>4799</v>
      </c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7"/>
      <c r="AW466" s="48" t="str">
        <f>REV!AW466</f>
        <v>01.12.2026</v>
      </c>
      <c r="AX466" s="153" t="str">
        <f>VLOOKUP(C466,REV!C:AX,48,0)</f>
        <v>5G</v>
      </c>
    </row>
    <row r="467" spans="1:50" ht="22.5" customHeight="1">
      <c r="A467" s="41" t="s">
        <v>63</v>
      </c>
      <c r="B467" s="42" t="s">
        <v>64</v>
      </c>
      <c r="C467" s="43">
        <v>4017614</v>
      </c>
      <c r="D467" s="58" t="s">
        <v>673</v>
      </c>
      <c r="E467" s="58" t="s">
        <v>674</v>
      </c>
      <c r="F467" s="45">
        <v>1850</v>
      </c>
      <c r="G467" s="45"/>
      <c r="H467" s="45"/>
      <c r="I467" s="45"/>
      <c r="J467" s="46">
        <f>IF(VLOOKUP($C467,REV!$C:$AA,8,0)-'TRADE IN'!$F467=0,"",(VLOOKUP($C467,REV!$C:$AA,8,0)-'TRADE IN'!$F467))</f>
        <v>6149</v>
      </c>
      <c r="K467" s="46">
        <f>IF(VLOOKUP($C467,REV!$C:$AA,9,0)-'TRADE IN'!$F467=0,"",(VLOOKUP($C467,REV!$C:$AA,9,0)-'TRADE IN'!$F467))</f>
        <v>6149</v>
      </c>
      <c r="L467" s="46">
        <f>IF(VLOOKUP($C467,REV!$C:$AA,10,0)-'TRADE IN'!$F467=0,"",(VLOOKUP($C467,REV!$C:$AA,10,0)-'TRADE IN'!$F467))</f>
        <v>6149</v>
      </c>
      <c r="M467" s="46">
        <f>IF(VLOOKUP($C467,REV!$C:$AA,11,0)-'TRADE IN'!$F467=0,"",(VLOOKUP($C467,REV!$C:$AA,11,0)-'TRADE IN'!$F467))</f>
        <v>6149</v>
      </c>
      <c r="N467" s="46">
        <f>IF(VLOOKUP($C467,REV!$C:$AA,12,0)-'TRADE IN'!$F467=0,"",(VLOOKUP($C467,REV!$C:$AA,12,0)-'TRADE IN'!$F467))</f>
        <v>6149</v>
      </c>
      <c r="O467" s="46">
        <f>IF(VLOOKUP($C467,REV!$C:$AA,13,0)-'TRADE IN'!$F467=0,"",(VLOOKUP($C467,REV!$C:$AA,13,0)-'TRADE IN'!$F467))</f>
        <v>5949</v>
      </c>
      <c r="P467" s="46">
        <f>IF(VLOOKUP($C467,REV!$C:$AA,14,0)-'TRADE IN'!$F467=0,"",(VLOOKUP($C467,REV!$C:$AA,14,0)-'TRADE IN'!$F467))</f>
        <v>5849</v>
      </c>
      <c r="Q467" s="46">
        <f>IF(VLOOKUP($C467,REV!$C:$AA,15,0)-'TRADE IN'!$F467=0,"",(VLOOKUP($C467,REV!$C:$AA,15,0)-'TRADE IN'!$F467))</f>
        <v>5149</v>
      </c>
      <c r="R467" s="46">
        <f>IF(VLOOKUP($C467,REV!$C:$AA,16,0)-'TRADE IN'!$F467=0,"",(VLOOKUP($C467,REV!$C:$AA,16,0)-'TRADE IN'!$F467))</f>
        <v>5949</v>
      </c>
      <c r="S467" s="46">
        <f>IF(VLOOKUP($C467,REV!$C:$AA,17,0)-'TRADE IN'!$F467=0,"",(VLOOKUP($C467,REV!$C:$AA,17,0)-'TRADE IN'!$F467))</f>
        <v>5849</v>
      </c>
      <c r="T467" s="46">
        <f>IF(VLOOKUP($C467,REV!$C:$AA,18,0)-'TRADE IN'!$F467=0,"",(VLOOKUP($C467,REV!$C:$AA,18,0)-'TRADE IN'!$F467))</f>
        <v>5149</v>
      </c>
      <c r="U467" s="46">
        <f>IF(VLOOKUP($C467,REV!$C:$AA,19,0)-'TRADE IN'!$F467=0,"",(VLOOKUP($C467,REV!$C:$AA,19,0)-'TRADE IN'!$F467))</f>
        <v>5149</v>
      </c>
      <c r="V467" s="46">
        <f>IF(VLOOKUP($C467,REV!$C:$AA,20,0)-'TRADE IN'!$F467=0,"",(VLOOKUP($C467,REV!$C:$AA,20,0)-'TRADE IN'!$F467))</f>
        <v>5149</v>
      </c>
      <c r="W467" s="46">
        <f>IF(VLOOKUP($C467,REV!$C:$AA,21,0)-'TRADE IN'!$F467=0,"",(VLOOKUP($C467,REV!$C:$AA,21,0)-'TRADE IN'!$F467))</f>
        <v>5149</v>
      </c>
      <c r="X467" s="46">
        <f>IF(VLOOKUP($C467,REV!$C:$AA,22,0)-'TRADE IN'!$F467=0,"",(VLOOKUP($C467,REV!$C:$AA,22,0)-'TRADE IN'!$F467))</f>
        <v>5049</v>
      </c>
      <c r="Y467" s="46">
        <f>IF(VLOOKUP($C467,REV!$C:$AA,23,0)-'TRADE IN'!$F467=0,"",(VLOOKUP($C467,REV!$C:$AA,23,0)-'TRADE IN'!$F467))</f>
        <v>4349</v>
      </c>
      <c r="Z467" s="46">
        <f>IF(VLOOKUP($C467,REV!$C:$AA,24,0)-'TRADE IN'!$F467=0,"",(VLOOKUP($C467,REV!$C:$AA,24,0)-'TRADE IN'!$F467))</f>
        <v>4349</v>
      </c>
      <c r="AA467" s="46">
        <f>IF(VLOOKUP($C467,REV!$C:$AA,25,0)-'TRADE IN'!$F467=0,"",(VLOOKUP($C467,REV!$C:$AA,25,0)-'TRADE IN'!$F467))</f>
        <v>4149</v>
      </c>
      <c r="AB467" s="45">
        <f>IF(VLOOKUP($C467,REV!$C:$AL,27,0)-'TRADE IN'!$F467=0,"",(VLOOKUP($C467,REV!$C:$AL,27,0)-'TRADE IN'!$F467))</f>
        <v>6149</v>
      </c>
      <c r="AC467" s="45">
        <f>IF(VLOOKUP($C467,REV!$C:$AL,28,0)-'TRADE IN'!$F467=0,"",(VLOOKUP($C467,REV!$C:$AL,28,0)-'TRADE IN'!$F467))</f>
        <v>6149</v>
      </c>
      <c r="AD467" s="45">
        <f>IF(VLOOKUP($C467,REV!$C:$AL,29,0)-'TRADE IN'!$F467=0,"",(VLOOKUP($C467,REV!$C:$AL,29,0)-'TRADE IN'!$F467))</f>
        <v>6149</v>
      </c>
      <c r="AE467" s="45">
        <f>IF(VLOOKUP($C467,REV!$C:$AL,30,0)-'TRADE IN'!$F467=0,"",(VLOOKUP($C467,REV!$C:$AL,30,0)-'TRADE IN'!$F467))</f>
        <v>5949</v>
      </c>
      <c r="AF467" s="45">
        <f>IF(VLOOKUP($C467,REV!$C:$AL,31,0)-'TRADE IN'!$F467=0,"",(VLOOKUP($C467,REV!$C:$AL,31,0)-'TRADE IN'!$F467))</f>
        <v>5849</v>
      </c>
      <c r="AG467" s="45">
        <f>IF(VLOOKUP($C467,REV!$C:$AL,31,0)-'TRADE IN'!$F467=0,"",(VLOOKUP($C467,REV!$C:$AL,31,0)-'TRADE IN'!$F467))</f>
        <v>5849</v>
      </c>
      <c r="AH467" s="45">
        <f>IF(VLOOKUP($C467,REV!$C:$AL,32,0)-'TRADE IN'!$F467=0,"",(VLOOKUP($C467,REV!$C:$AL,32,0)-'TRADE IN'!$F467))</f>
        <v>5149</v>
      </c>
      <c r="AI467" s="45">
        <f>IF(VLOOKUP($C467,REV!$C:$AL,33,0)-'TRADE IN'!$F467=0,"",(VLOOKUP($C467,REV!$C:$AL,33,0)-'TRADE IN'!$F467))</f>
        <v>5149</v>
      </c>
      <c r="AJ467" s="45">
        <f>IF(VLOOKUP($C467,REV!$C:$AL,34,0)-'TRADE IN'!$F467=0,"",(VLOOKUP($C467,REV!$C:$AL,34,0)-'TRADE IN'!$F467))</f>
        <v>5149</v>
      </c>
      <c r="AK467" s="45">
        <f>IF(VLOOKUP($C467,REV!$C:$AL,35,0)-'TRADE IN'!$F467=0,"",(VLOOKUP($C467,REV!$C:$AL,35,0)-'TRADE IN'!$F467))</f>
        <v>5149</v>
      </c>
      <c r="AL467" s="45">
        <f>IF(VLOOKUP($C467,REV!$C:$AL,36,0)-'TRADE IN'!$F467=0,"",(VLOOKUP($C467,REV!$C:$AL,36,0)-'TRADE IN'!$F467))</f>
        <v>4349</v>
      </c>
      <c r="AM467" s="45"/>
      <c r="AN467" s="45"/>
      <c r="AO467" s="45"/>
      <c r="AP467" s="45"/>
      <c r="AQ467" s="45"/>
      <c r="AR467" s="45"/>
      <c r="AS467" s="45"/>
      <c r="AT467" s="45"/>
      <c r="AU467" s="45"/>
      <c r="AV467" s="47"/>
      <c r="AW467" s="48" t="str">
        <f>REV!AW467</f>
        <v>01.12.2026</v>
      </c>
      <c r="AX467" s="153" t="str">
        <f>VLOOKUP(C467,REV!C:AX,48,0)</f>
        <v>5G</v>
      </c>
    </row>
    <row r="468" spans="1:50" ht="22.5" customHeight="1">
      <c r="A468" s="41" t="s">
        <v>63</v>
      </c>
      <c r="B468" s="42" t="s">
        <v>64</v>
      </c>
      <c r="C468" s="43">
        <v>4017616</v>
      </c>
      <c r="D468" s="58" t="s">
        <v>673</v>
      </c>
      <c r="E468" s="58" t="s">
        <v>675</v>
      </c>
      <c r="F468" s="45">
        <v>1850</v>
      </c>
      <c r="G468" s="45"/>
      <c r="H468" s="45"/>
      <c r="I468" s="45"/>
      <c r="J468" s="46">
        <f>IF(VLOOKUP($C468,REV!$C:$AA,8,0)-'TRADE IN'!$F468=0,"",(VLOOKUP($C468,REV!$C:$AA,8,0)-'TRADE IN'!$F468))</f>
        <v>6149</v>
      </c>
      <c r="K468" s="46">
        <f>IF(VLOOKUP($C468,REV!$C:$AA,9,0)-'TRADE IN'!$F468=0,"",(VLOOKUP($C468,REV!$C:$AA,9,0)-'TRADE IN'!$F468))</f>
        <v>6149</v>
      </c>
      <c r="L468" s="46">
        <f>IF(VLOOKUP($C468,REV!$C:$AA,10,0)-'TRADE IN'!$F468=0,"",(VLOOKUP($C468,REV!$C:$AA,10,0)-'TRADE IN'!$F468))</f>
        <v>6149</v>
      </c>
      <c r="M468" s="46">
        <f>IF(VLOOKUP($C468,REV!$C:$AA,11,0)-'TRADE IN'!$F468=0,"",(VLOOKUP($C468,REV!$C:$AA,11,0)-'TRADE IN'!$F468))</f>
        <v>6149</v>
      </c>
      <c r="N468" s="46">
        <f>IF(VLOOKUP($C468,REV!$C:$AA,12,0)-'TRADE IN'!$F468=0,"",(VLOOKUP($C468,REV!$C:$AA,12,0)-'TRADE IN'!$F468))</f>
        <v>6149</v>
      </c>
      <c r="O468" s="46">
        <f>IF(VLOOKUP($C468,REV!$C:$AA,13,0)-'TRADE IN'!$F468=0,"",(VLOOKUP($C468,REV!$C:$AA,13,0)-'TRADE IN'!$F468))</f>
        <v>5949</v>
      </c>
      <c r="P468" s="46">
        <f>IF(VLOOKUP($C468,REV!$C:$AA,14,0)-'TRADE IN'!$F468=0,"",(VLOOKUP($C468,REV!$C:$AA,14,0)-'TRADE IN'!$F468))</f>
        <v>5849</v>
      </c>
      <c r="Q468" s="46">
        <f>IF(VLOOKUP($C468,REV!$C:$AA,15,0)-'TRADE IN'!$F468=0,"",(VLOOKUP($C468,REV!$C:$AA,15,0)-'TRADE IN'!$F468))</f>
        <v>5149</v>
      </c>
      <c r="R468" s="46">
        <f>IF(VLOOKUP($C468,REV!$C:$AA,16,0)-'TRADE IN'!$F468=0,"",(VLOOKUP($C468,REV!$C:$AA,16,0)-'TRADE IN'!$F468))</f>
        <v>5949</v>
      </c>
      <c r="S468" s="46">
        <f>IF(VLOOKUP($C468,REV!$C:$AA,17,0)-'TRADE IN'!$F468=0,"",(VLOOKUP($C468,REV!$C:$AA,17,0)-'TRADE IN'!$F468))</f>
        <v>5849</v>
      </c>
      <c r="T468" s="46">
        <f>IF(VLOOKUP($C468,REV!$C:$AA,18,0)-'TRADE IN'!$F468=0,"",(VLOOKUP($C468,REV!$C:$AA,18,0)-'TRADE IN'!$F468))</f>
        <v>5149</v>
      </c>
      <c r="U468" s="46">
        <f>IF(VLOOKUP($C468,REV!$C:$AA,19,0)-'TRADE IN'!$F468=0,"",(VLOOKUP($C468,REV!$C:$AA,19,0)-'TRADE IN'!$F468))</f>
        <v>5149</v>
      </c>
      <c r="V468" s="46">
        <f>IF(VLOOKUP($C468,REV!$C:$AA,20,0)-'TRADE IN'!$F468=0,"",(VLOOKUP($C468,REV!$C:$AA,20,0)-'TRADE IN'!$F468))</f>
        <v>5149</v>
      </c>
      <c r="W468" s="46">
        <f>IF(VLOOKUP($C468,REV!$C:$AA,21,0)-'TRADE IN'!$F468=0,"",(VLOOKUP($C468,REV!$C:$AA,21,0)-'TRADE IN'!$F468))</f>
        <v>5149</v>
      </c>
      <c r="X468" s="46">
        <f>IF(VLOOKUP($C468,REV!$C:$AA,22,0)-'TRADE IN'!$F468=0,"",(VLOOKUP($C468,REV!$C:$AA,22,0)-'TRADE IN'!$F468))</f>
        <v>5049</v>
      </c>
      <c r="Y468" s="46">
        <f>IF(VLOOKUP($C468,REV!$C:$AA,23,0)-'TRADE IN'!$F468=0,"",(VLOOKUP($C468,REV!$C:$AA,23,0)-'TRADE IN'!$F468))</f>
        <v>4349</v>
      </c>
      <c r="Z468" s="46">
        <f>IF(VLOOKUP($C468,REV!$C:$AA,24,0)-'TRADE IN'!$F468=0,"",(VLOOKUP($C468,REV!$C:$AA,24,0)-'TRADE IN'!$F468))</f>
        <v>4349</v>
      </c>
      <c r="AA468" s="46">
        <f>IF(VLOOKUP($C468,REV!$C:$AA,25,0)-'TRADE IN'!$F468=0,"",(VLOOKUP($C468,REV!$C:$AA,25,0)-'TRADE IN'!$F468))</f>
        <v>4149</v>
      </c>
      <c r="AB468" s="45">
        <f>IF(VLOOKUP($C468,REV!$C:$AL,27,0)-'TRADE IN'!$F468=0,"",(VLOOKUP($C468,REV!$C:$AL,27,0)-'TRADE IN'!$F468))</f>
        <v>6149</v>
      </c>
      <c r="AC468" s="45">
        <f>IF(VLOOKUP($C468,REV!$C:$AL,28,0)-'TRADE IN'!$F468=0,"",(VLOOKUP($C468,REV!$C:$AL,28,0)-'TRADE IN'!$F468))</f>
        <v>6149</v>
      </c>
      <c r="AD468" s="45">
        <f>IF(VLOOKUP($C468,REV!$C:$AL,29,0)-'TRADE IN'!$F468=0,"",(VLOOKUP($C468,REV!$C:$AL,29,0)-'TRADE IN'!$F468))</f>
        <v>6149</v>
      </c>
      <c r="AE468" s="45">
        <f>IF(VLOOKUP($C468,REV!$C:$AL,30,0)-'TRADE IN'!$F468=0,"",(VLOOKUP($C468,REV!$C:$AL,30,0)-'TRADE IN'!$F468))</f>
        <v>5949</v>
      </c>
      <c r="AF468" s="45">
        <f>IF(VLOOKUP($C468,REV!$C:$AL,31,0)-'TRADE IN'!$F468=0,"",(VLOOKUP($C468,REV!$C:$AL,31,0)-'TRADE IN'!$F468))</f>
        <v>5849</v>
      </c>
      <c r="AG468" s="45">
        <f>IF(VLOOKUP($C468,REV!$C:$AL,31,0)-'TRADE IN'!$F468=0,"",(VLOOKUP($C468,REV!$C:$AL,31,0)-'TRADE IN'!$F468))</f>
        <v>5849</v>
      </c>
      <c r="AH468" s="45">
        <f>IF(VLOOKUP($C468,REV!$C:$AL,32,0)-'TRADE IN'!$F468=0,"",(VLOOKUP($C468,REV!$C:$AL,32,0)-'TRADE IN'!$F468))</f>
        <v>5149</v>
      </c>
      <c r="AI468" s="45">
        <f>IF(VLOOKUP($C468,REV!$C:$AL,33,0)-'TRADE IN'!$F468=0,"",(VLOOKUP($C468,REV!$C:$AL,33,0)-'TRADE IN'!$F468))</f>
        <v>5149</v>
      </c>
      <c r="AJ468" s="45">
        <f>IF(VLOOKUP($C468,REV!$C:$AL,34,0)-'TRADE IN'!$F468=0,"",(VLOOKUP($C468,REV!$C:$AL,34,0)-'TRADE IN'!$F468))</f>
        <v>5149</v>
      </c>
      <c r="AK468" s="45">
        <f>IF(VLOOKUP($C468,REV!$C:$AL,35,0)-'TRADE IN'!$F468=0,"",(VLOOKUP($C468,REV!$C:$AL,35,0)-'TRADE IN'!$F468))</f>
        <v>5149</v>
      </c>
      <c r="AL468" s="45">
        <f>IF(VLOOKUP($C468,REV!$C:$AL,36,0)-'TRADE IN'!$F468=0,"",(VLOOKUP($C468,REV!$C:$AL,36,0)-'TRADE IN'!$F468))</f>
        <v>4349</v>
      </c>
      <c r="AM468" s="45"/>
      <c r="AN468" s="45"/>
      <c r="AO468" s="45"/>
      <c r="AP468" s="45"/>
      <c r="AQ468" s="45"/>
      <c r="AR468" s="45"/>
      <c r="AS468" s="45"/>
      <c r="AT468" s="45"/>
      <c r="AU468" s="45"/>
      <c r="AV468" s="47"/>
      <c r="AW468" s="48" t="str">
        <f>REV!AW468</f>
        <v>01.12.2026</v>
      </c>
      <c r="AX468" s="153" t="str">
        <f>VLOOKUP(C468,REV!C:AX,48,0)</f>
        <v>5G</v>
      </c>
    </row>
    <row r="469" spans="1:50" ht="22.5" customHeight="1">
      <c r="A469" s="41" t="s">
        <v>63</v>
      </c>
      <c r="B469" s="42" t="s">
        <v>64</v>
      </c>
      <c r="C469" s="43">
        <v>4017725</v>
      </c>
      <c r="D469" s="58" t="s">
        <v>673</v>
      </c>
      <c r="E469" s="58" t="s">
        <v>676</v>
      </c>
      <c r="F469" s="45">
        <v>1850</v>
      </c>
      <c r="G469" s="45"/>
      <c r="H469" s="45"/>
      <c r="I469" s="45"/>
      <c r="J469" s="46">
        <f>IF(VLOOKUP($C469,REV!$C:$AA,8,0)-'TRADE IN'!$F469=0,"",(VLOOKUP($C469,REV!$C:$AA,8,0)-'TRADE IN'!$F469))</f>
        <v>6149</v>
      </c>
      <c r="K469" s="46">
        <f>IF(VLOOKUP($C469,REV!$C:$AA,9,0)-'TRADE IN'!$F469=0,"",(VLOOKUP($C469,REV!$C:$AA,9,0)-'TRADE IN'!$F469))</f>
        <v>6149</v>
      </c>
      <c r="L469" s="46">
        <f>IF(VLOOKUP($C469,REV!$C:$AA,10,0)-'TRADE IN'!$F469=0,"",(VLOOKUP($C469,REV!$C:$AA,10,0)-'TRADE IN'!$F469))</f>
        <v>6149</v>
      </c>
      <c r="M469" s="46">
        <f>IF(VLOOKUP($C469,REV!$C:$AA,11,0)-'TRADE IN'!$F469=0,"",(VLOOKUP($C469,REV!$C:$AA,11,0)-'TRADE IN'!$F469))</f>
        <v>6149</v>
      </c>
      <c r="N469" s="46">
        <f>IF(VLOOKUP($C469,REV!$C:$AA,12,0)-'TRADE IN'!$F469=0,"",(VLOOKUP($C469,REV!$C:$AA,12,0)-'TRADE IN'!$F469))</f>
        <v>6149</v>
      </c>
      <c r="O469" s="46">
        <f>IF(VLOOKUP($C469,REV!$C:$AA,13,0)-'TRADE IN'!$F469=0,"",(VLOOKUP($C469,REV!$C:$AA,13,0)-'TRADE IN'!$F469))</f>
        <v>5949</v>
      </c>
      <c r="P469" s="46">
        <f>IF(VLOOKUP($C469,REV!$C:$AA,14,0)-'TRADE IN'!$F469=0,"",(VLOOKUP($C469,REV!$C:$AA,14,0)-'TRADE IN'!$F469))</f>
        <v>5849</v>
      </c>
      <c r="Q469" s="46">
        <f>IF(VLOOKUP($C469,REV!$C:$AA,15,0)-'TRADE IN'!$F469=0,"",(VLOOKUP($C469,REV!$C:$AA,15,0)-'TRADE IN'!$F469))</f>
        <v>5149</v>
      </c>
      <c r="R469" s="46">
        <f>IF(VLOOKUP($C469,REV!$C:$AA,16,0)-'TRADE IN'!$F469=0,"",(VLOOKUP($C469,REV!$C:$AA,16,0)-'TRADE IN'!$F469))</f>
        <v>5949</v>
      </c>
      <c r="S469" s="46">
        <f>IF(VLOOKUP($C469,REV!$C:$AA,17,0)-'TRADE IN'!$F469=0,"",(VLOOKUP($C469,REV!$C:$AA,17,0)-'TRADE IN'!$F469))</f>
        <v>5849</v>
      </c>
      <c r="T469" s="46">
        <f>IF(VLOOKUP($C469,REV!$C:$AA,18,0)-'TRADE IN'!$F469=0,"",(VLOOKUP($C469,REV!$C:$AA,18,0)-'TRADE IN'!$F469))</f>
        <v>5149</v>
      </c>
      <c r="U469" s="46">
        <f>IF(VLOOKUP($C469,REV!$C:$AA,19,0)-'TRADE IN'!$F469=0,"",(VLOOKUP($C469,REV!$C:$AA,19,0)-'TRADE IN'!$F469))</f>
        <v>5149</v>
      </c>
      <c r="V469" s="46">
        <f>IF(VLOOKUP($C469,REV!$C:$AA,20,0)-'TRADE IN'!$F469=0,"",(VLOOKUP($C469,REV!$C:$AA,20,0)-'TRADE IN'!$F469))</f>
        <v>5149</v>
      </c>
      <c r="W469" s="46">
        <f>IF(VLOOKUP($C469,REV!$C:$AA,21,0)-'TRADE IN'!$F469=0,"",(VLOOKUP($C469,REV!$C:$AA,21,0)-'TRADE IN'!$F469))</f>
        <v>5149</v>
      </c>
      <c r="X469" s="46">
        <f>IF(VLOOKUP($C469,REV!$C:$AA,22,0)-'TRADE IN'!$F469=0,"",(VLOOKUP($C469,REV!$C:$AA,22,0)-'TRADE IN'!$F469))</f>
        <v>5049</v>
      </c>
      <c r="Y469" s="46">
        <f>IF(VLOOKUP($C469,REV!$C:$AA,23,0)-'TRADE IN'!$F469=0,"",(VLOOKUP($C469,REV!$C:$AA,23,0)-'TRADE IN'!$F469))</f>
        <v>4349</v>
      </c>
      <c r="Z469" s="46">
        <f>IF(VLOOKUP($C469,REV!$C:$AA,24,0)-'TRADE IN'!$F469=0,"",(VLOOKUP($C469,REV!$C:$AA,24,0)-'TRADE IN'!$F469))</f>
        <v>4349</v>
      </c>
      <c r="AA469" s="46">
        <f>IF(VLOOKUP($C469,REV!$C:$AA,25,0)-'TRADE IN'!$F469=0,"",(VLOOKUP($C469,REV!$C:$AA,25,0)-'TRADE IN'!$F469))</f>
        <v>4149</v>
      </c>
      <c r="AB469" s="45">
        <f>IF(VLOOKUP($C469,REV!$C:$AL,27,0)-'TRADE IN'!$F469=0,"",(VLOOKUP($C469,REV!$C:$AL,27,0)-'TRADE IN'!$F469))</f>
        <v>6149</v>
      </c>
      <c r="AC469" s="45">
        <f>IF(VLOOKUP($C469,REV!$C:$AL,28,0)-'TRADE IN'!$F469=0,"",(VLOOKUP($C469,REV!$C:$AL,28,0)-'TRADE IN'!$F469))</f>
        <v>6149</v>
      </c>
      <c r="AD469" s="45">
        <f>IF(VLOOKUP($C469,REV!$C:$AL,29,0)-'TRADE IN'!$F469=0,"",(VLOOKUP($C469,REV!$C:$AL,29,0)-'TRADE IN'!$F469))</f>
        <v>6149</v>
      </c>
      <c r="AE469" s="45">
        <f>IF(VLOOKUP($C469,REV!$C:$AL,30,0)-'TRADE IN'!$F469=0,"",(VLOOKUP($C469,REV!$C:$AL,30,0)-'TRADE IN'!$F469))</f>
        <v>5949</v>
      </c>
      <c r="AF469" s="45">
        <f>IF(VLOOKUP($C469,REV!$C:$AL,31,0)-'TRADE IN'!$F469=0,"",(VLOOKUP($C469,REV!$C:$AL,31,0)-'TRADE IN'!$F469))</f>
        <v>5849</v>
      </c>
      <c r="AG469" s="45">
        <f>IF(VLOOKUP($C469,REV!$C:$AL,31,0)-'TRADE IN'!$F469=0,"",(VLOOKUP($C469,REV!$C:$AL,31,0)-'TRADE IN'!$F469))</f>
        <v>5849</v>
      </c>
      <c r="AH469" s="45">
        <f>IF(VLOOKUP($C469,REV!$C:$AL,32,0)-'TRADE IN'!$F469=0,"",(VLOOKUP($C469,REV!$C:$AL,32,0)-'TRADE IN'!$F469))</f>
        <v>5149</v>
      </c>
      <c r="AI469" s="45">
        <f>IF(VLOOKUP($C469,REV!$C:$AL,33,0)-'TRADE IN'!$F469=0,"",(VLOOKUP($C469,REV!$C:$AL,33,0)-'TRADE IN'!$F469))</f>
        <v>5149</v>
      </c>
      <c r="AJ469" s="45">
        <f>IF(VLOOKUP($C469,REV!$C:$AL,34,0)-'TRADE IN'!$F469=0,"",(VLOOKUP($C469,REV!$C:$AL,34,0)-'TRADE IN'!$F469))</f>
        <v>5149</v>
      </c>
      <c r="AK469" s="45">
        <f>IF(VLOOKUP($C469,REV!$C:$AL,35,0)-'TRADE IN'!$F469=0,"",(VLOOKUP($C469,REV!$C:$AL,35,0)-'TRADE IN'!$F469))</f>
        <v>5149</v>
      </c>
      <c r="AL469" s="45">
        <f>IF(VLOOKUP($C469,REV!$C:$AL,36,0)-'TRADE IN'!$F469=0,"",(VLOOKUP($C469,REV!$C:$AL,36,0)-'TRADE IN'!$F469))</f>
        <v>4349</v>
      </c>
      <c r="AM469" s="45"/>
      <c r="AN469" s="45"/>
      <c r="AO469" s="45"/>
      <c r="AP469" s="45"/>
      <c r="AQ469" s="45"/>
      <c r="AR469" s="45"/>
      <c r="AS469" s="45"/>
      <c r="AT469" s="45"/>
      <c r="AU469" s="45"/>
      <c r="AV469" s="47"/>
      <c r="AW469" s="48" t="str">
        <f>REV!AW469</f>
        <v>01.12.2026</v>
      </c>
      <c r="AX469" s="153" t="str">
        <f>VLOOKUP(C469,REV!C:AX,48,0)</f>
        <v>5G</v>
      </c>
    </row>
    <row r="470" spans="1:50" ht="22.5" customHeight="1">
      <c r="A470" s="41" t="s">
        <v>63</v>
      </c>
      <c r="B470" s="42" t="s">
        <v>64</v>
      </c>
      <c r="C470" s="43">
        <v>4017731</v>
      </c>
      <c r="D470" s="58" t="s">
        <v>673</v>
      </c>
      <c r="E470" s="58" t="s">
        <v>677</v>
      </c>
      <c r="F470" s="45">
        <v>1850</v>
      </c>
      <c r="G470" s="45"/>
      <c r="H470" s="45"/>
      <c r="I470" s="45"/>
      <c r="J470" s="46">
        <f>IF(VLOOKUP($C470,REV!$C:$AA,8,0)-'TRADE IN'!$F470=0,"",(VLOOKUP($C470,REV!$C:$AA,8,0)-'TRADE IN'!$F470))</f>
        <v>6149</v>
      </c>
      <c r="K470" s="46">
        <f>IF(VLOOKUP($C470,REV!$C:$AA,9,0)-'TRADE IN'!$F470=0,"",(VLOOKUP($C470,REV!$C:$AA,9,0)-'TRADE IN'!$F470))</f>
        <v>6149</v>
      </c>
      <c r="L470" s="46">
        <f>IF(VLOOKUP($C470,REV!$C:$AA,10,0)-'TRADE IN'!$F470=0,"",(VLOOKUP($C470,REV!$C:$AA,10,0)-'TRADE IN'!$F470))</f>
        <v>6149</v>
      </c>
      <c r="M470" s="46">
        <f>IF(VLOOKUP($C470,REV!$C:$AA,11,0)-'TRADE IN'!$F470=0,"",(VLOOKUP($C470,REV!$C:$AA,11,0)-'TRADE IN'!$F470))</f>
        <v>6149</v>
      </c>
      <c r="N470" s="46">
        <f>IF(VLOOKUP($C470,REV!$C:$AA,12,0)-'TRADE IN'!$F470=0,"",(VLOOKUP($C470,REV!$C:$AA,12,0)-'TRADE IN'!$F470))</f>
        <v>6149</v>
      </c>
      <c r="O470" s="46">
        <f>IF(VLOOKUP($C470,REV!$C:$AA,13,0)-'TRADE IN'!$F470=0,"",(VLOOKUP($C470,REV!$C:$AA,13,0)-'TRADE IN'!$F470))</f>
        <v>5949</v>
      </c>
      <c r="P470" s="46">
        <f>IF(VLOOKUP($C470,REV!$C:$AA,14,0)-'TRADE IN'!$F470=0,"",(VLOOKUP($C470,REV!$C:$AA,14,0)-'TRADE IN'!$F470))</f>
        <v>5849</v>
      </c>
      <c r="Q470" s="46">
        <f>IF(VLOOKUP($C470,REV!$C:$AA,15,0)-'TRADE IN'!$F470=0,"",(VLOOKUP($C470,REV!$C:$AA,15,0)-'TRADE IN'!$F470))</f>
        <v>5149</v>
      </c>
      <c r="R470" s="46">
        <f>IF(VLOOKUP($C470,REV!$C:$AA,16,0)-'TRADE IN'!$F470=0,"",(VLOOKUP($C470,REV!$C:$AA,16,0)-'TRADE IN'!$F470))</f>
        <v>5949</v>
      </c>
      <c r="S470" s="46">
        <f>IF(VLOOKUP($C470,REV!$C:$AA,17,0)-'TRADE IN'!$F470=0,"",(VLOOKUP($C470,REV!$C:$AA,17,0)-'TRADE IN'!$F470))</f>
        <v>5849</v>
      </c>
      <c r="T470" s="46">
        <f>IF(VLOOKUP($C470,REV!$C:$AA,18,0)-'TRADE IN'!$F470=0,"",(VLOOKUP($C470,REV!$C:$AA,18,0)-'TRADE IN'!$F470))</f>
        <v>5149</v>
      </c>
      <c r="U470" s="46">
        <f>IF(VLOOKUP($C470,REV!$C:$AA,19,0)-'TRADE IN'!$F470=0,"",(VLOOKUP($C470,REV!$C:$AA,19,0)-'TRADE IN'!$F470))</f>
        <v>5149</v>
      </c>
      <c r="V470" s="46">
        <f>IF(VLOOKUP($C470,REV!$C:$AA,20,0)-'TRADE IN'!$F470=0,"",(VLOOKUP($C470,REV!$C:$AA,20,0)-'TRADE IN'!$F470))</f>
        <v>5149</v>
      </c>
      <c r="W470" s="46">
        <f>IF(VLOOKUP($C470,REV!$C:$AA,21,0)-'TRADE IN'!$F470=0,"",(VLOOKUP($C470,REV!$C:$AA,21,0)-'TRADE IN'!$F470))</f>
        <v>5149</v>
      </c>
      <c r="X470" s="46">
        <f>IF(VLOOKUP($C470,REV!$C:$AA,22,0)-'TRADE IN'!$F470=0,"",(VLOOKUP($C470,REV!$C:$AA,22,0)-'TRADE IN'!$F470))</f>
        <v>5049</v>
      </c>
      <c r="Y470" s="46">
        <f>IF(VLOOKUP($C470,REV!$C:$AA,23,0)-'TRADE IN'!$F470=0,"",(VLOOKUP($C470,REV!$C:$AA,23,0)-'TRADE IN'!$F470))</f>
        <v>4349</v>
      </c>
      <c r="Z470" s="46">
        <f>IF(VLOOKUP($C470,REV!$C:$AA,24,0)-'TRADE IN'!$F470=0,"",(VLOOKUP($C470,REV!$C:$AA,24,0)-'TRADE IN'!$F470))</f>
        <v>4349</v>
      </c>
      <c r="AA470" s="46">
        <f>IF(VLOOKUP($C470,REV!$C:$AA,25,0)-'TRADE IN'!$F470=0,"",(VLOOKUP($C470,REV!$C:$AA,25,0)-'TRADE IN'!$F470))</f>
        <v>4149</v>
      </c>
      <c r="AB470" s="45">
        <f>IF(VLOOKUP($C470,REV!$C:$AL,27,0)-'TRADE IN'!$F470=0,"",(VLOOKUP($C470,REV!$C:$AL,27,0)-'TRADE IN'!$F470))</f>
        <v>6149</v>
      </c>
      <c r="AC470" s="45">
        <f>IF(VLOOKUP($C470,REV!$C:$AL,28,0)-'TRADE IN'!$F470=0,"",(VLOOKUP($C470,REV!$C:$AL,28,0)-'TRADE IN'!$F470))</f>
        <v>6149</v>
      </c>
      <c r="AD470" s="45">
        <f>IF(VLOOKUP($C470,REV!$C:$AL,29,0)-'TRADE IN'!$F470=0,"",(VLOOKUP($C470,REV!$C:$AL,29,0)-'TRADE IN'!$F470))</f>
        <v>6149</v>
      </c>
      <c r="AE470" s="45">
        <f>IF(VLOOKUP($C470,REV!$C:$AL,30,0)-'TRADE IN'!$F470=0,"",(VLOOKUP($C470,REV!$C:$AL,30,0)-'TRADE IN'!$F470))</f>
        <v>5949</v>
      </c>
      <c r="AF470" s="45">
        <f>IF(VLOOKUP($C470,REV!$C:$AL,31,0)-'TRADE IN'!$F470=0,"",(VLOOKUP($C470,REV!$C:$AL,31,0)-'TRADE IN'!$F470))</f>
        <v>5849</v>
      </c>
      <c r="AG470" s="45">
        <f>IF(VLOOKUP($C470,REV!$C:$AL,31,0)-'TRADE IN'!$F470=0,"",(VLOOKUP($C470,REV!$C:$AL,31,0)-'TRADE IN'!$F470))</f>
        <v>5849</v>
      </c>
      <c r="AH470" s="45">
        <f>IF(VLOOKUP($C470,REV!$C:$AL,32,0)-'TRADE IN'!$F470=0,"",(VLOOKUP($C470,REV!$C:$AL,32,0)-'TRADE IN'!$F470))</f>
        <v>5149</v>
      </c>
      <c r="AI470" s="45">
        <f>IF(VLOOKUP($C470,REV!$C:$AL,33,0)-'TRADE IN'!$F470=0,"",(VLOOKUP($C470,REV!$C:$AL,33,0)-'TRADE IN'!$F470))</f>
        <v>5149</v>
      </c>
      <c r="AJ470" s="45">
        <f>IF(VLOOKUP($C470,REV!$C:$AL,34,0)-'TRADE IN'!$F470=0,"",(VLOOKUP($C470,REV!$C:$AL,34,0)-'TRADE IN'!$F470))</f>
        <v>5149</v>
      </c>
      <c r="AK470" s="45">
        <f>IF(VLOOKUP($C470,REV!$C:$AL,35,0)-'TRADE IN'!$F470=0,"",(VLOOKUP($C470,REV!$C:$AL,35,0)-'TRADE IN'!$F470))</f>
        <v>5149</v>
      </c>
      <c r="AL470" s="45">
        <f>IF(VLOOKUP($C470,REV!$C:$AL,36,0)-'TRADE IN'!$F470=0,"",(VLOOKUP($C470,REV!$C:$AL,36,0)-'TRADE IN'!$F470))</f>
        <v>4349</v>
      </c>
      <c r="AM470" s="45"/>
      <c r="AN470" s="45"/>
      <c r="AO470" s="45"/>
      <c r="AP470" s="45"/>
      <c r="AQ470" s="45"/>
      <c r="AR470" s="45"/>
      <c r="AS470" s="45"/>
      <c r="AT470" s="45"/>
      <c r="AU470" s="45"/>
      <c r="AV470" s="47"/>
      <c r="AW470" s="48" t="str">
        <f>REV!AW470</f>
        <v>01.12.2026</v>
      </c>
      <c r="AX470" s="153" t="str">
        <f>VLOOKUP(C470,REV!C:AX,48,0)</f>
        <v>5G</v>
      </c>
    </row>
    <row r="471" spans="1:50" ht="22.5" customHeight="1">
      <c r="A471" s="41" t="s">
        <v>63</v>
      </c>
      <c r="B471" s="42" t="s">
        <v>64</v>
      </c>
      <c r="C471" s="43">
        <v>4017734</v>
      </c>
      <c r="D471" s="58" t="s">
        <v>673</v>
      </c>
      <c r="E471" s="58" t="s">
        <v>678</v>
      </c>
      <c r="F471" s="45">
        <v>1850</v>
      </c>
      <c r="G471" s="45"/>
      <c r="H471" s="45"/>
      <c r="I471" s="45"/>
      <c r="J471" s="46">
        <f>IF(VLOOKUP($C471,REV!$C:$AA,8,0)-'TRADE IN'!$F471=0,"",(VLOOKUP($C471,REV!$C:$AA,8,0)-'TRADE IN'!$F471))</f>
        <v>6149</v>
      </c>
      <c r="K471" s="46">
        <f>IF(VLOOKUP($C471,REV!$C:$AA,9,0)-'TRADE IN'!$F471=0,"",(VLOOKUP($C471,REV!$C:$AA,9,0)-'TRADE IN'!$F471))</f>
        <v>6149</v>
      </c>
      <c r="L471" s="46">
        <f>IF(VLOOKUP($C471,REV!$C:$AA,10,0)-'TRADE IN'!$F471=0,"",(VLOOKUP($C471,REV!$C:$AA,10,0)-'TRADE IN'!$F471))</f>
        <v>6149</v>
      </c>
      <c r="M471" s="46">
        <f>IF(VLOOKUP($C471,REV!$C:$AA,11,0)-'TRADE IN'!$F471=0,"",(VLOOKUP($C471,REV!$C:$AA,11,0)-'TRADE IN'!$F471))</f>
        <v>6149</v>
      </c>
      <c r="N471" s="46">
        <f>IF(VLOOKUP($C471,REV!$C:$AA,12,0)-'TRADE IN'!$F471=0,"",(VLOOKUP($C471,REV!$C:$AA,12,0)-'TRADE IN'!$F471))</f>
        <v>6149</v>
      </c>
      <c r="O471" s="46">
        <f>IF(VLOOKUP($C471,REV!$C:$AA,13,0)-'TRADE IN'!$F471=0,"",(VLOOKUP($C471,REV!$C:$AA,13,0)-'TRADE IN'!$F471))</f>
        <v>5949</v>
      </c>
      <c r="P471" s="46">
        <f>IF(VLOOKUP($C471,REV!$C:$AA,14,0)-'TRADE IN'!$F471=0,"",(VLOOKUP($C471,REV!$C:$AA,14,0)-'TRADE IN'!$F471))</f>
        <v>5849</v>
      </c>
      <c r="Q471" s="46">
        <f>IF(VLOOKUP($C471,REV!$C:$AA,15,0)-'TRADE IN'!$F471=0,"",(VLOOKUP($C471,REV!$C:$AA,15,0)-'TRADE IN'!$F471))</f>
        <v>5149</v>
      </c>
      <c r="R471" s="46">
        <f>IF(VLOOKUP($C471,REV!$C:$AA,16,0)-'TRADE IN'!$F471=0,"",(VLOOKUP($C471,REV!$C:$AA,16,0)-'TRADE IN'!$F471))</f>
        <v>5949</v>
      </c>
      <c r="S471" s="46">
        <f>IF(VLOOKUP($C471,REV!$C:$AA,17,0)-'TRADE IN'!$F471=0,"",(VLOOKUP($C471,REV!$C:$AA,17,0)-'TRADE IN'!$F471))</f>
        <v>5849</v>
      </c>
      <c r="T471" s="46">
        <f>IF(VLOOKUP($C471,REV!$C:$AA,18,0)-'TRADE IN'!$F471=0,"",(VLOOKUP($C471,REV!$C:$AA,18,0)-'TRADE IN'!$F471))</f>
        <v>5149</v>
      </c>
      <c r="U471" s="46">
        <f>IF(VLOOKUP($C471,REV!$C:$AA,19,0)-'TRADE IN'!$F471=0,"",(VLOOKUP($C471,REV!$C:$AA,19,0)-'TRADE IN'!$F471))</f>
        <v>5149</v>
      </c>
      <c r="V471" s="46">
        <f>IF(VLOOKUP($C471,REV!$C:$AA,20,0)-'TRADE IN'!$F471=0,"",(VLOOKUP($C471,REV!$C:$AA,20,0)-'TRADE IN'!$F471))</f>
        <v>5149</v>
      </c>
      <c r="W471" s="46">
        <f>IF(VLOOKUP($C471,REV!$C:$AA,21,0)-'TRADE IN'!$F471=0,"",(VLOOKUP($C471,REV!$C:$AA,21,0)-'TRADE IN'!$F471))</f>
        <v>5149</v>
      </c>
      <c r="X471" s="46">
        <f>IF(VLOOKUP($C471,REV!$C:$AA,22,0)-'TRADE IN'!$F471=0,"",(VLOOKUP($C471,REV!$C:$AA,22,0)-'TRADE IN'!$F471))</f>
        <v>5049</v>
      </c>
      <c r="Y471" s="46">
        <f>IF(VLOOKUP($C471,REV!$C:$AA,23,0)-'TRADE IN'!$F471=0,"",(VLOOKUP($C471,REV!$C:$AA,23,0)-'TRADE IN'!$F471))</f>
        <v>4349</v>
      </c>
      <c r="Z471" s="46">
        <f>IF(VLOOKUP($C471,REV!$C:$AA,24,0)-'TRADE IN'!$F471=0,"",(VLOOKUP($C471,REV!$C:$AA,24,0)-'TRADE IN'!$F471))</f>
        <v>4349</v>
      </c>
      <c r="AA471" s="46">
        <f>IF(VLOOKUP($C471,REV!$C:$AA,25,0)-'TRADE IN'!$F471=0,"",(VLOOKUP($C471,REV!$C:$AA,25,0)-'TRADE IN'!$F471))</f>
        <v>4149</v>
      </c>
      <c r="AB471" s="45">
        <f>IF(VLOOKUP($C471,REV!$C:$AL,27,0)-'TRADE IN'!$F471=0,"",(VLOOKUP($C471,REV!$C:$AL,27,0)-'TRADE IN'!$F471))</f>
        <v>6149</v>
      </c>
      <c r="AC471" s="45">
        <f>IF(VLOOKUP($C471,REV!$C:$AL,28,0)-'TRADE IN'!$F471=0,"",(VLOOKUP($C471,REV!$C:$AL,28,0)-'TRADE IN'!$F471))</f>
        <v>6149</v>
      </c>
      <c r="AD471" s="45">
        <f>IF(VLOOKUP($C471,REV!$C:$AL,29,0)-'TRADE IN'!$F471=0,"",(VLOOKUP($C471,REV!$C:$AL,29,0)-'TRADE IN'!$F471))</f>
        <v>6149</v>
      </c>
      <c r="AE471" s="45">
        <f>IF(VLOOKUP($C471,REV!$C:$AL,30,0)-'TRADE IN'!$F471=0,"",(VLOOKUP($C471,REV!$C:$AL,30,0)-'TRADE IN'!$F471))</f>
        <v>5949</v>
      </c>
      <c r="AF471" s="45">
        <f>IF(VLOOKUP($C471,REV!$C:$AL,31,0)-'TRADE IN'!$F471=0,"",(VLOOKUP($C471,REV!$C:$AL,31,0)-'TRADE IN'!$F471))</f>
        <v>5849</v>
      </c>
      <c r="AG471" s="45">
        <f>IF(VLOOKUP($C471,REV!$C:$AL,31,0)-'TRADE IN'!$F471=0,"",(VLOOKUP($C471,REV!$C:$AL,31,0)-'TRADE IN'!$F471))</f>
        <v>5849</v>
      </c>
      <c r="AH471" s="45">
        <f>IF(VLOOKUP($C471,REV!$C:$AL,32,0)-'TRADE IN'!$F471=0,"",(VLOOKUP($C471,REV!$C:$AL,32,0)-'TRADE IN'!$F471))</f>
        <v>5149</v>
      </c>
      <c r="AI471" s="45">
        <f>IF(VLOOKUP($C471,REV!$C:$AL,33,0)-'TRADE IN'!$F471=0,"",(VLOOKUP($C471,REV!$C:$AL,33,0)-'TRADE IN'!$F471))</f>
        <v>5149</v>
      </c>
      <c r="AJ471" s="45">
        <f>IF(VLOOKUP($C471,REV!$C:$AL,34,0)-'TRADE IN'!$F471=0,"",(VLOOKUP($C471,REV!$C:$AL,34,0)-'TRADE IN'!$F471))</f>
        <v>5149</v>
      </c>
      <c r="AK471" s="45">
        <f>IF(VLOOKUP($C471,REV!$C:$AL,35,0)-'TRADE IN'!$F471=0,"",(VLOOKUP($C471,REV!$C:$AL,35,0)-'TRADE IN'!$F471))</f>
        <v>5149</v>
      </c>
      <c r="AL471" s="45">
        <f>IF(VLOOKUP($C471,REV!$C:$AL,36,0)-'TRADE IN'!$F471=0,"",(VLOOKUP($C471,REV!$C:$AL,36,0)-'TRADE IN'!$F471))</f>
        <v>4349</v>
      </c>
      <c r="AM471" s="45"/>
      <c r="AN471" s="45"/>
      <c r="AO471" s="45"/>
      <c r="AP471" s="45"/>
      <c r="AQ471" s="45"/>
      <c r="AR471" s="45"/>
      <c r="AS471" s="45"/>
      <c r="AT471" s="45"/>
      <c r="AU471" s="45"/>
      <c r="AV471" s="47"/>
      <c r="AW471" s="48" t="str">
        <f>REV!AW471</f>
        <v>01.12.2026</v>
      </c>
      <c r="AX471" s="153" t="str">
        <f>VLOOKUP(C471,REV!C:AX,48,0)</f>
        <v>5G</v>
      </c>
    </row>
    <row r="472" spans="1:50" ht="22.5" customHeight="1">
      <c r="A472" s="41" t="s">
        <v>63</v>
      </c>
      <c r="B472" s="42" t="s">
        <v>64</v>
      </c>
      <c r="C472" s="43">
        <v>4017728</v>
      </c>
      <c r="D472" s="58" t="s">
        <v>673</v>
      </c>
      <c r="E472" s="58" t="s">
        <v>679</v>
      </c>
      <c r="F472" s="45">
        <v>1850</v>
      </c>
      <c r="G472" s="45"/>
      <c r="H472" s="45"/>
      <c r="I472" s="45"/>
      <c r="J472" s="46">
        <f>IF(VLOOKUP($C472,REV!$C:$AA,8,0)-'TRADE IN'!$F472=0,"",(VLOOKUP($C472,REV!$C:$AA,8,0)-'TRADE IN'!$F472))</f>
        <v>6149</v>
      </c>
      <c r="K472" s="46">
        <f>IF(VLOOKUP($C472,REV!$C:$AA,9,0)-'TRADE IN'!$F472=0,"",(VLOOKUP($C472,REV!$C:$AA,9,0)-'TRADE IN'!$F472))</f>
        <v>6149</v>
      </c>
      <c r="L472" s="46">
        <f>IF(VLOOKUP($C472,REV!$C:$AA,10,0)-'TRADE IN'!$F472=0,"",(VLOOKUP($C472,REV!$C:$AA,10,0)-'TRADE IN'!$F472))</f>
        <v>6149</v>
      </c>
      <c r="M472" s="46">
        <f>IF(VLOOKUP($C472,REV!$C:$AA,11,0)-'TRADE IN'!$F472=0,"",(VLOOKUP($C472,REV!$C:$AA,11,0)-'TRADE IN'!$F472))</f>
        <v>6149</v>
      </c>
      <c r="N472" s="46">
        <f>IF(VLOOKUP($C472,REV!$C:$AA,12,0)-'TRADE IN'!$F472=0,"",(VLOOKUP($C472,REV!$C:$AA,12,0)-'TRADE IN'!$F472))</f>
        <v>6149</v>
      </c>
      <c r="O472" s="46">
        <f>IF(VLOOKUP($C472,REV!$C:$AA,13,0)-'TRADE IN'!$F472=0,"",(VLOOKUP($C472,REV!$C:$AA,13,0)-'TRADE IN'!$F472))</f>
        <v>5949</v>
      </c>
      <c r="P472" s="46">
        <f>IF(VLOOKUP($C472,REV!$C:$AA,14,0)-'TRADE IN'!$F472=0,"",(VLOOKUP($C472,REV!$C:$AA,14,0)-'TRADE IN'!$F472))</f>
        <v>5849</v>
      </c>
      <c r="Q472" s="46">
        <f>IF(VLOOKUP($C472,REV!$C:$AA,15,0)-'TRADE IN'!$F472=0,"",(VLOOKUP($C472,REV!$C:$AA,15,0)-'TRADE IN'!$F472))</f>
        <v>5149</v>
      </c>
      <c r="R472" s="46">
        <f>IF(VLOOKUP($C472,REV!$C:$AA,16,0)-'TRADE IN'!$F472=0,"",(VLOOKUP($C472,REV!$C:$AA,16,0)-'TRADE IN'!$F472))</f>
        <v>5949</v>
      </c>
      <c r="S472" s="46">
        <f>IF(VLOOKUP($C472,REV!$C:$AA,17,0)-'TRADE IN'!$F472=0,"",(VLOOKUP($C472,REV!$C:$AA,17,0)-'TRADE IN'!$F472))</f>
        <v>5849</v>
      </c>
      <c r="T472" s="46">
        <f>IF(VLOOKUP($C472,REV!$C:$AA,18,0)-'TRADE IN'!$F472=0,"",(VLOOKUP($C472,REV!$C:$AA,18,0)-'TRADE IN'!$F472))</f>
        <v>5149</v>
      </c>
      <c r="U472" s="46">
        <f>IF(VLOOKUP($C472,REV!$C:$AA,19,0)-'TRADE IN'!$F472=0,"",(VLOOKUP($C472,REV!$C:$AA,19,0)-'TRADE IN'!$F472))</f>
        <v>5149</v>
      </c>
      <c r="V472" s="46">
        <f>IF(VLOOKUP($C472,REV!$C:$AA,20,0)-'TRADE IN'!$F472=0,"",(VLOOKUP($C472,REV!$C:$AA,20,0)-'TRADE IN'!$F472))</f>
        <v>5149</v>
      </c>
      <c r="W472" s="46">
        <f>IF(VLOOKUP($C472,REV!$C:$AA,21,0)-'TRADE IN'!$F472=0,"",(VLOOKUP($C472,REV!$C:$AA,21,0)-'TRADE IN'!$F472))</f>
        <v>5149</v>
      </c>
      <c r="X472" s="46">
        <f>IF(VLOOKUP($C472,REV!$C:$AA,22,0)-'TRADE IN'!$F472=0,"",(VLOOKUP($C472,REV!$C:$AA,22,0)-'TRADE IN'!$F472))</f>
        <v>5049</v>
      </c>
      <c r="Y472" s="46">
        <f>IF(VLOOKUP($C472,REV!$C:$AA,23,0)-'TRADE IN'!$F472=0,"",(VLOOKUP($C472,REV!$C:$AA,23,0)-'TRADE IN'!$F472))</f>
        <v>4349</v>
      </c>
      <c r="Z472" s="46">
        <f>IF(VLOOKUP($C472,REV!$C:$AA,24,0)-'TRADE IN'!$F472=0,"",(VLOOKUP($C472,REV!$C:$AA,24,0)-'TRADE IN'!$F472))</f>
        <v>4349</v>
      </c>
      <c r="AA472" s="46">
        <f>IF(VLOOKUP($C472,REV!$C:$AA,25,0)-'TRADE IN'!$F472=0,"",(VLOOKUP($C472,REV!$C:$AA,25,0)-'TRADE IN'!$F472))</f>
        <v>4149</v>
      </c>
      <c r="AB472" s="45">
        <f>IF(VLOOKUP($C472,REV!$C:$AL,27,0)-'TRADE IN'!$F472=0,"",(VLOOKUP($C472,REV!$C:$AL,27,0)-'TRADE IN'!$F472))</f>
        <v>6149</v>
      </c>
      <c r="AC472" s="45">
        <f>IF(VLOOKUP($C472,REV!$C:$AL,28,0)-'TRADE IN'!$F472=0,"",(VLOOKUP($C472,REV!$C:$AL,28,0)-'TRADE IN'!$F472))</f>
        <v>6149</v>
      </c>
      <c r="AD472" s="45">
        <f>IF(VLOOKUP($C472,REV!$C:$AL,29,0)-'TRADE IN'!$F472=0,"",(VLOOKUP($C472,REV!$C:$AL,29,0)-'TRADE IN'!$F472))</f>
        <v>6149</v>
      </c>
      <c r="AE472" s="45">
        <f>IF(VLOOKUP($C472,REV!$C:$AL,30,0)-'TRADE IN'!$F472=0,"",(VLOOKUP($C472,REV!$C:$AL,30,0)-'TRADE IN'!$F472))</f>
        <v>5949</v>
      </c>
      <c r="AF472" s="45">
        <f>IF(VLOOKUP($C472,REV!$C:$AL,31,0)-'TRADE IN'!$F472=0,"",(VLOOKUP($C472,REV!$C:$AL,31,0)-'TRADE IN'!$F472))</f>
        <v>5849</v>
      </c>
      <c r="AG472" s="45">
        <f>IF(VLOOKUP($C472,REV!$C:$AL,31,0)-'TRADE IN'!$F472=0,"",(VLOOKUP($C472,REV!$C:$AL,31,0)-'TRADE IN'!$F472))</f>
        <v>5849</v>
      </c>
      <c r="AH472" s="45">
        <f>IF(VLOOKUP($C472,REV!$C:$AL,32,0)-'TRADE IN'!$F472=0,"",(VLOOKUP($C472,REV!$C:$AL,32,0)-'TRADE IN'!$F472))</f>
        <v>5149</v>
      </c>
      <c r="AI472" s="45">
        <f>IF(VLOOKUP($C472,REV!$C:$AL,33,0)-'TRADE IN'!$F472=0,"",(VLOOKUP($C472,REV!$C:$AL,33,0)-'TRADE IN'!$F472))</f>
        <v>5149</v>
      </c>
      <c r="AJ472" s="45">
        <f>IF(VLOOKUP($C472,REV!$C:$AL,34,0)-'TRADE IN'!$F472=0,"",(VLOOKUP($C472,REV!$C:$AL,34,0)-'TRADE IN'!$F472))</f>
        <v>5149</v>
      </c>
      <c r="AK472" s="45">
        <f>IF(VLOOKUP($C472,REV!$C:$AL,35,0)-'TRADE IN'!$F472=0,"",(VLOOKUP($C472,REV!$C:$AL,35,0)-'TRADE IN'!$F472))</f>
        <v>5149</v>
      </c>
      <c r="AL472" s="45">
        <f>IF(VLOOKUP($C472,REV!$C:$AL,36,0)-'TRADE IN'!$F472=0,"",(VLOOKUP($C472,REV!$C:$AL,36,0)-'TRADE IN'!$F472))</f>
        <v>4349</v>
      </c>
      <c r="AM472" s="45"/>
      <c r="AN472" s="45"/>
      <c r="AO472" s="45"/>
      <c r="AP472" s="45"/>
      <c r="AQ472" s="45"/>
      <c r="AR472" s="45"/>
      <c r="AS472" s="45"/>
      <c r="AT472" s="45"/>
      <c r="AU472" s="45"/>
      <c r="AV472" s="47"/>
      <c r="AW472" s="48" t="str">
        <f>REV!AW472</f>
        <v>01.12.2026</v>
      </c>
      <c r="AX472" s="153" t="str">
        <f>VLOOKUP(C472,REV!C:AX,48,0)</f>
        <v>5G</v>
      </c>
    </row>
    <row r="473" spans="1:50" ht="22.5" customHeight="1">
      <c r="A473" s="41" t="s">
        <v>63</v>
      </c>
      <c r="B473" s="42" t="s">
        <v>64</v>
      </c>
      <c r="C473" s="43">
        <v>4017611</v>
      </c>
      <c r="D473" s="58" t="s">
        <v>680</v>
      </c>
      <c r="E473" s="58" t="s">
        <v>681</v>
      </c>
      <c r="F473" s="45">
        <v>1850</v>
      </c>
      <c r="G473" s="45"/>
      <c r="H473" s="45"/>
      <c r="I473" s="45"/>
      <c r="J473" s="46">
        <f>IF(VLOOKUP($C473,REV!$C:$AA,8,0)-'TRADE IN'!$F473=0,"",(VLOOKUP($C473,REV!$C:$AA,8,0)-'TRADE IN'!$F473))</f>
        <v>7649</v>
      </c>
      <c r="K473" s="46">
        <f>IF(VLOOKUP($C473,REV!$C:$AA,9,0)-'TRADE IN'!$F473=0,"",(VLOOKUP($C473,REV!$C:$AA,9,0)-'TRADE IN'!$F473))</f>
        <v>7649</v>
      </c>
      <c r="L473" s="46">
        <f>IF(VLOOKUP($C473,REV!$C:$AA,10,0)-'TRADE IN'!$F473=0,"",(VLOOKUP($C473,REV!$C:$AA,10,0)-'TRADE IN'!$F473))</f>
        <v>7649</v>
      </c>
      <c r="M473" s="46">
        <f>IF(VLOOKUP($C473,REV!$C:$AA,11,0)-'TRADE IN'!$F473=0,"",(VLOOKUP($C473,REV!$C:$AA,11,0)-'TRADE IN'!$F473))</f>
        <v>7649</v>
      </c>
      <c r="N473" s="46">
        <f>IF(VLOOKUP($C473,REV!$C:$AA,12,0)-'TRADE IN'!$F473=0,"",(VLOOKUP($C473,REV!$C:$AA,12,0)-'TRADE IN'!$F473))</f>
        <v>7649</v>
      </c>
      <c r="O473" s="46">
        <f>IF(VLOOKUP($C473,REV!$C:$AA,13,0)-'TRADE IN'!$F473=0,"",(VLOOKUP($C473,REV!$C:$AA,13,0)-'TRADE IN'!$F473))</f>
        <v>7549</v>
      </c>
      <c r="P473" s="46">
        <f>IF(VLOOKUP($C473,REV!$C:$AA,14,0)-'TRADE IN'!$F473=0,"",(VLOOKUP($C473,REV!$C:$AA,14,0)-'TRADE IN'!$F473))</f>
        <v>7449</v>
      </c>
      <c r="Q473" s="46">
        <f>IF(VLOOKUP($C473,REV!$C:$AA,15,0)-'TRADE IN'!$F473=0,"",(VLOOKUP($C473,REV!$C:$AA,15,0)-'TRADE IN'!$F473))</f>
        <v>6949</v>
      </c>
      <c r="R473" s="46">
        <f>IF(VLOOKUP($C473,REV!$C:$AA,16,0)-'TRADE IN'!$F473=0,"",(VLOOKUP($C473,REV!$C:$AA,16,0)-'TRADE IN'!$F473))</f>
        <v>7549</v>
      </c>
      <c r="S473" s="46">
        <f>IF(VLOOKUP($C473,REV!$C:$AA,17,0)-'TRADE IN'!$F473=0,"",(VLOOKUP($C473,REV!$C:$AA,17,0)-'TRADE IN'!$F473))</f>
        <v>7449</v>
      </c>
      <c r="T473" s="46">
        <f>IF(VLOOKUP($C473,REV!$C:$AA,18,0)-'TRADE IN'!$F473=0,"",(VLOOKUP($C473,REV!$C:$AA,18,0)-'TRADE IN'!$F473))</f>
        <v>6949</v>
      </c>
      <c r="U473" s="46">
        <f>IF(VLOOKUP($C473,REV!$C:$AA,19,0)-'TRADE IN'!$F473=0,"",(VLOOKUP($C473,REV!$C:$AA,19,0)-'TRADE IN'!$F473))</f>
        <v>6949</v>
      </c>
      <c r="V473" s="46">
        <f>IF(VLOOKUP($C473,REV!$C:$AA,20,0)-'TRADE IN'!$F473=0,"",(VLOOKUP($C473,REV!$C:$AA,20,0)-'TRADE IN'!$F473))</f>
        <v>6949</v>
      </c>
      <c r="W473" s="46">
        <f>IF(VLOOKUP($C473,REV!$C:$AA,21,0)-'TRADE IN'!$F473=0,"",(VLOOKUP($C473,REV!$C:$AA,21,0)-'TRADE IN'!$F473))</f>
        <v>6949</v>
      </c>
      <c r="X473" s="46">
        <f>IF(VLOOKUP($C473,REV!$C:$AA,22,0)-'TRADE IN'!$F473=0,"",(VLOOKUP($C473,REV!$C:$AA,22,0)-'TRADE IN'!$F473))</f>
        <v>6849</v>
      </c>
      <c r="Y473" s="46">
        <f>IF(VLOOKUP($C473,REV!$C:$AA,23,0)-'TRADE IN'!$F473=0,"",(VLOOKUP($C473,REV!$C:$AA,23,0)-'TRADE IN'!$F473))</f>
        <v>5349</v>
      </c>
      <c r="Z473" s="46">
        <f>IF(VLOOKUP($C473,REV!$C:$AA,24,0)-'TRADE IN'!$F473=0,"",(VLOOKUP($C473,REV!$C:$AA,24,0)-'TRADE IN'!$F473))</f>
        <v>5349</v>
      </c>
      <c r="AA473" s="46">
        <f>IF(VLOOKUP($C473,REV!$C:$AA,25,0)-'TRADE IN'!$F473=0,"",(VLOOKUP($C473,REV!$C:$AA,25,0)-'TRADE IN'!$F473))</f>
        <v>5149</v>
      </c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7"/>
      <c r="AW473" s="48" t="str">
        <f>REV!AW473</f>
        <v>01.12.2026</v>
      </c>
      <c r="AX473" s="153" t="str">
        <f>VLOOKUP(C473,REV!C:AX,48,0)</f>
        <v>5G</v>
      </c>
    </row>
    <row r="474" spans="1:50" ht="22.5" customHeight="1">
      <c r="A474" s="41" t="s">
        <v>63</v>
      </c>
      <c r="B474" s="42" t="s">
        <v>64</v>
      </c>
      <c r="C474" s="43">
        <v>4017613</v>
      </c>
      <c r="D474" s="58" t="s">
        <v>680</v>
      </c>
      <c r="E474" s="58" t="s">
        <v>682</v>
      </c>
      <c r="F474" s="45">
        <v>1850</v>
      </c>
      <c r="G474" s="45"/>
      <c r="H474" s="45"/>
      <c r="I474" s="45"/>
      <c r="J474" s="46">
        <f>IF(VLOOKUP($C474,REV!$C:$AA,8,0)-'TRADE IN'!$F474=0,"",(VLOOKUP($C474,REV!$C:$AA,8,0)-'TRADE IN'!$F474))</f>
        <v>7649</v>
      </c>
      <c r="K474" s="46">
        <f>IF(VLOOKUP($C474,REV!$C:$AA,9,0)-'TRADE IN'!$F474=0,"",(VLOOKUP($C474,REV!$C:$AA,9,0)-'TRADE IN'!$F474))</f>
        <v>7649</v>
      </c>
      <c r="L474" s="46">
        <f>IF(VLOOKUP($C474,REV!$C:$AA,10,0)-'TRADE IN'!$F474=0,"",(VLOOKUP($C474,REV!$C:$AA,10,0)-'TRADE IN'!$F474))</f>
        <v>7649</v>
      </c>
      <c r="M474" s="46">
        <f>IF(VLOOKUP($C474,REV!$C:$AA,11,0)-'TRADE IN'!$F474=0,"",(VLOOKUP($C474,REV!$C:$AA,11,0)-'TRADE IN'!$F474))</f>
        <v>7649</v>
      </c>
      <c r="N474" s="46">
        <f>IF(VLOOKUP($C474,REV!$C:$AA,12,0)-'TRADE IN'!$F474=0,"",(VLOOKUP($C474,REV!$C:$AA,12,0)-'TRADE IN'!$F474))</f>
        <v>7649</v>
      </c>
      <c r="O474" s="46">
        <f>IF(VLOOKUP($C474,REV!$C:$AA,13,0)-'TRADE IN'!$F474=0,"",(VLOOKUP($C474,REV!$C:$AA,13,0)-'TRADE IN'!$F474))</f>
        <v>7549</v>
      </c>
      <c r="P474" s="46">
        <f>IF(VLOOKUP($C474,REV!$C:$AA,14,0)-'TRADE IN'!$F474=0,"",(VLOOKUP($C474,REV!$C:$AA,14,0)-'TRADE IN'!$F474))</f>
        <v>7449</v>
      </c>
      <c r="Q474" s="46">
        <f>IF(VLOOKUP($C474,REV!$C:$AA,15,0)-'TRADE IN'!$F474=0,"",(VLOOKUP($C474,REV!$C:$AA,15,0)-'TRADE IN'!$F474))</f>
        <v>6949</v>
      </c>
      <c r="R474" s="46">
        <f>IF(VLOOKUP($C474,REV!$C:$AA,16,0)-'TRADE IN'!$F474=0,"",(VLOOKUP($C474,REV!$C:$AA,16,0)-'TRADE IN'!$F474))</f>
        <v>7549</v>
      </c>
      <c r="S474" s="46">
        <f>IF(VLOOKUP($C474,REV!$C:$AA,17,0)-'TRADE IN'!$F474=0,"",(VLOOKUP($C474,REV!$C:$AA,17,0)-'TRADE IN'!$F474))</f>
        <v>7449</v>
      </c>
      <c r="T474" s="46">
        <f>IF(VLOOKUP($C474,REV!$C:$AA,18,0)-'TRADE IN'!$F474=0,"",(VLOOKUP($C474,REV!$C:$AA,18,0)-'TRADE IN'!$F474))</f>
        <v>6949</v>
      </c>
      <c r="U474" s="46">
        <f>IF(VLOOKUP($C474,REV!$C:$AA,19,0)-'TRADE IN'!$F474=0,"",(VLOOKUP($C474,REV!$C:$AA,19,0)-'TRADE IN'!$F474))</f>
        <v>6949</v>
      </c>
      <c r="V474" s="46">
        <f>IF(VLOOKUP($C474,REV!$C:$AA,20,0)-'TRADE IN'!$F474=0,"",(VLOOKUP($C474,REV!$C:$AA,20,0)-'TRADE IN'!$F474))</f>
        <v>6949</v>
      </c>
      <c r="W474" s="46">
        <f>IF(VLOOKUP($C474,REV!$C:$AA,21,0)-'TRADE IN'!$F474=0,"",(VLOOKUP($C474,REV!$C:$AA,21,0)-'TRADE IN'!$F474))</f>
        <v>6949</v>
      </c>
      <c r="X474" s="46">
        <f>IF(VLOOKUP($C474,REV!$C:$AA,22,0)-'TRADE IN'!$F474=0,"",(VLOOKUP($C474,REV!$C:$AA,22,0)-'TRADE IN'!$F474))</f>
        <v>6849</v>
      </c>
      <c r="Y474" s="46">
        <f>IF(VLOOKUP($C474,REV!$C:$AA,23,0)-'TRADE IN'!$F474=0,"",(VLOOKUP($C474,REV!$C:$AA,23,0)-'TRADE IN'!$F474))</f>
        <v>5349</v>
      </c>
      <c r="Z474" s="46">
        <f>IF(VLOOKUP($C474,REV!$C:$AA,24,0)-'TRADE IN'!$F474=0,"",(VLOOKUP($C474,REV!$C:$AA,24,0)-'TRADE IN'!$F474))</f>
        <v>5349</v>
      </c>
      <c r="AA474" s="46">
        <f>IF(VLOOKUP($C474,REV!$C:$AA,25,0)-'TRADE IN'!$F474=0,"",(VLOOKUP($C474,REV!$C:$AA,25,0)-'TRADE IN'!$F474))</f>
        <v>5149</v>
      </c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7"/>
      <c r="AW474" s="48" t="str">
        <f>REV!AW474</f>
        <v>01.12.2026</v>
      </c>
      <c r="AX474" s="153" t="str">
        <f>VLOOKUP(C474,REV!C:AX,48,0)</f>
        <v>5G</v>
      </c>
    </row>
    <row r="475" spans="1:50" ht="22.5" customHeight="1">
      <c r="A475" s="41" t="s">
        <v>63</v>
      </c>
      <c r="B475" s="42" t="s">
        <v>64</v>
      </c>
      <c r="C475" s="43">
        <v>4017723</v>
      </c>
      <c r="D475" s="58" t="s">
        <v>680</v>
      </c>
      <c r="E475" s="58" t="s">
        <v>683</v>
      </c>
      <c r="F475" s="45">
        <v>1850</v>
      </c>
      <c r="G475" s="45"/>
      <c r="H475" s="45"/>
      <c r="I475" s="45"/>
      <c r="J475" s="46">
        <f>IF(VLOOKUP($C475,REV!$C:$AA,8,0)-'TRADE IN'!$F475=0,"",(VLOOKUP($C475,REV!$C:$AA,8,0)-'TRADE IN'!$F475))</f>
        <v>7649</v>
      </c>
      <c r="K475" s="46">
        <f>IF(VLOOKUP($C475,REV!$C:$AA,9,0)-'TRADE IN'!$F475=0,"",(VLOOKUP($C475,REV!$C:$AA,9,0)-'TRADE IN'!$F475))</f>
        <v>7649</v>
      </c>
      <c r="L475" s="46">
        <f>IF(VLOOKUP($C475,REV!$C:$AA,10,0)-'TRADE IN'!$F475=0,"",(VLOOKUP($C475,REV!$C:$AA,10,0)-'TRADE IN'!$F475))</f>
        <v>7649</v>
      </c>
      <c r="M475" s="46">
        <f>IF(VLOOKUP($C475,REV!$C:$AA,11,0)-'TRADE IN'!$F475=0,"",(VLOOKUP($C475,REV!$C:$AA,11,0)-'TRADE IN'!$F475))</f>
        <v>7649</v>
      </c>
      <c r="N475" s="46">
        <f>IF(VLOOKUP($C475,REV!$C:$AA,12,0)-'TRADE IN'!$F475=0,"",(VLOOKUP($C475,REV!$C:$AA,12,0)-'TRADE IN'!$F475))</f>
        <v>7649</v>
      </c>
      <c r="O475" s="46">
        <f>IF(VLOOKUP($C475,REV!$C:$AA,13,0)-'TRADE IN'!$F475=0,"",(VLOOKUP($C475,REV!$C:$AA,13,0)-'TRADE IN'!$F475))</f>
        <v>7549</v>
      </c>
      <c r="P475" s="46">
        <f>IF(VLOOKUP($C475,REV!$C:$AA,14,0)-'TRADE IN'!$F475=0,"",(VLOOKUP($C475,REV!$C:$AA,14,0)-'TRADE IN'!$F475))</f>
        <v>7449</v>
      </c>
      <c r="Q475" s="46">
        <f>IF(VLOOKUP($C475,REV!$C:$AA,15,0)-'TRADE IN'!$F475=0,"",(VLOOKUP($C475,REV!$C:$AA,15,0)-'TRADE IN'!$F475))</f>
        <v>6949</v>
      </c>
      <c r="R475" s="46">
        <f>IF(VLOOKUP($C475,REV!$C:$AA,16,0)-'TRADE IN'!$F475=0,"",(VLOOKUP($C475,REV!$C:$AA,16,0)-'TRADE IN'!$F475))</f>
        <v>7549</v>
      </c>
      <c r="S475" s="46">
        <f>IF(VLOOKUP($C475,REV!$C:$AA,17,0)-'TRADE IN'!$F475=0,"",(VLOOKUP($C475,REV!$C:$AA,17,0)-'TRADE IN'!$F475))</f>
        <v>7449</v>
      </c>
      <c r="T475" s="46">
        <f>IF(VLOOKUP($C475,REV!$C:$AA,18,0)-'TRADE IN'!$F475=0,"",(VLOOKUP($C475,REV!$C:$AA,18,0)-'TRADE IN'!$F475))</f>
        <v>6949</v>
      </c>
      <c r="U475" s="46">
        <f>IF(VLOOKUP($C475,REV!$C:$AA,19,0)-'TRADE IN'!$F475=0,"",(VLOOKUP($C475,REV!$C:$AA,19,0)-'TRADE IN'!$F475))</f>
        <v>6949</v>
      </c>
      <c r="V475" s="46">
        <f>IF(VLOOKUP($C475,REV!$C:$AA,20,0)-'TRADE IN'!$F475=0,"",(VLOOKUP($C475,REV!$C:$AA,20,0)-'TRADE IN'!$F475))</f>
        <v>6949</v>
      </c>
      <c r="W475" s="46">
        <f>IF(VLOOKUP($C475,REV!$C:$AA,21,0)-'TRADE IN'!$F475=0,"",(VLOOKUP($C475,REV!$C:$AA,21,0)-'TRADE IN'!$F475))</f>
        <v>6949</v>
      </c>
      <c r="X475" s="46">
        <f>IF(VLOOKUP($C475,REV!$C:$AA,22,0)-'TRADE IN'!$F475=0,"",(VLOOKUP($C475,REV!$C:$AA,22,0)-'TRADE IN'!$F475))</f>
        <v>6849</v>
      </c>
      <c r="Y475" s="46">
        <f>IF(VLOOKUP($C475,REV!$C:$AA,23,0)-'TRADE IN'!$F475=0,"",(VLOOKUP($C475,REV!$C:$AA,23,0)-'TRADE IN'!$F475))</f>
        <v>5349</v>
      </c>
      <c r="Z475" s="46">
        <f>IF(VLOOKUP($C475,REV!$C:$AA,24,0)-'TRADE IN'!$F475=0,"",(VLOOKUP($C475,REV!$C:$AA,24,0)-'TRADE IN'!$F475))</f>
        <v>5349</v>
      </c>
      <c r="AA475" s="46">
        <f>IF(VLOOKUP($C475,REV!$C:$AA,25,0)-'TRADE IN'!$F475=0,"",(VLOOKUP($C475,REV!$C:$AA,25,0)-'TRADE IN'!$F475))</f>
        <v>5149</v>
      </c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7"/>
      <c r="AW475" s="48" t="str">
        <f>REV!AW475</f>
        <v>01.12.2026</v>
      </c>
      <c r="AX475" s="153" t="str">
        <f>VLOOKUP(C475,REV!C:AX,48,0)</f>
        <v>5G</v>
      </c>
    </row>
    <row r="476" spans="1:50" ht="22.5" customHeight="1">
      <c r="A476" s="41" t="s">
        <v>63</v>
      </c>
      <c r="B476" s="42" t="s">
        <v>64</v>
      </c>
      <c r="C476" s="43">
        <v>4017726</v>
      </c>
      <c r="D476" s="58" t="s">
        <v>680</v>
      </c>
      <c r="E476" s="58" t="s">
        <v>684</v>
      </c>
      <c r="F476" s="45">
        <v>1850</v>
      </c>
      <c r="G476" s="45"/>
      <c r="H476" s="45"/>
      <c r="I476" s="45"/>
      <c r="J476" s="46">
        <f>IF(VLOOKUP($C476,REV!$C:$AA,8,0)-'TRADE IN'!$F476=0,"",(VLOOKUP($C476,REV!$C:$AA,8,0)-'TRADE IN'!$F476))</f>
        <v>7649</v>
      </c>
      <c r="K476" s="46">
        <f>IF(VLOOKUP($C476,REV!$C:$AA,9,0)-'TRADE IN'!$F476=0,"",(VLOOKUP($C476,REV!$C:$AA,9,0)-'TRADE IN'!$F476))</f>
        <v>7649</v>
      </c>
      <c r="L476" s="46">
        <f>IF(VLOOKUP($C476,REV!$C:$AA,10,0)-'TRADE IN'!$F476=0,"",(VLOOKUP($C476,REV!$C:$AA,10,0)-'TRADE IN'!$F476))</f>
        <v>7649</v>
      </c>
      <c r="M476" s="46">
        <f>IF(VLOOKUP($C476,REV!$C:$AA,11,0)-'TRADE IN'!$F476=0,"",(VLOOKUP($C476,REV!$C:$AA,11,0)-'TRADE IN'!$F476))</f>
        <v>7649</v>
      </c>
      <c r="N476" s="46">
        <f>IF(VLOOKUP($C476,REV!$C:$AA,12,0)-'TRADE IN'!$F476=0,"",(VLOOKUP($C476,REV!$C:$AA,12,0)-'TRADE IN'!$F476))</f>
        <v>7649</v>
      </c>
      <c r="O476" s="46">
        <f>IF(VLOOKUP($C476,REV!$C:$AA,13,0)-'TRADE IN'!$F476=0,"",(VLOOKUP($C476,REV!$C:$AA,13,0)-'TRADE IN'!$F476))</f>
        <v>7549</v>
      </c>
      <c r="P476" s="46">
        <f>IF(VLOOKUP($C476,REV!$C:$AA,14,0)-'TRADE IN'!$F476=0,"",(VLOOKUP($C476,REV!$C:$AA,14,0)-'TRADE IN'!$F476))</f>
        <v>7449</v>
      </c>
      <c r="Q476" s="46">
        <f>IF(VLOOKUP($C476,REV!$C:$AA,15,0)-'TRADE IN'!$F476=0,"",(VLOOKUP($C476,REV!$C:$AA,15,0)-'TRADE IN'!$F476))</f>
        <v>6949</v>
      </c>
      <c r="R476" s="46">
        <f>IF(VLOOKUP($C476,REV!$C:$AA,16,0)-'TRADE IN'!$F476=0,"",(VLOOKUP($C476,REV!$C:$AA,16,0)-'TRADE IN'!$F476))</f>
        <v>7549</v>
      </c>
      <c r="S476" s="46">
        <f>IF(VLOOKUP($C476,REV!$C:$AA,17,0)-'TRADE IN'!$F476=0,"",(VLOOKUP($C476,REV!$C:$AA,17,0)-'TRADE IN'!$F476))</f>
        <v>7449</v>
      </c>
      <c r="T476" s="46">
        <f>IF(VLOOKUP($C476,REV!$C:$AA,18,0)-'TRADE IN'!$F476=0,"",(VLOOKUP($C476,REV!$C:$AA,18,0)-'TRADE IN'!$F476))</f>
        <v>6949</v>
      </c>
      <c r="U476" s="46">
        <f>IF(VLOOKUP($C476,REV!$C:$AA,19,0)-'TRADE IN'!$F476=0,"",(VLOOKUP($C476,REV!$C:$AA,19,0)-'TRADE IN'!$F476))</f>
        <v>6949</v>
      </c>
      <c r="V476" s="46">
        <f>IF(VLOOKUP($C476,REV!$C:$AA,20,0)-'TRADE IN'!$F476=0,"",(VLOOKUP($C476,REV!$C:$AA,20,0)-'TRADE IN'!$F476))</f>
        <v>6949</v>
      </c>
      <c r="W476" s="46">
        <f>IF(VLOOKUP($C476,REV!$C:$AA,21,0)-'TRADE IN'!$F476=0,"",(VLOOKUP($C476,REV!$C:$AA,21,0)-'TRADE IN'!$F476))</f>
        <v>6949</v>
      </c>
      <c r="X476" s="46">
        <f>IF(VLOOKUP($C476,REV!$C:$AA,22,0)-'TRADE IN'!$F476=0,"",(VLOOKUP($C476,REV!$C:$AA,22,0)-'TRADE IN'!$F476))</f>
        <v>6849</v>
      </c>
      <c r="Y476" s="46">
        <f>IF(VLOOKUP($C476,REV!$C:$AA,23,0)-'TRADE IN'!$F476=0,"",(VLOOKUP($C476,REV!$C:$AA,23,0)-'TRADE IN'!$F476))</f>
        <v>5349</v>
      </c>
      <c r="Z476" s="46">
        <f>IF(VLOOKUP($C476,REV!$C:$AA,24,0)-'TRADE IN'!$F476=0,"",(VLOOKUP($C476,REV!$C:$AA,24,0)-'TRADE IN'!$F476))</f>
        <v>5349</v>
      </c>
      <c r="AA476" s="46">
        <f>IF(VLOOKUP($C476,REV!$C:$AA,25,0)-'TRADE IN'!$F476=0,"",(VLOOKUP($C476,REV!$C:$AA,25,0)-'TRADE IN'!$F476))</f>
        <v>5149</v>
      </c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7"/>
      <c r="AW476" s="48" t="str">
        <f>REV!AW476</f>
        <v>01.12.2026</v>
      </c>
      <c r="AX476" s="153" t="str">
        <f>VLOOKUP(C476,REV!C:AX,48,0)</f>
        <v>5G</v>
      </c>
    </row>
    <row r="477" spans="1:50" ht="22.5" customHeight="1">
      <c r="A477" s="41" t="s">
        <v>63</v>
      </c>
      <c r="B477" s="42" t="s">
        <v>64</v>
      </c>
      <c r="C477" s="43">
        <v>4017730</v>
      </c>
      <c r="D477" s="58" t="s">
        <v>680</v>
      </c>
      <c r="E477" s="58" t="s">
        <v>685</v>
      </c>
      <c r="F477" s="45">
        <v>1850</v>
      </c>
      <c r="G477" s="45"/>
      <c r="H477" s="45"/>
      <c r="I477" s="45"/>
      <c r="J477" s="46">
        <f>IF(VLOOKUP($C477,REV!$C:$AA,8,0)-'TRADE IN'!$F477=0,"",(VLOOKUP($C477,REV!$C:$AA,8,0)-'TRADE IN'!$F477))</f>
        <v>7649</v>
      </c>
      <c r="K477" s="46">
        <f>IF(VLOOKUP($C477,REV!$C:$AA,9,0)-'TRADE IN'!$F477=0,"",(VLOOKUP($C477,REV!$C:$AA,9,0)-'TRADE IN'!$F477))</f>
        <v>7649</v>
      </c>
      <c r="L477" s="46">
        <f>IF(VLOOKUP($C477,REV!$C:$AA,10,0)-'TRADE IN'!$F477=0,"",(VLOOKUP($C477,REV!$C:$AA,10,0)-'TRADE IN'!$F477))</f>
        <v>7649</v>
      </c>
      <c r="M477" s="46">
        <f>IF(VLOOKUP($C477,REV!$C:$AA,11,0)-'TRADE IN'!$F477=0,"",(VLOOKUP($C477,REV!$C:$AA,11,0)-'TRADE IN'!$F477))</f>
        <v>7649</v>
      </c>
      <c r="N477" s="46">
        <f>IF(VLOOKUP($C477,REV!$C:$AA,12,0)-'TRADE IN'!$F477=0,"",(VLOOKUP($C477,REV!$C:$AA,12,0)-'TRADE IN'!$F477))</f>
        <v>7649</v>
      </c>
      <c r="O477" s="46">
        <f>IF(VLOOKUP($C477,REV!$C:$AA,13,0)-'TRADE IN'!$F477=0,"",(VLOOKUP($C477,REV!$C:$AA,13,0)-'TRADE IN'!$F477))</f>
        <v>7549</v>
      </c>
      <c r="P477" s="46">
        <f>IF(VLOOKUP($C477,REV!$C:$AA,14,0)-'TRADE IN'!$F477=0,"",(VLOOKUP($C477,REV!$C:$AA,14,0)-'TRADE IN'!$F477))</f>
        <v>7449</v>
      </c>
      <c r="Q477" s="46">
        <f>IF(VLOOKUP($C477,REV!$C:$AA,15,0)-'TRADE IN'!$F477=0,"",(VLOOKUP($C477,REV!$C:$AA,15,0)-'TRADE IN'!$F477))</f>
        <v>6949</v>
      </c>
      <c r="R477" s="46">
        <f>IF(VLOOKUP($C477,REV!$C:$AA,16,0)-'TRADE IN'!$F477=0,"",(VLOOKUP($C477,REV!$C:$AA,16,0)-'TRADE IN'!$F477))</f>
        <v>7549</v>
      </c>
      <c r="S477" s="46">
        <f>IF(VLOOKUP($C477,REV!$C:$AA,17,0)-'TRADE IN'!$F477=0,"",(VLOOKUP($C477,REV!$C:$AA,17,0)-'TRADE IN'!$F477))</f>
        <v>7449</v>
      </c>
      <c r="T477" s="46">
        <f>IF(VLOOKUP($C477,REV!$C:$AA,18,0)-'TRADE IN'!$F477=0,"",(VLOOKUP($C477,REV!$C:$AA,18,0)-'TRADE IN'!$F477))</f>
        <v>6949</v>
      </c>
      <c r="U477" s="46">
        <f>IF(VLOOKUP($C477,REV!$C:$AA,19,0)-'TRADE IN'!$F477=0,"",(VLOOKUP($C477,REV!$C:$AA,19,0)-'TRADE IN'!$F477))</f>
        <v>6949</v>
      </c>
      <c r="V477" s="46">
        <f>IF(VLOOKUP($C477,REV!$C:$AA,20,0)-'TRADE IN'!$F477=0,"",(VLOOKUP($C477,REV!$C:$AA,20,0)-'TRADE IN'!$F477))</f>
        <v>6949</v>
      </c>
      <c r="W477" s="46">
        <f>IF(VLOOKUP($C477,REV!$C:$AA,21,0)-'TRADE IN'!$F477=0,"",(VLOOKUP($C477,REV!$C:$AA,21,0)-'TRADE IN'!$F477))</f>
        <v>6949</v>
      </c>
      <c r="X477" s="46">
        <f>IF(VLOOKUP($C477,REV!$C:$AA,22,0)-'TRADE IN'!$F477=0,"",(VLOOKUP($C477,REV!$C:$AA,22,0)-'TRADE IN'!$F477))</f>
        <v>6849</v>
      </c>
      <c r="Y477" s="46">
        <f>IF(VLOOKUP($C477,REV!$C:$AA,23,0)-'TRADE IN'!$F477=0,"",(VLOOKUP($C477,REV!$C:$AA,23,0)-'TRADE IN'!$F477))</f>
        <v>5349</v>
      </c>
      <c r="Z477" s="46">
        <f>IF(VLOOKUP($C477,REV!$C:$AA,24,0)-'TRADE IN'!$F477=0,"",(VLOOKUP($C477,REV!$C:$AA,24,0)-'TRADE IN'!$F477))</f>
        <v>5349</v>
      </c>
      <c r="AA477" s="46">
        <f>IF(VLOOKUP($C477,REV!$C:$AA,25,0)-'TRADE IN'!$F477=0,"",(VLOOKUP($C477,REV!$C:$AA,25,0)-'TRADE IN'!$F477))</f>
        <v>5149</v>
      </c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7"/>
      <c r="AW477" s="48" t="str">
        <f>REV!AW477</f>
        <v>01.12.2026</v>
      </c>
      <c r="AX477" s="153" t="str">
        <f>VLOOKUP(C477,REV!C:AX,48,0)</f>
        <v>5G</v>
      </c>
    </row>
    <row r="478" spans="1:50" ht="22.5" customHeight="1">
      <c r="A478" s="41" t="s">
        <v>63</v>
      </c>
      <c r="B478" s="42" t="s">
        <v>64</v>
      </c>
      <c r="C478" s="43">
        <v>4017732</v>
      </c>
      <c r="D478" s="58" t="s">
        <v>680</v>
      </c>
      <c r="E478" s="58" t="s">
        <v>686</v>
      </c>
      <c r="F478" s="45">
        <v>1850</v>
      </c>
      <c r="G478" s="45"/>
      <c r="H478" s="45"/>
      <c r="I478" s="45"/>
      <c r="J478" s="46">
        <f>IF(VLOOKUP($C478,REV!$C:$AA,8,0)-'TRADE IN'!$F478=0,"",(VLOOKUP($C478,REV!$C:$AA,8,0)-'TRADE IN'!$F478))</f>
        <v>7649</v>
      </c>
      <c r="K478" s="46">
        <f>IF(VLOOKUP($C478,REV!$C:$AA,9,0)-'TRADE IN'!$F478=0,"",(VLOOKUP($C478,REV!$C:$AA,9,0)-'TRADE IN'!$F478))</f>
        <v>7649</v>
      </c>
      <c r="L478" s="46">
        <f>IF(VLOOKUP($C478,REV!$C:$AA,10,0)-'TRADE IN'!$F478=0,"",(VLOOKUP($C478,REV!$C:$AA,10,0)-'TRADE IN'!$F478))</f>
        <v>7649</v>
      </c>
      <c r="M478" s="46">
        <f>IF(VLOOKUP($C478,REV!$C:$AA,11,0)-'TRADE IN'!$F478=0,"",(VLOOKUP($C478,REV!$C:$AA,11,0)-'TRADE IN'!$F478))</f>
        <v>7649</v>
      </c>
      <c r="N478" s="46">
        <f>IF(VLOOKUP($C478,REV!$C:$AA,12,0)-'TRADE IN'!$F478=0,"",(VLOOKUP($C478,REV!$C:$AA,12,0)-'TRADE IN'!$F478))</f>
        <v>7649</v>
      </c>
      <c r="O478" s="46">
        <f>IF(VLOOKUP($C478,REV!$C:$AA,13,0)-'TRADE IN'!$F478=0,"",(VLOOKUP($C478,REV!$C:$AA,13,0)-'TRADE IN'!$F478))</f>
        <v>7549</v>
      </c>
      <c r="P478" s="46">
        <f>IF(VLOOKUP($C478,REV!$C:$AA,14,0)-'TRADE IN'!$F478=0,"",(VLOOKUP($C478,REV!$C:$AA,14,0)-'TRADE IN'!$F478))</f>
        <v>7449</v>
      </c>
      <c r="Q478" s="46">
        <f>IF(VLOOKUP($C478,REV!$C:$AA,15,0)-'TRADE IN'!$F478=0,"",(VLOOKUP($C478,REV!$C:$AA,15,0)-'TRADE IN'!$F478))</f>
        <v>6949</v>
      </c>
      <c r="R478" s="46">
        <f>IF(VLOOKUP($C478,REV!$C:$AA,16,0)-'TRADE IN'!$F478=0,"",(VLOOKUP($C478,REV!$C:$AA,16,0)-'TRADE IN'!$F478))</f>
        <v>7549</v>
      </c>
      <c r="S478" s="46">
        <f>IF(VLOOKUP($C478,REV!$C:$AA,17,0)-'TRADE IN'!$F478=0,"",(VLOOKUP($C478,REV!$C:$AA,17,0)-'TRADE IN'!$F478))</f>
        <v>7449</v>
      </c>
      <c r="T478" s="46">
        <f>IF(VLOOKUP($C478,REV!$C:$AA,18,0)-'TRADE IN'!$F478=0,"",(VLOOKUP($C478,REV!$C:$AA,18,0)-'TRADE IN'!$F478))</f>
        <v>6949</v>
      </c>
      <c r="U478" s="46">
        <f>IF(VLOOKUP($C478,REV!$C:$AA,19,0)-'TRADE IN'!$F478=0,"",(VLOOKUP($C478,REV!$C:$AA,19,0)-'TRADE IN'!$F478))</f>
        <v>6949</v>
      </c>
      <c r="V478" s="46">
        <f>IF(VLOOKUP($C478,REV!$C:$AA,20,0)-'TRADE IN'!$F478=0,"",(VLOOKUP($C478,REV!$C:$AA,20,0)-'TRADE IN'!$F478))</f>
        <v>6949</v>
      </c>
      <c r="W478" s="46">
        <f>IF(VLOOKUP($C478,REV!$C:$AA,21,0)-'TRADE IN'!$F478=0,"",(VLOOKUP($C478,REV!$C:$AA,21,0)-'TRADE IN'!$F478))</f>
        <v>6949</v>
      </c>
      <c r="X478" s="46">
        <f>IF(VLOOKUP($C478,REV!$C:$AA,22,0)-'TRADE IN'!$F478=0,"",(VLOOKUP($C478,REV!$C:$AA,22,0)-'TRADE IN'!$F478))</f>
        <v>6849</v>
      </c>
      <c r="Y478" s="46">
        <f>IF(VLOOKUP($C478,REV!$C:$AA,23,0)-'TRADE IN'!$F478=0,"",(VLOOKUP($C478,REV!$C:$AA,23,0)-'TRADE IN'!$F478))</f>
        <v>5349</v>
      </c>
      <c r="Z478" s="46">
        <f>IF(VLOOKUP($C478,REV!$C:$AA,24,0)-'TRADE IN'!$F478=0,"",(VLOOKUP($C478,REV!$C:$AA,24,0)-'TRADE IN'!$F478))</f>
        <v>5349</v>
      </c>
      <c r="AA478" s="46">
        <f>IF(VLOOKUP($C478,REV!$C:$AA,25,0)-'TRADE IN'!$F478=0,"",(VLOOKUP($C478,REV!$C:$AA,25,0)-'TRADE IN'!$F478))</f>
        <v>5149</v>
      </c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7"/>
      <c r="AW478" s="48" t="str">
        <f>REV!AW478</f>
        <v>01.12.2026</v>
      </c>
      <c r="AX478" s="153" t="str">
        <f>VLOOKUP(C478,REV!C:AX,48,0)</f>
        <v>5G</v>
      </c>
    </row>
    <row r="479" spans="1:50" ht="22.5" customHeight="1">
      <c r="A479" s="41" t="s">
        <v>63</v>
      </c>
      <c r="B479" s="42" t="s">
        <v>64</v>
      </c>
      <c r="C479" s="43">
        <v>4018263</v>
      </c>
      <c r="D479" s="59" t="s">
        <v>687</v>
      </c>
      <c r="E479" s="58" t="s">
        <v>688</v>
      </c>
      <c r="F479" s="54">
        <v>500</v>
      </c>
      <c r="G479" s="45"/>
      <c r="H479" s="45"/>
      <c r="I479" s="45"/>
      <c r="J479" s="46">
        <f>IF(VLOOKUP($C479,REV!$C:$AA,8,0)-'TRADE IN'!$F479=0,"",(VLOOKUP($C479,REV!$C:$AA,8,0)-'TRADE IN'!$F479))</f>
        <v>3999</v>
      </c>
      <c r="K479" s="46">
        <f>IF(VLOOKUP($C479,REV!$C:$AA,9,0)-'TRADE IN'!$F479=0,"",(VLOOKUP($C479,REV!$C:$AA,9,0)-'TRADE IN'!$F479))</f>
        <v>3999</v>
      </c>
      <c r="L479" s="46">
        <f>IF(VLOOKUP($C479,REV!$C:$AA,10,0)-'TRADE IN'!$F479=0,"",(VLOOKUP($C479,REV!$C:$AA,10,0)-'TRADE IN'!$F479))</f>
        <v>3999</v>
      </c>
      <c r="M479" s="46">
        <f>IF(VLOOKUP($C479,REV!$C:$AA,11,0)-'TRADE IN'!$F479=0,"",(VLOOKUP($C479,REV!$C:$AA,11,0)-'TRADE IN'!$F479))</f>
        <v>3999</v>
      </c>
      <c r="N479" s="46">
        <f>IF(VLOOKUP($C479,REV!$C:$AA,12,0)-'TRADE IN'!$F479=0,"",(VLOOKUP($C479,REV!$C:$AA,12,0)-'TRADE IN'!$F479))</f>
        <v>3999</v>
      </c>
      <c r="O479" s="46">
        <f>IF(VLOOKUP($C479,REV!$C:$AA,13,0)-'TRADE IN'!$F479=0,"",(VLOOKUP($C479,REV!$C:$AA,13,0)-'TRADE IN'!$F479))</f>
        <v>3899</v>
      </c>
      <c r="P479" s="46">
        <f>IF(VLOOKUP($C479,REV!$C:$AA,14,0)-'TRADE IN'!$F479=0,"",(VLOOKUP($C479,REV!$C:$AA,14,0)-'TRADE IN'!$F479))</f>
        <v>3699</v>
      </c>
      <c r="Q479" s="46">
        <f>IF(VLOOKUP($C479,REV!$C:$AA,15,0)-'TRADE IN'!$F479=0,"",(VLOOKUP($C479,REV!$C:$AA,15,0)-'TRADE IN'!$F479))</f>
        <v>2999</v>
      </c>
      <c r="R479" s="46">
        <f>IF(VLOOKUP($C479,REV!$C:$AA,16,0)-'TRADE IN'!$F479=0,"",(VLOOKUP($C479,REV!$C:$AA,16,0)-'TRADE IN'!$F479))</f>
        <v>3899</v>
      </c>
      <c r="S479" s="46">
        <f>IF(VLOOKUP($C479,REV!$C:$AA,17,0)-'TRADE IN'!$F479=0,"",(VLOOKUP($C479,REV!$C:$AA,17,0)-'TRADE IN'!$F479))</f>
        <v>3699</v>
      </c>
      <c r="T479" s="46">
        <f>IF(VLOOKUP($C479,REV!$C:$AA,18,0)-'TRADE IN'!$F479=0,"",(VLOOKUP($C479,REV!$C:$AA,18,0)-'TRADE IN'!$F479))</f>
        <v>2999</v>
      </c>
      <c r="U479" s="46">
        <f>IF(VLOOKUP($C479,REV!$C:$AA,19,0)-'TRADE IN'!$F479=0,"",(VLOOKUP($C479,REV!$C:$AA,19,0)-'TRADE IN'!$F479))</f>
        <v>2999</v>
      </c>
      <c r="V479" s="46">
        <f>IF(VLOOKUP($C479,REV!$C:$AA,20,0)-'TRADE IN'!$F479=0,"",(VLOOKUP($C479,REV!$C:$AA,20,0)-'TRADE IN'!$F479))</f>
        <v>2999</v>
      </c>
      <c r="W479" s="46">
        <f>IF(VLOOKUP($C479,REV!$C:$AA,21,0)-'TRADE IN'!$F479=0,"",(VLOOKUP($C479,REV!$C:$AA,21,0)-'TRADE IN'!$F479))</f>
        <v>2999</v>
      </c>
      <c r="X479" s="46">
        <f>IF(VLOOKUP($C479,REV!$C:$AA,22,0)-'TRADE IN'!$F479=0,"",(VLOOKUP($C479,REV!$C:$AA,22,0)-'TRADE IN'!$F479))</f>
        <v>2899</v>
      </c>
      <c r="Y479" s="46">
        <f>IF(VLOOKUP($C479,REV!$C:$AA,23,0)-'TRADE IN'!$F479=0,"",(VLOOKUP($C479,REV!$C:$AA,23,0)-'TRADE IN'!$F479))</f>
        <v>1899</v>
      </c>
      <c r="Z479" s="46">
        <f>IF(VLOOKUP($C479,REV!$C:$AA,24,0)-'TRADE IN'!$F479=0,"",(VLOOKUP($C479,REV!$C:$AA,24,0)-'TRADE IN'!$F479))</f>
        <v>1899</v>
      </c>
      <c r="AA479" s="46">
        <f>IF(VLOOKUP($C479,REV!$C:$AA,25,0)-'TRADE IN'!$F479=0,"",(VLOOKUP($C479,REV!$C:$AA,25,0)-'TRADE IN'!$F479))</f>
        <v>1799</v>
      </c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7"/>
      <c r="AW479" s="48" t="str">
        <f>REV!AW479</f>
        <v>01.12.2026</v>
      </c>
      <c r="AX479" s="153" t="str">
        <f>VLOOKUP(C479,REV!C:AX,48,0)</f>
        <v>5G</v>
      </c>
    </row>
    <row r="480" spans="1:50" ht="22.5" customHeight="1">
      <c r="A480" s="41" t="s">
        <v>63</v>
      </c>
      <c r="B480" s="42" t="s">
        <v>64</v>
      </c>
      <c r="C480" s="43">
        <v>4018256</v>
      </c>
      <c r="D480" s="59" t="s">
        <v>687</v>
      </c>
      <c r="E480" s="58" t="s">
        <v>689</v>
      </c>
      <c r="F480" s="54">
        <v>500</v>
      </c>
      <c r="G480" s="45"/>
      <c r="H480" s="45"/>
      <c r="I480" s="45"/>
      <c r="J480" s="46">
        <f>IF(VLOOKUP($C480,REV!$C:$AA,8,0)-'TRADE IN'!$F480=0,"",(VLOOKUP($C480,REV!$C:$AA,8,0)-'TRADE IN'!$F480))</f>
        <v>3999</v>
      </c>
      <c r="K480" s="46">
        <f>IF(VLOOKUP($C480,REV!$C:$AA,9,0)-'TRADE IN'!$F480=0,"",(VLOOKUP($C480,REV!$C:$AA,9,0)-'TRADE IN'!$F480))</f>
        <v>3999</v>
      </c>
      <c r="L480" s="46">
        <f>IF(VLOOKUP($C480,REV!$C:$AA,10,0)-'TRADE IN'!$F480=0,"",(VLOOKUP($C480,REV!$C:$AA,10,0)-'TRADE IN'!$F480))</f>
        <v>3999</v>
      </c>
      <c r="M480" s="46">
        <f>IF(VLOOKUP($C480,REV!$C:$AA,11,0)-'TRADE IN'!$F480=0,"",(VLOOKUP($C480,REV!$C:$AA,11,0)-'TRADE IN'!$F480))</f>
        <v>3999</v>
      </c>
      <c r="N480" s="46">
        <f>IF(VLOOKUP($C480,REV!$C:$AA,12,0)-'TRADE IN'!$F480=0,"",(VLOOKUP($C480,REV!$C:$AA,12,0)-'TRADE IN'!$F480))</f>
        <v>3999</v>
      </c>
      <c r="O480" s="46">
        <f>IF(VLOOKUP($C480,REV!$C:$AA,13,0)-'TRADE IN'!$F480=0,"",(VLOOKUP($C480,REV!$C:$AA,13,0)-'TRADE IN'!$F480))</f>
        <v>3899</v>
      </c>
      <c r="P480" s="46">
        <f>IF(VLOOKUP($C480,REV!$C:$AA,14,0)-'TRADE IN'!$F480=0,"",(VLOOKUP($C480,REV!$C:$AA,14,0)-'TRADE IN'!$F480))</f>
        <v>3699</v>
      </c>
      <c r="Q480" s="46">
        <f>IF(VLOOKUP($C480,REV!$C:$AA,15,0)-'TRADE IN'!$F480=0,"",(VLOOKUP($C480,REV!$C:$AA,15,0)-'TRADE IN'!$F480))</f>
        <v>2999</v>
      </c>
      <c r="R480" s="46">
        <f>IF(VLOOKUP($C480,REV!$C:$AA,16,0)-'TRADE IN'!$F480=0,"",(VLOOKUP($C480,REV!$C:$AA,16,0)-'TRADE IN'!$F480))</f>
        <v>3899</v>
      </c>
      <c r="S480" s="46">
        <f>IF(VLOOKUP($C480,REV!$C:$AA,17,0)-'TRADE IN'!$F480=0,"",(VLOOKUP($C480,REV!$C:$AA,17,0)-'TRADE IN'!$F480))</f>
        <v>3699</v>
      </c>
      <c r="T480" s="46">
        <f>IF(VLOOKUP($C480,REV!$C:$AA,18,0)-'TRADE IN'!$F480=0,"",(VLOOKUP($C480,REV!$C:$AA,18,0)-'TRADE IN'!$F480))</f>
        <v>2999</v>
      </c>
      <c r="U480" s="46">
        <f>IF(VLOOKUP($C480,REV!$C:$AA,19,0)-'TRADE IN'!$F480=0,"",(VLOOKUP($C480,REV!$C:$AA,19,0)-'TRADE IN'!$F480))</f>
        <v>2999</v>
      </c>
      <c r="V480" s="46">
        <f>IF(VLOOKUP($C480,REV!$C:$AA,20,0)-'TRADE IN'!$F480=0,"",(VLOOKUP($C480,REV!$C:$AA,20,0)-'TRADE IN'!$F480))</f>
        <v>2999</v>
      </c>
      <c r="W480" s="46">
        <f>IF(VLOOKUP($C480,REV!$C:$AA,21,0)-'TRADE IN'!$F480=0,"",(VLOOKUP($C480,REV!$C:$AA,21,0)-'TRADE IN'!$F480))</f>
        <v>2999</v>
      </c>
      <c r="X480" s="46">
        <f>IF(VLOOKUP($C480,REV!$C:$AA,22,0)-'TRADE IN'!$F480=0,"",(VLOOKUP($C480,REV!$C:$AA,22,0)-'TRADE IN'!$F480))</f>
        <v>2899</v>
      </c>
      <c r="Y480" s="46">
        <f>IF(VLOOKUP($C480,REV!$C:$AA,23,0)-'TRADE IN'!$F480=0,"",(VLOOKUP($C480,REV!$C:$AA,23,0)-'TRADE IN'!$F480))</f>
        <v>1899</v>
      </c>
      <c r="Z480" s="46">
        <f>IF(VLOOKUP($C480,REV!$C:$AA,24,0)-'TRADE IN'!$F480=0,"",(VLOOKUP($C480,REV!$C:$AA,24,0)-'TRADE IN'!$F480))</f>
        <v>1899</v>
      </c>
      <c r="AA480" s="46">
        <f>IF(VLOOKUP($C480,REV!$C:$AA,25,0)-'TRADE IN'!$F480=0,"",(VLOOKUP($C480,REV!$C:$AA,25,0)-'TRADE IN'!$F480))</f>
        <v>1799</v>
      </c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7"/>
      <c r="AW480" s="48" t="str">
        <f>REV!AW480</f>
        <v>01.12.2026</v>
      </c>
      <c r="AX480" s="153" t="str">
        <f>VLOOKUP(C480,REV!C:AX,48,0)</f>
        <v>5G</v>
      </c>
    </row>
    <row r="481" spans="1:50" ht="22.5" customHeight="1">
      <c r="A481" s="41" t="s">
        <v>63</v>
      </c>
      <c r="B481" s="42" t="s">
        <v>64</v>
      </c>
      <c r="C481" s="43">
        <v>4018264</v>
      </c>
      <c r="D481" s="59" t="s">
        <v>687</v>
      </c>
      <c r="E481" s="58" t="s">
        <v>690</v>
      </c>
      <c r="F481" s="54">
        <v>500</v>
      </c>
      <c r="G481" s="45"/>
      <c r="H481" s="45"/>
      <c r="I481" s="45"/>
      <c r="J481" s="46">
        <f>IF(VLOOKUP($C481,REV!$C:$AA,8,0)-'TRADE IN'!$F481=0,"",(VLOOKUP($C481,REV!$C:$AA,8,0)-'TRADE IN'!$F481))</f>
        <v>3999</v>
      </c>
      <c r="K481" s="46">
        <f>IF(VLOOKUP($C481,REV!$C:$AA,9,0)-'TRADE IN'!$F481=0,"",(VLOOKUP($C481,REV!$C:$AA,9,0)-'TRADE IN'!$F481))</f>
        <v>3999</v>
      </c>
      <c r="L481" s="46">
        <f>IF(VLOOKUP($C481,REV!$C:$AA,10,0)-'TRADE IN'!$F481=0,"",(VLOOKUP($C481,REV!$C:$AA,10,0)-'TRADE IN'!$F481))</f>
        <v>3999</v>
      </c>
      <c r="M481" s="46">
        <f>IF(VLOOKUP($C481,REV!$C:$AA,11,0)-'TRADE IN'!$F481=0,"",(VLOOKUP($C481,REV!$C:$AA,11,0)-'TRADE IN'!$F481))</f>
        <v>3999</v>
      </c>
      <c r="N481" s="46">
        <f>IF(VLOOKUP($C481,REV!$C:$AA,12,0)-'TRADE IN'!$F481=0,"",(VLOOKUP($C481,REV!$C:$AA,12,0)-'TRADE IN'!$F481))</f>
        <v>3999</v>
      </c>
      <c r="O481" s="46">
        <f>IF(VLOOKUP($C481,REV!$C:$AA,13,0)-'TRADE IN'!$F481=0,"",(VLOOKUP($C481,REV!$C:$AA,13,0)-'TRADE IN'!$F481))</f>
        <v>3899</v>
      </c>
      <c r="P481" s="46">
        <f>IF(VLOOKUP($C481,REV!$C:$AA,14,0)-'TRADE IN'!$F481=0,"",(VLOOKUP($C481,REV!$C:$AA,14,0)-'TRADE IN'!$F481))</f>
        <v>3699</v>
      </c>
      <c r="Q481" s="46">
        <f>IF(VLOOKUP($C481,REV!$C:$AA,15,0)-'TRADE IN'!$F481=0,"",(VLOOKUP($C481,REV!$C:$AA,15,0)-'TRADE IN'!$F481))</f>
        <v>2999</v>
      </c>
      <c r="R481" s="46">
        <f>IF(VLOOKUP($C481,REV!$C:$AA,16,0)-'TRADE IN'!$F481=0,"",(VLOOKUP($C481,REV!$C:$AA,16,0)-'TRADE IN'!$F481))</f>
        <v>3899</v>
      </c>
      <c r="S481" s="46">
        <f>IF(VLOOKUP($C481,REV!$C:$AA,17,0)-'TRADE IN'!$F481=0,"",(VLOOKUP($C481,REV!$C:$AA,17,0)-'TRADE IN'!$F481))</f>
        <v>3699</v>
      </c>
      <c r="T481" s="46">
        <f>IF(VLOOKUP($C481,REV!$C:$AA,18,0)-'TRADE IN'!$F481=0,"",(VLOOKUP($C481,REV!$C:$AA,18,0)-'TRADE IN'!$F481))</f>
        <v>2999</v>
      </c>
      <c r="U481" s="46">
        <f>IF(VLOOKUP($C481,REV!$C:$AA,19,0)-'TRADE IN'!$F481=0,"",(VLOOKUP($C481,REV!$C:$AA,19,0)-'TRADE IN'!$F481))</f>
        <v>2999</v>
      </c>
      <c r="V481" s="46">
        <f>IF(VLOOKUP($C481,REV!$C:$AA,20,0)-'TRADE IN'!$F481=0,"",(VLOOKUP($C481,REV!$C:$AA,20,0)-'TRADE IN'!$F481))</f>
        <v>2999</v>
      </c>
      <c r="W481" s="46">
        <f>IF(VLOOKUP($C481,REV!$C:$AA,21,0)-'TRADE IN'!$F481=0,"",(VLOOKUP($C481,REV!$C:$AA,21,0)-'TRADE IN'!$F481))</f>
        <v>2999</v>
      </c>
      <c r="X481" s="46">
        <f>IF(VLOOKUP($C481,REV!$C:$AA,22,0)-'TRADE IN'!$F481=0,"",(VLOOKUP($C481,REV!$C:$AA,22,0)-'TRADE IN'!$F481))</f>
        <v>2899</v>
      </c>
      <c r="Y481" s="46">
        <f>IF(VLOOKUP($C481,REV!$C:$AA,23,0)-'TRADE IN'!$F481=0,"",(VLOOKUP($C481,REV!$C:$AA,23,0)-'TRADE IN'!$F481))</f>
        <v>1899</v>
      </c>
      <c r="Z481" s="46">
        <f>IF(VLOOKUP($C481,REV!$C:$AA,24,0)-'TRADE IN'!$F481=0,"",(VLOOKUP($C481,REV!$C:$AA,24,0)-'TRADE IN'!$F481))</f>
        <v>1899</v>
      </c>
      <c r="AA481" s="46">
        <f>IF(VLOOKUP($C481,REV!$C:$AA,25,0)-'TRADE IN'!$F481=0,"",(VLOOKUP($C481,REV!$C:$AA,25,0)-'TRADE IN'!$F481))</f>
        <v>1799</v>
      </c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7"/>
      <c r="AW481" s="48" t="str">
        <f>REV!AW481</f>
        <v>01.12.2026</v>
      </c>
      <c r="AX481" s="153" t="str">
        <f>VLOOKUP(C481,REV!C:AX,48,0)</f>
        <v>5G</v>
      </c>
    </row>
    <row r="482" spans="1:50" ht="22.5" customHeight="1">
      <c r="A482" s="41" t="s">
        <v>63</v>
      </c>
      <c r="B482" s="42" t="s">
        <v>64</v>
      </c>
      <c r="C482" s="43">
        <v>4018257</v>
      </c>
      <c r="D482" s="59" t="s">
        <v>687</v>
      </c>
      <c r="E482" s="58" t="s">
        <v>691</v>
      </c>
      <c r="F482" s="54">
        <v>500</v>
      </c>
      <c r="G482" s="45"/>
      <c r="H482" s="45"/>
      <c r="I482" s="45"/>
      <c r="J482" s="46">
        <f>IF(VLOOKUP($C482,REV!$C:$AA,8,0)-'TRADE IN'!$F482=0,"",(VLOOKUP($C482,REV!$C:$AA,8,0)-'TRADE IN'!$F482))</f>
        <v>3999</v>
      </c>
      <c r="K482" s="46">
        <f>IF(VLOOKUP($C482,REV!$C:$AA,9,0)-'TRADE IN'!$F482=0,"",(VLOOKUP($C482,REV!$C:$AA,9,0)-'TRADE IN'!$F482))</f>
        <v>3999</v>
      </c>
      <c r="L482" s="46">
        <f>IF(VLOOKUP($C482,REV!$C:$AA,10,0)-'TRADE IN'!$F482=0,"",(VLOOKUP($C482,REV!$C:$AA,10,0)-'TRADE IN'!$F482))</f>
        <v>3999</v>
      </c>
      <c r="M482" s="46">
        <f>IF(VLOOKUP($C482,REV!$C:$AA,11,0)-'TRADE IN'!$F482=0,"",(VLOOKUP($C482,REV!$C:$AA,11,0)-'TRADE IN'!$F482))</f>
        <v>3999</v>
      </c>
      <c r="N482" s="46">
        <f>IF(VLOOKUP($C482,REV!$C:$AA,12,0)-'TRADE IN'!$F482=0,"",(VLOOKUP($C482,REV!$C:$AA,12,0)-'TRADE IN'!$F482))</f>
        <v>3999</v>
      </c>
      <c r="O482" s="46">
        <f>IF(VLOOKUP($C482,REV!$C:$AA,13,0)-'TRADE IN'!$F482=0,"",(VLOOKUP($C482,REV!$C:$AA,13,0)-'TRADE IN'!$F482))</f>
        <v>3899</v>
      </c>
      <c r="P482" s="46">
        <f>IF(VLOOKUP($C482,REV!$C:$AA,14,0)-'TRADE IN'!$F482=0,"",(VLOOKUP($C482,REV!$C:$AA,14,0)-'TRADE IN'!$F482))</f>
        <v>3699</v>
      </c>
      <c r="Q482" s="46">
        <f>IF(VLOOKUP($C482,REV!$C:$AA,15,0)-'TRADE IN'!$F482=0,"",(VLOOKUP($C482,REV!$C:$AA,15,0)-'TRADE IN'!$F482))</f>
        <v>2999</v>
      </c>
      <c r="R482" s="46">
        <f>IF(VLOOKUP($C482,REV!$C:$AA,16,0)-'TRADE IN'!$F482=0,"",(VLOOKUP($C482,REV!$C:$AA,16,0)-'TRADE IN'!$F482))</f>
        <v>3899</v>
      </c>
      <c r="S482" s="46">
        <f>IF(VLOOKUP($C482,REV!$C:$AA,17,0)-'TRADE IN'!$F482=0,"",(VLOOKUP($C482,REV!$C:$AA,17,0)-'TRADE IN'!$F482))</f>
        <v>3699</v>
      </c>
      <c r="T482" s="46">
        <f>IF(VLOOKUP($C482,REV!$C:$AA,18,0)-'TRADE IN'!$F482=0,"",(VLOOKUP($C482,REV!$C:$AA,18,0)-'TRADE IN'!$F482))</f>
        <v>2999</v>
      </c>
      <c r="U482" s="46">
        <f>IF(VLOOKUP($C482,REV!$C:$AA,19,0)-'TRADE IN'!$F482=0,"",(VLOOKUP($C482,REV!$C:$AA,19,0)-'TRADE IN'!$F482))</f>
        <v>2999</v>
      </c>
      <c r="V482" s="46">
        <f>IF(VLOOKUP($C482,REV!$C:$AA,20,0)-'TRADE IN'!$F482=0,"",(VLOOKUP($C482,REV!$C:$AA,20,0)-'TRADE IN'!$F482))</f>
        <v>2999</v>
      </c>
      <c r="W482" s="46">
        <f>IF(VLOOKUP($C482,REV!$C:$AA,21,0)-'TRADE IN'!$F482=0,"",(VLOOKUP($C482,REV!$C:$AA,21,0)-'TRADE IN'!$F482))</f>
        <v>2999</v>
      </c>
      <c r="X482" s="46">
        <f>IF(VLOOKUP($C482,REV!$C:$AA,22,0)-'TRADE IN'!$F482=0,"",(VLOOKUP($C482,REV!$C:$AA,22,0)-'TRADE IN'!$F482))</f>
        <v>2899</v>
      </c>
      <c r="Y482" s="46">
        <f>IF(VLOOKUP($C482,REV!$C:$AA,23,0)-'TRADE IN'!$F482=0,"",(VLOOKUP($C482,REV!$C:$AA,23,0)-'TRADE IN'!$F482))</f>
        <v>1899</v>
      </c>
      <c r="Z482" s="46">
        <f>IF(VLOOKUP($C482,REV!$C:$AA,24,0)-'TRADE IN'!$F482=0,"",(VLOOKUP($C482,REV!$C:$AA,24,0)-'TRADE IN'!$F482))</f>
        <v>1899</v>
      </c>
      <c r="AA482" s="46">
        <f>IF(VLOOKUP($C482,REV!$C:$AA,25,0)-'TRADE IN'!$F482=0,"",(VLOOKUP($C482,REV!$C:$AA,25,0)-'TRADE IN'!$F482))</f>
        <v>1799</v>
      </c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7"/>
      <c r="AW482" s="48" t="str">
        <f>REV!AW482</f>
        <v>01.12.2026</v>
      </c>
      <c r="AX482" s="153" t="str">
        <f>VLOOKUP(C482,REV!C:AX,48,0)</f>
        <v>5G</v>
      </c>
    </row>
    <row r="483" spans="1:50" ht="22.5" customHeight="1">
      <c r="A483" s="41" t="s">
        <v>63</v>
      </c>
      <c r="B483" s="42" t="s">
        <v>64</v>
      </c>
      <c r="C483" s="43">
        <v>4016325</v>
      </c>
      <c r="D483" s="58" t="s">
        <v>692</v>
      </c>
      <c r="E483" s="58" t="s">
        <v>693</v>
      </c>
      <c r="F483" s="45"/>
      <c r="G483" s="45"/>
      <c r="H483" s="45"/>
      <c r="I483" s="45"/>
      <c r="J483" s="46">
        <f>IF(VLOOKUP($C483,REV!$C:$AA,8,0)-'TRADE IN'!$F483=0,"",(VLOOKUP($C483,REV!$C:$AA,8,0)-'TRADE IN'!$F483))</f>
        <v>3899</v>
      </c>
      <c r="K483" s="46">
        <f>IF(VLOOKUP($C483,REV!$C:$AA,9,0)-'TRADE IN'!$F483=0,"",(VLOOKUP($C483,REV!$C:$AA,9,0)-'TRADE IN'!$F483))</f>
        <v>3899</v>
      </c>
      <c r="L483" s="46">
        <f>IF(VLOOKUP($C483,REV!$C:$AA,10,0)-'TRADE IN'!$F483=0,"",(VLOOKUP($C483,REV!$C:$AA,10,0)-'TRADE IN'!$F483))</f>
        <v>3899</v>
      </c>
      <c r="M483" s="46">
        <f>IF(VLOOKUP($C483,REV!$C:$AA,11,0)-'TRADE IN'!$F483=0,"",(VLOOKUP($C483,REV!$C:$AA,11,0)-'TRADE IN'!$F483))</f>
        <v>3899</v>
      </c>
      <c r="N483" s="46">
        <f>IF(VLOOKUP($C483,REV!$C:$AA,12,0)-'TRADE IN'!$F483=0,"",(VLOOKUP($C483,REV!$C:$AA,12,0)-'TRADE IN'!$F483))</f>
        <v>3899</v>
      </c>
      <c r="O483" s="46">
        <f>IF(VLOOKUP($C483,REV!$C:$AA,13,0)-'TRADE IN'!$F483=0,"",(VLOOKUP($C483,REV!$C:$AA,13,0)-'TRADE IN'!$F483))</f>
        <v>3799</v>
      </c>
      <c r="P483" s="46">
        <f>IF(VLOOKUP($C483,REV!$C:$AA,14,0)-'TRADE IN'!$F483=0,"",(VLOOKUP($C483,REV!$C:$AA,14,0)-'TRADE IN'!$F483))</f>
        <v>3699</v>
      </c>
      <c r="Q483" s="46">
        <f>IF(VLOOKUP($C483,REV!$C:$AA,15,0)-'TRADE IN'!$F483=0,"",(VLOOKUP($C483,REV!$C:$AA,15,0)-'TRADE IN'!$F483))</f>
        <v>3499</v>
      </c>
      <c r="R483" s="46">
        <f>IF(VLOOKUP($C483,REV!$C:$AA,16,0)-'TRADE IN'!$F483=0,"",(VLOOKUP($C483,REV!$C:$AA,16,0)-'TRADE IN'!$F483))</f>
        <v>3799</v>
      </c>
      <c r="S483" s="46">
        <f>IF(VLOOKUP($C483,REV!$C:$AA,17,0)-'TRADE IN'!$F483=0,"",(VLOOKUP($C483,REV!$C:$AA,17,0)-'TRADE IN'!$F483))</f>
        <v>3699</v>
      </c>
      <c r="T483" s="46">
        <f>IF(VLOOKUP($C483,REV!$C:$AA,18,0)-'TRADE IN'!$F483=0,"",(VLOOKUP($C483,REV!$C:$AA,18,0)-'TRADE IN'!$F483))</f>
        <v>3499</v>
      </c>
      <c r="U483" s="46">
        <f>IF(VLOOKUP($C483,REV!$C:$AA,19,0)-'TRADE IN'!$F483=0,"",(VLOOKUP($C483,REV!$C:$AA,19,0)-'TRADE IN'!$F483))</f>
        <v>3499</v>
      </c>
      <c r="V483" s="46">
        <f>IF(VLOOKUP($C483,REV!$C:$AA,20,0)-'TRADE IN'!$F483=0,"",(VLOOKUP($C483,REV!$C:$AA,20,0)-'TRADE IN'!$F483))</f>
        <v>3499</v>
      </c>
      <c r="W483" s="46">
        <f>IF(VLOOKUP($C483,REV!$C:$AA,21,0)-'TRADE IN'!$F483=0,"",(VLOOKUP($C483,REV!$C:$AA,21,0)-'TRADE IN'!$F483))</f>
        <v>3499</v>
      </c>
      <c r="X483" s="46">
        <f>IF(VLOOKUP($C483,REV!$C:$AA,22,0)-'TRADE IN'!$F483=0,"",(VLOOKUP($C483,REV!$C:$AA,22,0)-'TRADE IN'!$F483))</f>
        <v>3399</v>
      </c>
      <c r="Y483" s="46">
        <f>IF(VLOOKUP($C483,REV!$C:$AA,23,0)-'TRADE IN'!$F483=0,"",(VLOOKUP($C483,REV!$C:$AA,23,0)-'TRADE IN'!$F483))</f>
        <v>2999</v>
      </c>
      <c r="Z483" s="46">
        <f>IF(VLOOKUP($C483,REV!$C:$AA,24,0)-'TRADE IN'!$F483=0,"",(VLOOKUP($C483,REV!$C:$AA,24,0)-'TRADE IN'!$F483))</f>
        <v>2999</v>
      </c>
      <c r="AA483" s="46">
        <f>IF(VLOOKUP($C483,REV!$C:$AA,25,0)-'TRADE IN'!$F483=0,"",(VLOOKUP($C483,REV!$C:$AA,25,0)-'TRADE IN'!$F483))</f>
        <v>2999</v>
      </c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7"/>
      <c r="AW483" s="48" t="str">
        <f>REV!AW483</f>
        <v>01.12.2026</v>
      </c>
      <c r="AX483" s="153" t="str">
        <f>VLOOKUP(C483,REV!C:AX,48,0)</f>
        <v>5G</v>
      </c>
    </row>
    <row r="484" spans="1:50" ht="22.5" customHeight="1">
      <c r="A484" s="41" t="s">
        <v>63</v>
      </c>
      <c r="B484" s="42" t="s">
        <v>64</v>
      </c>
      <c r="C484" s="43">
        <v>4016327</v>
      </c>
      <c r="D484" s="58" t="s">
        <v>692</v>
      </c>
      <c r="E484" s="58" t="s">
        <v>694</v>
      </c>
      <c r="F484" s="45"/>
      <c r="G484" s="45"/>
      <c r="H484" s="45"/>
      <c r="I484" s="45"/>
      <c r="J484" s="46">
        <f>IF(VLOOKUP($C484,REV!$C:$AA,8,0)-'TRADE IN'!$F484=0,"",(VLOOKUP($C484,REV!$C:$AA,8,0)-'TRADE IN'!$F484))</f>
        <v>3899</v>
      </c>
      <c r="K484" s="46">
        <f>IF(VLOOKUP($C484,REV!$C:$AA,9,0)-'TRADE IN'!$F484=0,"",(VLOOKUP($C484,REV!$C:$AA,9,0)-'TRADE IN'!$F484))</f>
        <v>3899</v>
      </c>
      <c r="L484" s="46">
        <f>IF(VLOOKUP($C484,REV!$C:$AA,10,0)-'TRADE IN'!$F484=0,"",(VLOOKUP($C484,REV!$C:$AA,10,0)-'TRADE IN'!$F484))</f>
        <v>3899</v>
      </c>
      <c r="M484" s="46">
        <f>IF(VLOOKUP($C484,REV!$C:$AA,11,0)-'TRADE IN'!$F484=0,"",(VLOOKUP($C484,REV!$C:$AA,11,0)-'TRADE IN'!$F484))</f>
        <v>3899</v>
      </c>
      <c r="N484" s="46">
        <f>IF(VLOOKUP($C484,REV!$C:$AA,12,0)-'TRADE IN'!$F484=0,"",(VLOOKUP($C484,REV!$C:$AA,12,0)-'TRADE IN'!$F484))</f>
        <v>3899</v>
      </c>
      <c r="O484" s="46">
        <f>IF(VLOOKUP($C484,REV!$C:$AA,13,0)-'TRADE IN'!$F484=0,"",(VLOOKUP($C484,REV!$C:$AA,13,0)-'TRADE IN'!$F484))</f>
        <v>3799</v>
      </c>
      <c r="P484" s="46">
        <f>IF(VLOOKUP($C484,REV!$C:$AA,14,0)-'TRADE IN'!$F484=0,"",(VLOOKUP($C484,REV!$C:$AA,14,0)-'TRADE IN'!$F484))</f>
        <v>3699</v>
      </c>
      <c r="Q484" s="46">
        <f>IF(VLOOKUP($C484,REV!$C:$AA,15,0)-'TRADE IN'!$F484=0,"",(VLOOKUP($C484,REV!$C:$AA,15,0)-'TRADE IN'!$F484))</f>
        <v>3499</v>
      </c>
      <c r="R484" s="46">
        <f>IF(VLOOKUP($C484,REV!$C:$AA,16,0)-'TRADE IN'!$F484=0,"",(VLOOKUP($C484,REV!$C:$AA,16,0)-'TRADE IN'!$F484))</f>
        <v>3799</v>
      </c>
      <c r="S484" s="46">
        <f>IF(VLOOKUP($C484,REV!$C:$AA,17,0)-'TRADE IN'!$F484=0,"",(VLOOKUP($C484,REV!$C:$AA,17,0)-'TRADE IN'!$F484))</f>
        <v>3699</v>
      </c>
      <c r="T484" s="46">
        <f>IF(VLOOKUP($C484,REV!$C:$AA,18,0)-'TRADE IN'!$F484=0,"",(VLOOKUP($C484,REV!$C:$AA,18,0)-'TRADE IN'!$F484))</f>
        <v>3499</v>
      </c>
      <c r="U484" s="46">
        <f>IF(VLOOKUP($C484,REV!$C:$AA,19,0)-'TRADE IN'!$F484=0,"",(VLOOKUP($C484,REV!$C:$AA,19,0)-'TRADE IN'!$F484))</f>
        <v>3499</v>
      </c>
      <c r="V484" s="46">
        <f>IF(VLOOKUP($C484,REV!$C:$AA,20,0)-'TRADE IN'!$F484=0,"",(VLOOKUP($C484,REV!$C:$AA,20,0)-'TRADE IN'!$F484))</f>
        <v>3499</v>
      </c>
      <c r="W484" s="46">
        <f>IF(VLOOKUP($C484,REV!$C:$AA,21,0)-'TRADE IN'!$F484=0,"",(VLOOKUP($C484,REV!$C:$AA,21,0)-'TRADE IN'!$F484))</f>
        <v>3499</v>
      </c>
      <c r="X484" s="46">
        <f>IF(VLOOKUP($C484,REV!$C:$AA,22,0)-'TRADE IN'!$F484=0,"",(VLOOKUP($C484,REV!$C:$AA,22,0)-'TRADE IN'!$F484))</f>
        <v>3399</v>
      </c>
      <c r="Y484" s="46">
        <f>IF(VLOOKUP($C484,REV!$C:$AA,23,0)-'TRADE IN'!$F484=0,"",(VLOOKUP($C484,REV!$C:$AA,23,0)-'TRADE IN'!$F484))</f>
        <v>2999</v>
      </c>
      <c r="Z484" s="46">
        <f>IF(VLOOKUP($C484,REV!$C:$AA,24,0)-'TRADE IN'!$F484=0,"",(VLOOKUP($C484,REV!$C:$AA,24,0)-'TRADE IN'!$F484))</f>
        <v>2999</v>
      </c>
      <c r="AA484" s="46">
        <f>IF(VLOOKUP($C484,REV!$C:$AA,25,0)-'TRADE IN'!$F484=0,"",(VLOOKUP($C484,REV!$C:$AA,25,0)-'TRADE IN'!$F484))</f>
        <v>2999</v>
      </c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7"/>
      <c r="AW484" s="48" t="str">
        <f>REV!AW484</f>
        <v>01.12.2026</v>
      </c>
      <c r="AX484" s="153" t="str">
        <f>VLOOKUP(C484,REV!C:AX,48,0)</f>
        <v>5G</v>
      </c>
    </row>
    <row r="485" spans="1:50" ht="22.5" customHeight="1">
      <c r="A485" s="41" t="s">
        <v>63</v>
      </c>
      <c r="B485" s="42" t="s">
        <v>64</v>
      </c>
      <c r="C485" s="43">
        <v>4017179</v>
      </c>
      <c r="D485" s="58" t="s">
        <v>695</v>
      </c>
      <c r="E485" s="58" t="s">
        <v>696</v>
      </c>
      <c r="F485" s="45"/>
      <c r="G485" s="45"/>
      <c r="H485" s="45"/>
      <c r="I485" s="45"/>
      <c r="J485" s="46">
        <f>IF(VLOOKUP($C485,REV!$C:$AA,8,0)-'TRADE IN'!$F485=0,"",(VLOOKUP($C485,REV!$C:$AA,8,0)-'TRADE IN'!$F485))</f>
        <v>6699</v>
      </c>
      <c r="K485" s="46">
        <f>IF(VLOOKUP($C485,REV!$C:$AA,9,0)-'TRADE IN'!$F485=0,"",(VLOOKUP($C485,REV!$C:$AA,9,0)-'TRADE IN'!$F485))</f>
        <v>6699</v>
      </c>
      <c r="L485" s="46">
        <f>IF(VLOOKUP($C485,REV!$C:$AA,10,0)-'TRADE IN'!$F485=0,"",(VLOOKUP($C485,REV!$C:$AA,10,0)-'TRADE IN'!$F485))</f>
        <v>6699</v>
      </c>
      <c r="M485" s="46">
        <f>IF(VLOOKUP($C485,REV!$C:$AA,11,0)-'TRADE IN'!$F485=0,"",(VLOOKUP($C485,REV!$C:$AA,11,0)-'TRADE IN'!$F485))</f>
        <v>6699</v>
      </c>
      <c r="N485" s="46">
        <f>IF(VLOOKUP($C485,REV!$C:$AA,12,0)-'TRADE IN'!$F485=0,"",(VLOOKUP($C485,REV!$C:$AA,12,0)-'TRADE IN'!$F485))</f>
        <v>6699</v>
      </c>
      <c r="O485" s="46">
        <f>IF(VLOOKUP($C485,REV!$C:$AA,13,0)-'TRADE IN'!$F485=0,"",(VLOOKUP($C485,REV!$C:$AA,13,0)-'TRADE IN'!$F485))</f>
        <v>6599</v>
      </c>
      <c r="P485" s="46">
        <f>IF(VLOOKUP($C485,REV!$C:$AA,14,0)-'TRADE IN'!$F485=0,"",(VLOOKUP($C485,REV!$C:$AA,14,0)-'TRADE IN'!$F485))</f>
        <v>6499</v>
      </c>
      <c r="Q485" s="46">
        <f>IF(VLOOKUP($C485,REV!$C:$AA,15,0)-'TRADE IN'!$F485=0,"",(VLOOKUP($C485,REV!$C:$AA,15,0)-'TRADE IN'!$F485))</f>
        <v>6199</v>
      </c>
      <c r="R485" s="46">
        <f>IF(VLOOKUP($C485,REV!$C:$AA,16,0)-'TRADE IN'!$F485=0,"",(VLOOKUP($C485,REV!$C:$AA,16,0)-'TRADE IN'!$F485))</f>
        <v>6599</v>
      </c>
      <c r="S485" s="46">
        <f>IF(VLOOKUP($C485,REV!$C:$AA,17,0)-'TRADE IN'!$F485=0,"",(VLOOKUP($C485,REV!$C:$AA,17,0)-'TRADE IN'!$F485))</f>
        <v>6499</v>
      </c>
      <c r="T485" s="46">
        <f>IF(VLOOKUP($C485,REV!$C:$AA,18,0)-'TRADE IN'!$F485=0,"",(VLOOKUP($C485,REV!$C:$AA,18,0)-'TRADE IN'!$F485))</f>
        <v>6199</v>
      </c>
      <c r="U485" s="46">
        <f>IF(VLOOKUP($C485,REV!$C:$AA,19,0)-'TRADE IN'!$F485=0,"",(VLOOKUP($C485,REV!$C:$AA,19,0)-'TRADE IN'!$F485))</f>
        <v>6199</v>
      </c>
      <c r="V485" s="46">
        <f>IF(VLOOKUP($C485,REV!$C:$AA,20,0)-'TRADE IN'!$F485=0,"",(VLOOKUP($C485,REV!$C:$AA,20,0)-'TRADE IN'!$F485))</f>
        <v>6199</v>
      </c>
      <c r="W485" s="46">
        <f>IF(VLOOKUP($C485,REV!$C:$AA,21,0)-'TRADE IN'!$F485=0,"",(VLOOKUP($C485,REV!$C:$AA,21,0)-'TRADE IN'!$F485))</f>
        <v>6199</v>
      </c>
      <c r="X485" s="46">
        <f>IF(VLOOKUP($C485,REV!$C:$AA,22,0)-'TRADE IN'!$F485=0,"",(VLOOKUP($C485,REV!$C:$AA,22,0)-'TRADE IN'!$F485))</f>
        <v>6099</v>
      </c>
      <c r="Y485" s="46">
        <f>IF(VLOOKUP($C485,REV!$C:$AA,23,0)-'TRADE IN'!$F485=0,"",(VLOOKUP($C485,REV!$C:$AA,23,0)-'TRADE IN'!$F485))</f>
        <v>3999</v>
      </c>
      <c r="Z485" s="46">
        <f>IF(VLOOKUP($C485,REV!$C:$AA,24,0)-'TRADE IN'!$F485=0,"",(VLOOKUP($C485,REV!$C:$AA,24,0)-'TRADE IN'!$F485))</f>
        <v>3999</v>
      </c>
      <c r="AA485" s="46">
        <f>IF(VLOOKUP($C485,REV!$C:$AA,25,0)-'TRADE IN'!$F485=0,"",(VLOOKUP($C485,REV!$C:$AA,25,0)-'TRADE IN'!$F485))</f>
        <v>3999</v>
      </c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7"/>
      <c r="AW485" s="48" t="str">
        <f>REV!AW485</f>
        <v>01.12.2026</v>
      </c>
      <c r="AX485" s="153" t="str">
        <f>VLOOKUP(C485,REV!C:AX,48,0)</f>
        <v>5G</v>
      </c>
    </row>
    <row r="486" spans="1:50" ht="22.5" customHeight="1">
      <c r="A486" s="41" t="s">
        <v>63</v>
      </c>
      <c r="B486" s="42" t="s">
        <v>64</v>
      </c>
      <c r="C486" s="43">
        <v>4017187</v>
      </c>
      <c r="D486" s="58" t="s">
        <v>697</v>
      </c>
      <c r="E486" s="58" t="s">
        <v>698</v>
      </c>
      <c r="F486" s="45"/>
      <c r="G486" s="45"/>
      <c r="H486" s="45"/>
      <c r="I486" s="45"/>
      <c r="J486" s="46">
        <f>IF(VLOOKUP($C486,REV!$C:$AA,8,0)-'TRADE IN'!$F486=0,"",(VLOOKUP($C486,REV!$C:$AA,8,0)-'TRADE IN'!$F486))</f>
        <v>6899</v>
      </c>
      <c r="K486" s="46">
        <f>IF(VLOOKUP($C486,REV!$C:$AA,9,0)-'TRADE IN'!$F486=0,"",(VLOOKUP($C486,REV!$C:$AA,9,0)-'TRADE IN'!$F486))</f>
        <v>6899</v>
      </c>
      <c r="L486" s="46">
        <f>IF(VLOOKUP($C486,REV!$C:$AA,10,0)-'TRADE IN'!$F486=0,"",(VLOOKUP($C486,REV!$C:$AA,10,0)-'TRADE IN'!$F486))</f>
        <v>6899</v>
      </c>
      <c r="M486" s="46">
        <f>IF(VLOOKUP($C486,REV!$C:$AA,11,0)-'TRADE IN'!$F486=0,"",(VLOOKUP($C486,REV!$C:$AA,11,0)-'TRADE IN'!$F486))</f>
        <v>6899</v>
      </c>
      <c r="N486" s="46">
        <f>IF(VLOOKUP($C486,REV!$C:$AA,12,0)-'TRADE IN'!$F486=0,"",(VLOOKUP($C486,REV!$C:$AA,12,0)-'TRADE IN'!$F486))</f>
        <v>6899</v>
      </c>
      <c r="O486" s="46">
        <f>IF(VLOOKUP($C486,REV!$C:$AA,13,0)-'TRADE IN'!$F486=0,"",(VLOOKUP($C486,REV!$C:$AA,13,0)-'TRADE IN'!$F486))</f>
        <v>6799</v>
      </c>
      <c r="P486" s="46">
        <f>IF(VLOOKUP($C486,REV!$C:$AA,14,0)-'TRADE IN'!$F486=0,"",(VLOOKUP($C486,REV!$C:$AA,14,0)-'TRADE IN'!$F486))</f>
        <v>6699</v>
      </c>
      <c r="Q486" s="46">
        <f>IF(VLOOKUP($C486,REV!$C:$AA,15,0)-'TRADE IN'!$F486=0,"",(VLOOKUP($C486,REV!$C:$AA,15,0)-'TRADE IN'!$F486))</f>
        <v>6399</v>
      </c>
      <c r="R486" s="46">
        <f>IF(VLOOKUP($C486,REV!$C:$AA,16,0)-'TRADE IN'!$F486=0,"",(VLOOKUP($C486,REV!$C:$AA,16,0)-'TRADE IN'!$F486))</f>
        <v>6799</v>
      </c>
      <c r="S486" s="46">
        <f>IF(VLOOKUP($C486,REV!$C:$AA,17,0)-'TRADE IN'!$F486=0,"",(VLOOKUP($C486,REV!$C:$AA,17,0)-'TRADE IN'!$F486))</f>
        <v>6699</v>
      </c>
      <c r="T486" s="46">
        <f>IF(VLOOKUP($C486,REV!$C:$AA,18,0)-'TRADE IN'!$F486=0,"",(VLOOKUP($C486,REV!$C:$AA,18,0)-'TRADE IN'!$F486))</f>
        <v>6399</v>
      </c>
      <c r="U486" s="46">
        <f>IF(VLOOKUP($C486,REV!$C:$AA,19,0)-'TRADE IN'!$F486=0,"",(VLOOKUP($C486,REV!$C:$AA,19,0)-'TRADE IN'!$F486))</f>
        <v>6399</v>
      </c>
      <c r="V486" s="46">
        <f>IF(VLOOKUP($C486,REV!$C:$AA,20,0)-'TRADE IN'!$F486=0,"",(VLOOKUP($C486,REV!$C:$AA,20,0)-'TRADE IN'!$F486))</f>
        <v>6399</v>
      </c>
      <c r="W486" s="46">
        <f>IF(VLOOKUP($C486,REV!$C:$AA,21,0)-'TRADE IN'!$F486=0,"",(VLOOKUP($C486,REV!$C:$AA,21,0)-'TRADE IN'!$F486))</f>
        <v>6399</v>
      </c>
      <c r="X486" s="46">
        <f>IF(VLOOKUP($C486,REV!$C:$AA,22,0)-'TRADE IN'!$F486=0,"",(VLOOKUP($C486,REV!$C:$AA,22,0)-'TRADE IN'!$F486))</f>
        <v>6299</v>
      </c>
      <c r="Y486" s="46">
        <f>IF(VLOOKUP($C486,REV!$C:$AA,23,0)-'TRADE IN'!$F486=0,"",(VLOOKUP($C486,REV!$C:$AA,23,0)-'TRADE IN'!$F486))</f>
        <v>4699</v>
      </c>
      <c r="Z486" s="46">
        <f>IF(VLOOKUP($C486,REV!$C:$AA,24,0)-'TRADE IN'!$F486=0,"",(VLOOKUP($C486,REV!$C:$AA,24,0)-'TRADE IN'!$F486))</f>
        <v>4699</v>
      </c>
      <c r="AA486" s="46">
        <f>IF(VLOOKUP($C486,REV!$C:$AA,25,0)-'TRADE IN'!$F486=0,"",(VLOOKUP($C486,REV!$C:$AA,25,0)-'TRADE IN'!$F486))</f>
        <v>4649</v>
      </c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7"/>
      <c r="AW486" s="48" t="str">
        <f>REV!AW486</f>
        <v>01.12.2026</v>
      </c>
      <c r="AX486" s="153" t="str">
        <f>VLOOKUP(C486,REV!C:AX,48,0)</f>
        <v>5G</v>
      </c>
    </row>
    <row r="487" spans="1:50" ht="22.5" customHeight="1">
      <c r="A487" s="41" t="s">
        <v>63</v>
      </c>
      <c r="B487" s="42" t="s">
        <v>64</v>
      </c>
      <c r="C487" s="43">
        <v>4017183</v>
      </c>
      <c r="D487" s="58" t="s">
        <v>699</v>
      </c>
      <c r="E487" s="58" t="s">
        <v>700</v>
      </c>
      <c r="F487" s="45">
        <v>500</v>
      </c>
      <c r="G487" s="45"/>
      <c r="H487" s="45"/>
      <c r="I487" s="45"/>
      <c r="J487" s="46">
        <f>IF(VLOOKUP($C487,REV!$C:$AA,8,0)-'TRADE IN'!$F487=0,"",(VLOOKUP($C487,REV!$C:$AA,8,0)-'TRADE IN'!$F487))</f>
        <v>3899</v>
      </c>
      <c r="K487" s="46">
        <f>IF(VLOOKUP($C487,REV!$C:$AA,9,0)-'TRADE IN'!$F487=0,"",(VLOOKUP($C487,REV!$C:$AA,9,0)-'TRADE IN'!$F487))</f>
        <v>3899</v>
      </c>
      <c r="L487" s="46">
        <f>IF(VLOOKUP($C487,REV!$C:$AA,10,0)-'TRADE IN'!$F487=0,"",(VLOOKUP($C487,REV!$C:$AA,10,0)-'TRADE IN'!$F487))</f>
        <v>3899</v>
      </c>
      <c r="M487" s="46">
        <f>IF(VLOOKUP($C487,REV!$C:$AA,11,0)-'TRADE IN'!$F487=0,"",(VLOOKUP($C487,REV!$C:$AA,11,0)-'TRADE IN'!$F487))</f>
        <v>3899</v>
      </c>
      <c r="N487" s="46">
        <f>IF(VLOOKUP($C487,REV!$C:$AA,12,0)-'TRADE IN'!$F487=0,"",(VLOOKUP($C487,REV!$C:$AA,12,0)-'TRADE IN'!$F487))</f>
        <v>3899</v>
      </c>
      <c r="O487" s="46">
        <f>IF(VLOOKUP($C487,REV!$C:$AA,13,0)-'TRADE IN'!$F487=0,"",(VLOOKUP($C487,REV!$C:$AA,13,0)-'TRADE IN'!$F487))</f>
        <v>3799</v>
      </c>
      <c r="P487" s="46">
        <f>IF(VLOOKUP($C487,REV!$C:$AA,14,0)-'TRADE IN'!$F487=0,"",(VLOOKUP($C487,REV!$C:$AA,14,0)-'TRADE IN'!$F487))</f>
        <v>3699</v>
      </c>
      <c r="Q487" s="46">
        <f>IF(VLOOKUP($C487,REV!$C:$AA,15,0)-'TRADE IN'!$F487=0,"",(VLOOKUP($C487,REV!$C:$AA,15,0)-'TRADE IN'!$F487))</f>
        <v>3499</v>
      </c>
      <c r="R487" s="46">
        <f>IF(VLOOKUP($C487,REV!$C:$AA,16,0)-'TRADE IN'!$F487=0,"",(VLOOKUP($C487,REV!$C:$AA,16,0)-'TRADE IN'!$F487))</f>
        <v>3799</v>
      </c>
      <c r="S487" s="46">
        <f>IF(VLOOKUP($C487,REV!$C:$AA,17,0)-'TRADE IN'!$F487=0,"",(VLOOKUP($C487,REV!$C:$AA,17,0)-'TRADE IN'!$F487))</f>
        <v>3699</v>
      </c>
      <c r="T487" s="46">
        <f>IF(VLOOKUP($C487,REV!$C:$AA,18,0)-'TRADE IN'!$F487=0,"",(VLOOKUP($C487,REV!$C:$AA,18,0)-'TRADE IN'!$F487))</f>
        <v>3499</v>
      </c>
      <c r="U487" s="46">
        <f>IF(VLOOKUP($C487,REV!$C:$AA,19,0)-'TRADE IN'!$F487=0,"",(VLOOKUP($C487,REV!$C:$AA,19,0)-'TRADE IN'!$F487))</f>
        <v>3499</v>
      </c>
      <c r="V487" s="46">
        <f>IF(VLOOKUP($C487,REV!$C:$AA,20,0)-'TRADE IN'!$F487=0,"",(VLOOKUP($C487,REV!$C:$AA,20,0)-'TRADE IN'!$F487))</f>
        <v>3499</v>
      </c>
      <c r="W487" s="46">
        <f>IF(VLOOKUP($C487,REV!$C:$AA,21,0)-'TRADE IN'!$F487=0,"",(VLOOKUP($C487,REV!$C:$AA,21,0)-'TRADE IN'!$F487))</f>
        <v>3499</v>
      </c>
      <c r="X487" s="46">
        <f>IF(VLOOKUP($C487,REV!$C:$AA,22,0)-'TRADE IN'!$F487=0,"",(VLOOKUP($C487,REV!$C:$AA,22,0)-'TRADE IN'!$F487))</f>
        <v>3399</v>
      </c>
      <c r="Y487" s="46">
        <f>IF(VLOOKUP($C487,REV!$C:$AA,23,0)-'TRADE IN'!$F487=0,"",(VLOOKUP($C487,REV!$C:$AA,23,0)-'TRADE IN'!$F487))</f>
        <v>1899</v>
      </c>
      <c r="Z487" s="46">
        <f>IF(VLOOKUP($C487,REV!$C:$AA,24,0)-'TRADE IN'!$F487=0,"",(VLOOKUP($C487,REV!$C:$AA,24,0)-'TRADE IN'!$F487))</f>
        <v>1899</v>
      </c>
      <c r="AA487" s="46">
        <f>IF(VLOOKUP($C487,REV!$C:$AA,25,0)-'TRADE IN'!$F487=0,"",(VLOOKUP($C487,REV!$C:$AA,25,0)-'TRADE IN'!$F487))</f>
        <v>1899</v>
      </c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7"/>
      <c r="AW487" s="48" t="str">
        <f>REV!AW487</f>
        <v>01.12.2026</v>
      </c>
      <c r="AX487" s="153" t="str">
        <f>VLOOKUP(C487,REV!C:AX,48,0)</f>
        <v>5G</v>
      </c>
    </row>
    <row r="488" spans="1:50" ht="22.5" customHeight="1">
      <c r="A488" s="41" t="s">
        <v>63</v>
      </c>
      <c r="B488" s="42" t="s">
        <v>64</v>
      </c>
      <c r="C488" s="43">
        <v>4018080</v>
      </c>
      <c r="D488" s="58" t="s">
        <v>701</v>
      </c>
      <c r="E488" s="58" t="s">
        <v>702</v>
      </c>
      <c r="F488" s="45">
        <v>1700</v>
      </c>
      <c r="G488" s="45">
        <v>6899</v>
      </c>
      <c r="H488" s="45">
        <v>7599</v>
      </c>
      <c r="I488" s="45">
        <v>7599</v>
      </c>
      <c r="J488" s="46">
        <f>IF(VLOOKUP($C488,REV!$C:$AA,8,0)-'TRADE IN'!$F488=0,"",(VLOOKUP($C488,REV!$C:$AA,8,0)-'TRADE IN'!$F488))</f>
        <v>5799</v>
      </c>
      <c r="K488" s="46">
        <f>IF(VLOOKUP($C488,REV!$C:$AA,9,0)-'TRADE IN'!$F488=0,"",(VLOOKUP($C488,REV!$C:$AA,9,0)-'TRADE IN'!$F488))</f>
        <v>5799</v>
      </c>
      <c r="L488" s="46">
        <f>IF(VLOOKUP($C488,REV!$C:$AA,10,0)-'TRADE IN'!$F488=0,"",(VLOOKUP($C488,REV!$C:$AA,10,0)-'TRADE IN'!$F488))</f>
        <v>5799</v>
      </c>
      <c r="M488" s="46">
        <f>IF(VLOOKUP($C488,REV!$C:$AA,11,0)-'TRADE IN'!$F488=0,"",(VLOOKUP($C488,REV!$C:$AA,11,0)-'TRADE IN'!$F488))</f>
        <v>5799</v>
      </c>
      <c r="N488" s="46">
        <f>IF(VLOOKUP($C488,REV!$C:$AA,12,0)-'TRADE IN'!$F488=0,"",(VLOOKUP($C488,REV!$C:$AA,12,0)-'TRADE IN'!$F488))</f>
        <v>5799</v>
      </c>
      <c r="O488" s="46">
        <f>IF(VLOOKUP($C488,REV!$C:$AA,13,0)-'TRADE IN'!$F488=0,"",(VLOOKUP($C488,REV!$C:$AA,13,0)-'TRADE IN'!$F488))</f>
        <v>5699</v>
      </c>
      <c r="P488" s="46">
        <f>IF(VLOOKUP($C488,REV!$C:$AA,14,0)-'TRADE IN'!$F488=0,"",(VLOOKUP($C488,REV!$C:$AA,14,0)-'TRADE IN'!$F488))</f>
        <v>5599</v>
      </c>
      <c r="Q488" s="46">
        <f>IF(VLOOKUP($C488,REV!$C:$AA,15,0)-'TRADE IN'!$F488=0,"",(VLOOKUP($C488,REV!$C:$AA,15,0)-'TRADE IN'!$F488))</f>
        <v>4899</v>
      </c>
      <c r="R488" s="46">
        <f>IF(VLOOKUP($C488,REV!$C:$AA,16,0)-'TRADE IN'!$F488=0,"",(VLOOKUP($C488,REV!$C:$AA,16,0)-'TRADE IN'!$F488))</f>
        <v>5699</v>
      </c>
      <c r="S488" s="46">
        <f>IF(VLOOKUP($C488,REV!$C:$AA,17,0)-'TRADE IN'!$F488=0,"",(VLOOKUP($C488,REV!$C:$AA,17,0)-'TRADE IN'!$F488))</f>
        <v>5599</v>
      </c>
      <c r="T488" s="46">
        <f>IF(VLOOKUP($C488,REV!$C:$AA,18,0)-'TRADE IN'!$F488=0,"",(VLOOKUP($C488,REV!$C:$AA,18,0)-'TRADE IN'!$F488))</f>
        <v>4899</v>
      </c>
      <c r="U488" s="46">
        <f>IF(VLOOKUP($C488,REV!$C:$AA,19,0)-'TRADE IN'!$F488=0,"",(VLOOKUP($C488,REV!$C:$AA,19,0)-'TRADE IN'!$F488))</f>
        <v>4899</v>
      </c>
      <c r="V488" s="46">
        <f>IF(VLOOKUP($C488,REV!$C:$AA,20,0)-'TRADE IN'!$F488=0,"",(VLOOKUP($C488,REV!$C:$AA,20,0)-'TRADE IN'!$F488))</f>
        <v>4899</v>
      </c>
      <c r="W488" s="46">
        <f>IF(VLOOKUP($C488,REV!$C:$AA,21,0)-'TRADE IN'!$F488=0,"",(VLOOKUP($C488,REV!$C:$AA,21,0)-'TRADE IN'!$F488))</f>
        <v>4899</v>
      </c>
      <c r="X488" s="46">
        <f>IF(VLOOKUP($C488,REV!$C:$AA,22,0)-'TRADE IN'!$F488=0,"",(VLOOKUP($C488,REV!$C:$AA,22,0)-'TRADE IN'!$F488))</f>
        <v>4799</v>
      </c>
      <c r="Y488" s="46">
        <f>IF(VLOOKUP($C488,REV!$C:$AA,23,0)-'TRADE IN'!$F488=0,"",(VLOOKUP($C488,REV!$C:$AA,23,0)-'TRADE IN'!$F488))</f>
        <v>3299</v>
      </c>
      <c r="Z488" s="46">
        <f>IF(VLOOKUP($C488,REV!$C:$AA,24,0)-'TRADE IN'!$F488=0,"",(VLOOKUP($C488,REV!$C:$AA,24,0)-'TRADE IN'!$F488))</f>
        <v>3299</v>
      </c>
      <c r="AA488" s="46">
        <f>IF(VLOOKUP($C488,REV!$C:$AA,25,0)-'TRADE IN'!$F488=0,"",(VLOOKUP($C488,REV!$C:$AA,25,0)-'TRADE IN'!$F488))</f>
        <v>3099</v>
      </c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7"/>
      <c r="AW488" s="48" t="str">
        <f>REV!AW488</f>
        <v>01.12.2026</v>
      </c>
      <c r="AX488" s="153" t="str">
        <f>VLOOKUP(C488,REV!C:AX,48,0)</f>
        <v>5G</v>
      </c>
    </row>
    <row r="489" spans="1:50" ht="22.5" customHeight="1">
      <c r="A489" s="41" t="s">
        <v>63</v>
      </c>
      <c r="B489" s="42" t="s">
        <v>64</v>
      </c>
      <c r="C489" s="43">
        <v>4018086</v>
      </c>
      <c r="D489" s="58" t="s">
        <v>701</v>
      </c>
      <c r="E489" s="58" t="s">
        <v>703</v>
      </c>
      <c r="F489" s="45">
        <v>1700</v>
      </c>
      <c r="G489" s="45">
        <v>6899</v>
      </c>
      <c r="H489" s="45">
        <v>7599</v>
      </c>
      <c r="I489" s="45">
        <v>7599</v>
      </c>
      <c r="J489" s="46">
        <f>IF(VLOOKUP($C489,REV!$C:$AA,8,0)-'TRADE IN'!$F489=0,"",(VLOOKUP($C489,REV!$C:$AA,8,0)-'TRADE IN'!$F489))</f>
        <v>5799</v>
      </c>
      <c r="K489" s="46">
        <f>IF(VLOOKUP($C489,REV!$C:$AA,9,0)-'TRADE IN'!$F489=0,"",(VLOOKUP($C489,REV!$C:$AA,9,0)-'TRADE IN'!$F489))</f>
        <v>5799</v>
      </c>
      <c r="L489" s="46">
        <f>IF(VLOOKUP($C489,REV!$C:$AA,10,0)-'TRADE IN'!$F489=0,"",(VLOOKUP($C489,REV!$C:$AA,10,0)-'TRADE IN'!$F489))</f>
        <v>5799</v>
      </c>
      <c r="M489" s="46">
        <f>IF(VLOOKUP($C489,REV!$C:$AA,11,0)-'TRADE IN'!$F489=0,"",(VLOOKUP($C489,REV!$C:$AA,11,0)-'TRADE IN'!$F489))</f>
        <v>5799</v>
      </c>
      <c r="N489" s="46">
        <f>IF(VLOOKUP($C489,REV!$C:$AA,12,0)-'TRADE IN'!$F489=0,"",(VLOOKUP($C489,REV!$C:$AA,12,0)-'TRADE IN'!$F489))</f>
        <v>5799</v>
      </c>
      <c r="O489" s="46">
        <f>IF(VLOOKUP($C489,REV!$C:$AA,13,0)-'TRADE IN'!$F489=0,"",(VLOOKUP($C489,REV!$C:$AA,13,0)-'TRADE IN'!$F489))</f>
        <v>5699</v>
      </c>
      <c r="P489" s="46">
        <f>IF(VLOOKUP($C489,REV!$C:$AA,14,0)-'TRADE IN'!$F489=0,"",(VLOOKUP($C489,REV!$C:$AA,14,0)-'TRADE IN'!$F489))</f>
        <v>5599</v>
      </c>
      <c r="Q489" s="46">
        <f>IF(VLOOKUP($C489,REV!$C:$AA,15,0)-'TRADE IN'!$F489=0,"",(VLOOKUP($C489,REV!$C:$AA,15,0)-'TRADE IN'!$F489))</f>
        <v>4899</v>
      </c>
      <c r="R489" s="46">
        <f>IF(VLOOKUP($C489,REV!$C:$AA,16,0)-'TRADE IN'!$F489=0,"",(VLOOKUP($C489,REV!$C:$AA,16,0)-'TRADE IN'!$F489))</f>
        <v>5699</v>
      </c>
      <c r="S489" s="46">
        <f>IF(VLOOKUP($C489,REV!$C:$AA,17,0)-'TRADE IN'!$F489=0,"",(VLOOKUP($C489,REV!$C:$AA,17,0)-'TRADE IN'!$F489))</f>
        <v>5599</v>
      </c>
      <c r="T489" s="46">
        <f>IF(VLOOKUP($C489,REV!$C:$AA,18,0)-'TRADE IN'!$F489=0,"",(VLOOKUP($C489,REV!$C:$AA,18,0)-'TRADE IN'!$F489))</f>
        <v>4899</v>
      </c>
      <c r="U489" s="46">
        <f>IF(VLOOKUP($C489,REV!$C:$AA,19,0)-'TRADE IN'!$F489=0,"",(VLOOKUP($C489,REV!$C:$AA,19,0)-'TRADE IN'!$F489))</f>
        <v>4899</v>
      </c>
      <c r="V489" s="46">
        <f>IF(VLOOKUP($C489,REV!$C:$AA,20,0)-'TRADE IN'!$F489=0,"",(VLOOKUP($C489,REV!$C:$AA,20,0)-'TRADE IN'!$F489))</f>
        <v>4899</v>
      </c>
      <c r="W489" s="46">
        <f>IF(VLOOKUP($C489,REV!$C:$AA,21,0)-'TRADE IN'!$F489=0,"",(VLOOKUP($C489,REV!$C:$AA,21,0)-'TRADE IN'!$F489))</f>
        <v>4899</v>
      </c>
      <c r="X489" s="46">
        <f>IF(VLOOKUP($C489,REV!$C:$AA,22,0)-'TRADE IN'!$F489=0,"",(VLOOKUP($C489,REV!$C:$AA,22,0)-'TRADE IN'!$F489))</f>
        <v>4799</v>
      </c>
      <c r="Y489" s="46">
        <f>IF(VLOOKUP($C489,REV!$C:$AA,23,0)-'TRADE IN'!$F489=0,"",(VLOOKUP($C489,REV!$C:$AA,23,0)-'TRADE IN'!$F489))</f>
        <v>3299</v>
      </c>
      <c r="Z489" s="46">
        <f>IF(VLOOKUP($C489,REV!$C:$AA,24,0)-'TRADE IN'!$F489=0,"",(VLOOKUP($C489,REV!$C:$AA,24,0)-'TRADE IN'!$F489))</f>
        <v>3299</v>
      </c>
      <c r="AA489" s="46">
        <f>IF(VLOOKUP($C489,REV!$C:$AA,25,0)-'TRADE IN'!$F489=0,"",(VLOOKUP($C489,REV!$C:$AA,25,0)-'TRADE IN'!$F489))</f>
        <v>3099</v>
      </c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7"/>
      <c r="AW489" s="48" t="str">
        <f>REV!AW489</f>
        <v>01.12.2026</v>
      </c>
      <c r="AX489" s="153" t="str">
        <f>VLOOKUP(C489,REV!C:AX,48,0)</f>
        <v>5G</v>
      </c>
    </row>
    <row r="490" spans="1:50" ht="22.5" customHeight="1">
      <c r="A490" s="41" t="s">
        <v>63</v>
      </c>
      <c r="B490" s="42" t="s">
        <v>64</v>
      </c>
      <c r="C490" s="43">
        <v>4018097</v>
      </c>
      <c r="D490" s="58" t="s">
        <v>704</v>
      </c>
      <c r="E490" s="58" t="s">
        <v>705</v>
      </c>
      <c r="F490" s="45">
        <v>1700</v>
      </c>
      <c r="G490" s="45">
        <v>7399</v>
      </c>
      <c r="H490" s="45">
        <v>8199</v>
      </c>
      <c r="I490" s="45">
        <v>8199</v>
      </c>
      <c r="J490" s="46">
        <f>IF(VLOOKUP($C490,REV!$C:$AA,8,0)-'TRADE IN'!$F490=0,"",(VLOOKUP($C490,REV!$C:$AA,8,0)-'TRADE IN'!$F490))</f>
        <v>6299</v>
      </c>
      <c r="K490" s="46">
        <f>IF(VLOOKUP($C490,REV!$C:$AA,9,0)-'TRADE IN'!$F490=0,"",(VLOOKUP($C490,REV!$C:$AA,9,0)-'TRADE IN'!$F490))</f>
        <v>6299</v>
      </c>
      <c r="L490" s="46">
        <f>IF(VLOOKUP($C490,REV!$C:$AA,10,0)-'TRADE IN'!$F490=0,"",(VLOOKUP($C490,REV!$C:$AA,10,0)-'TRADE IN'!$F490))</f>
        <v>6299</v>
      </c>
      <c r="M490" s="46">
        <f>IF(VLOOKUP($C490,REV!$C:$AA,11,0)-'TRADE IN'!$F490=0,"",(VLOOKUP($C490,REV!$C:$AA,11,0)-'TRADE IN'!$F490))</f>
        <v>6299</v>
      </c>
      <c r="N490" s="46">
        <f>IF(VLOOKUP($C490,REV!$C:$AA,12,0)-'TRADE IN'!$F490=0,"",(VLOOKUP($C490,REV!$C:$AA,12,0)-'TRADE IN'!$F490))</f>
        <v>6299</v>
      </c>
      <c r="O490" s="46">
        <f>IF(VLOOKUP($C490,REV!$C:$AA,13,0)-'TRADE IN'!$F490=0,"",(VLOOKUP($C490,REV!$C:$AA,13,0)-'TRADE IN'!$F490))</f>
        <v>6199</v>
      </c>
      <c r="P490" s="46">
        <f>IF(VLOOKUP($C490,REV!$C:$AA,14,0)-'TRADE IN'!$F490=0,"",(VLOOKUP($C490,REV!$C:$AA,14,0)-'TRADE IN'!$F490))</f>
        <v>6099</v>
      </c>
      <c r="Q490" s="46">
        <f>IF(VLOOKUP($C490,REV!$C:$AA,15,0)-'TRADE IN'!$F490=0,"",(VLOOKUP($C490,REV!$C:$AA,15,0)-'TRADE IN'!$F490))</f>
        <v>5599</v>
      </c>
      <c r="R490" s="46">
        <f>IF(VLOOKUP($C490,REV!$C:$AA,16,0)-'TRADE IN'!$F490=0,"",(VLOOKUP($C490,REV!$C:$AA,16,0)-'TRADE IN'!$F490))</f>
        <v>6199</v>
      </c>
      <c r="S490" s="46">
        <f>IF(VLOOKUP($C490,REV!$C:$AA,17,0)-'TRADE IN'!$F490=0,"",(VLOOKUP($C490,REV!$C:$AA,17,0)-'TRADE IN'!$F490))</f>
        <v>6099</v>
      </c>
      <c r="T490" s="46">
        <f>IF(VLOOKUP($C490,REV!$C:$AA,18,0)-'TRADE IN'!$F490=0,"",(VLOOKUP($C490,REV!$C:$AA,18,0)-'TRADE IN'!$F490))</f>
        <v>5599</v>
      </c>
      <c r="U490" s="46">
        <f>IF(VLOOKUP($C490,REV!$C:$AA,19,0)-'TRADE IN'!$F490=0,"",(VLOOKUP($C490,REV!$C:$AA,19,0)-'TRADE IN'!$F490))</f>
        <v>5599</v>
      </c>
      <c r="V490" s="46">
        <f>IF(VLOOKUP($C490,REV!$C:$AA,20,0)-'TRADE IN'!$F490=0,"",(VLOOKUP($C490,REV!$C:$AA,20,0)-'TRADE IN'!$F490))</f>
        <v>5599</v>
      </c>
      <c r="W490" s="46">
        <f>IF(VLOOKUP($C490,REV!$C:$AA,21,0)-'TRADE IN'!$F490=0,"",(VLOOKUP($C490,REV!$C:$AA,21,0)-'TRADE IN'!$F490))</f>
        <v>5599</v>
      </c>
      <c r="X490" s="46">
        <f>IF(VLOOKUP($C490,REV!$C:$AA,22,0)-'TRADE IN'!$F490=0,"",(VLOOKUP($C490,REV!$C:$AA,22,0)-'TRADE IN'!$F490))</f>
        <v>5499</v>
      </c>
      <c r="Y490" s="46">
        <f>IF(VLOOKUP($C490,REV!$C:$AA,23,0)-'TRADE IN'!$F490=0,"",(VLOOKUP($C490,REV!$C:$AA,23,0)-'TRADE IN'!$F490))</f>
        <v>3799</v>
      </c>
      <c r="Z490" s="46">
        <f>IF(VLOOKUP($C490,REV!$C:$AA,24,0)-'TRADE IN'!$F490=0,"",(VLOOKUP($C490,REV!$C:$AA,24,0)-'TRADE IN'!$F490))</f>
        <v>3799</v>
      </c>
      <c r="AA490" s="46">
        <f>IF(VLOOKUP($C490,REV!$C:$AA,25,0)-'TRADE IN'!$F490=0,"",(VLOOKUP($C490,REV!$C:$AA,25,0)-'TRADE IN'!$F490))</f>
        <v>3599</v>
      </c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7"/>
      <c r="AW490" s="48" t="str">
        <f>REV!AW490</f>
        <v>01.12.2026</v>
      </c>
      <c r="AX490" s="153" t="str">
        <f>VLOOKUP(C490,REV!C:AX,48,0)</f>
        <v>5G</v>
      </c>
    </row>
    <row r="491" spans="1:50" ht="22.5" customHeight="1">
      <c r="A491" s="41" t="s">
        <v>63</v>
      </c>
      <c r="B491" s="42" t="s">
        <v>64</v>
      </c>
      <c r="C491" s="43">
        <v>4018101</v>
      </c>
      <c r="D491" s="58" t="s">
        <v>704</v>
      </c>
      <c r="E491" s="58" t="s">
        <v>706</v>
      </c>
      <c r="F491" s="45">
        <v>1700</v>
      </c>
      <c r="G491" s="45">
        <v>7399</v>
      </c>
      <c r="H491" s="45">
        <v>8199</v>
      </c>
      <c r="I491" s="45">
        <v>8199</v>
      </c>
      <c r="J491" s="46">
        <f>IF(VLOOKUP($C491,REV!$C:$AA,8,0)-'TRADE IN'!$F491=0,"",(VLOOKUP($C491,REV!$C:$AA,8,0)-'TRADE IN'!$F491))</f>
        <v>6299</v>
      </c>
      <c r="K491" s="46">
        <f>IF(VLOOKUP($C491,REV!$C:$AA,9,0)-'TRADE IN'!$F491=0,"",(VLOOKUP($C491,REV!$C:$AA,9,0)-'TRADE IN'!$F491))</f>
        <v>6299</v>
      </c>
      <c r="L491" s="46">
        <f>IF(VLOOKUP($C491,REV!$C:$AA,10,0)-'TRADE IN'!$F491=0,"",(VLOOKUP($C491,REV!$C:$AA,10,0)-'TRADE IN'!$F491))</f>
        <v>6299</v>
      </c>
      <c r="M491" s="46">
        <f>IF(VLOOKUP($C491,REV!$C:$AA,11,0)-'TRADE IN'!$F491=0,"",(VLOOKUP($C491,REV!$C:$AA,11,0)-'TRADE IN'!$F491))</f>
        <v>6299</v>
      </c>
      <c r="N491" s="46">
        <f>IF(VLOOKUP($C491,REV!$C:$AA,12,0)-'TRADE IN'!$F491=0,"",(VLOOKUP($C491,REV!$C:$AA,12,0)-'TRADE IN'!$F491))</f>
        <v>6299</v>
      </c>
      <c r="O491" s="46">
        <f>IF(VLOOKUP($C491,REV!$C:$AA,13,0)-'TRADE IN'!$F491=0,"",(VLOOKUP($C491,REV!$C:$AA,13,0)-'TRADE IN'!$F491))</f>
        <v>6199</v>
      </c>
      <c r="P491" s="46">
        <f>IF(VLOOKUP($C491,REV!$C:$AA,14,0)-'TRADE IN'!$F491=0,"",(VLOOKUP($C491,REV!$C:$AA,14,0)-'TRADE IN'!$F491))</f>
        <v>6099</v>
      </c>
      <c r="Q491" s="46">
        <f>IF(VLOOKUP($C491,REV!$C:$AA,15,0)-'TRADE IN'!$F491=0,"",(VLOOKUP($C491,REV!$C:$AA,15,0)-'TRADE IN'!$F491))</f>
        <v>5599</v>
      </c>
      <c r="R491" s="46">
        <f>IF(VLOOKUP($C491,REV!$C:$AA,16,0)-'TRADE IN'!$F491=0,"",(VLOOKUP($C491,REV!$C:$AA,16,0)-'TRADE IN'!$F491))</f>
        <v>6199</v>
      </c>
      <c r="S491" s="46">
        <f>IF(VLOOKUP($C491,REV!$C:$AA,17,0)-'TRADE IN'!$F491=0,"",(VLOOKUP($C491,REV!$C:$AA,17,0)-'TRADE IN'!$F491))</f>
        <v>6099</v>
      </c>
      <c r="T491" s="46">
        <f>IF(VLOOKUP($C491,REV!$C:$AA,18,0)-'TRADE IN'!$F491=0,"",(VLOOKUP($C491,REV!$C:$AA,18,0)-'TRADE IN'!$F491))</f>
        <v>5599</v>
      </c>
      <c r="U491" s="46">
        <f>IF(VLOOKUP($C491,REV!$C:$AA,19,0)-'TRADE IN'!$F491=0,"",(VLOOKUP($C491,REV!$C:$AA,19,0)-'TRADE IN'!$F491))</f>
        <v>5599</v>
      </c>
      <c r="V491" s="46">
        <f>IF(VLOOKUP($C491,REV!$C:$AA,20,0)-'TRADE IN'!$F491=0,"",(VLOOKUP($C491,REV!$C:$AA,20,0)-'TRADE IN'!$F491))</f>
        <v>5599</v>
      </c>
      <c r="W491" s="46">
        <f>IF(VLOOKUP($C491,REV!$C:$AA,21,0)-'TRADE IN'!$F491=0,"",(VLOOKUP($C491,REV!$C:$AA,21,0)-'TRADE IN'!$F491))</f>
        <v>5599</v>
      </c>
      <c r="X491" s="46">
        <f>IF(VLOOKUP($C491,REV!$C:$AA,22,0)-'TRADE IN'!$F491=0,"",(VLOOKUP($C491,REV!$C:$AA,22,0)-'TRADE IN'!$F491))</f>
        <v>5499</v>
      </c>
      <c r="Y491" s="46">
        <f>IF(VLOOKUP($C491,REV!$C:$AA,23,0)-'TRADE IN'!$F491=0,"",(VLOOKUP($C491,REV!$C:$AA,23,0)-'TRADE IN'!$F491))</f>
        <v>3799</v>
      </c>
      <c r="Z491" s="46">
        <f>IF(VLOOKUP($C491,REV!$C:$AA,24,0)-'TRADE IN'!$F491=0,"",(VLOOKUP($C491,REV!$C:$AA,24,0)-'TRADE IN'!$F491))</f>
        <v>3799</v>
      </c>
      <c r="AA491" s="46">
        <f>IF(VLOOKUP($C491,REV!$C:$AA,25,0)-'TRADE IN'!$F491=0,"",(VLOOKUP($C491,REV!$C:$AA,25,0)-'TRADE IN'!$F491))</f>
        <v>3599</v>
      </c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7"/>
      <c r="AW491" s="48" t="str">
        <f>REV!AW491</f>
        <v>01.12.2026</v>
      </c>
      <c r="AX491" s="153" t="str">
        <f>VLOOKUP(C491,REV!C:AX,48,0)</f>
        <v>5G</v>
      </c>
    </row>
    <row r="492" spans="1:50" ht="22.5" customHeight="1">
      <c r="A492" s="41" t="s">
        <v>63</v>
      </c>
      <c r="B492" s="42" t="s">
        <v>64</v>
      </c>
      <c r="C492" s="43">
        <v>4016326</v>
      </c>
      <c r="D492" s="58" t="s">
        <v>707</v>
      </c>
      <c r="E492" s="58" t="s">
        <v>708</v>
      </c>
      <c r="F492" s="45"/>
      <c r="G492" s="45"/>
      <c r="H492" s="45"/>
      <c r="I492" s="45"/>
      <c r="J492" s="46">
        <f>IF(VLOOKUP($C492,REV!$C:$AA,8,0)-'TRADE IN'!$F492=0,"",(VLOOKUP($C492,REV!$C:$AA,8,0)-'TRADE IN'!$F492))</f>
        <v>7299</v>
      </c>
      <c r="K492" s="46">
        <f>IF(VLOOKUP($C492,REV!$C:$AA,9,0)-'TRADE IN'!$F492=0,"",(VLOOKUP($C492,REV!$C:$AA,9,0)-'TRADE IN'!$F492))</f>
        <v>7299</v>
      </c>
      <c r="L492" s="46">
        <f>IF(VLOOKUP($C492,REV!$C:$AA,10,0)-'TRADE IN'!$F492=0,"",(VLOOKUP($C492,REV!$C:$AA,10,0)-'TRADE IN'!$F492))</f>
        <v>7299</v>
      </c>
      <c r="M492" s="46">
        <f>IF(VLOOKUP($C492,REV!$C:$AA,11,0)-'TRADE IN'!$F492=0,"",(VLOOKUP($C492,REV!$C:$AA,11,0)-'TRADE IN'!$F492))</f>
        <v>7299</v>
      </c>
      <c r="N492" s="46">
        <f>IF(VLOOKUP($C492,REV!$C:$AA,12,0)-'TRADE IN'!$F492=0,"",(VLOOKUP($C492,REV!$C:$AA,12,0)-'TRADE IN'!$F492))</f>
        <v>7299</v>
      </c>
      <c r="O492" s="46">
        <f>IF(VLOOKUP($C492,REV!$C:$AA,13,0)-'TRADE IN'!$F492=0,"",(VLOOKUP($C492,REV!$C:$AA,13,0)-'TRADE IN'!$F492))</f>
        <v>7199</v>
      </c>
      <c r="P492" s="46">
        <f>IF(VLOOKUP($C492,REV!$C:$AA,14,0)-'TRADE IN'!$F492=0,"",(VLOOKUP($C492,REV!$C:$AA,14,0)-'TRADE IN'!$F492))</f>
        <v>7099</v>
      </c>
      <c r="Q492" s="46">
        <f>IF(VLOOKUP($C492,REV!$C:$AA,15,0)-'TRADE IN'!$F492=0,"",(VLOOKUP($C492,REV!$C:$AA,15,0)-'TRADE IN'!$F492))</f>
        <v>6799</v>
      </c>
      <c r="R492" s="46">
        <f>IF(VLOOKUP($C492,REV!$C:$AA,16,0)-'TRADE IN'!$F492=0,"",(VLOOKUP($C492,REV!$C:$AA,16,0)-'TRADE IN'!$F492))</f>
        <v>7199</v>
      </c>
      <c r="S492" s="46">
        <f>IF(VLOOKUP($C492,REV!$C:$AA,17,0)-'TRADE IN'!$F492=0,"",(VLOOKUP($C492,REV!$C:$AA,17,0)-'TRADE IN'!$F492))</f>
        <v>7099</v>
      </c>
      <c r="T492" s="46">
        <f>IF(VLOOKUP($C492,REV!$C:$AA,18,0)-'TRADE IN'!$F492=0,"",(VLOOKUP($C492,REV!$C:$AA,18,0)-'TRADE IN'!$F492))</f>
        <v>6799</v>
      </c>
      <c r="U492" s="46">
        <f>IF(VLOOKUP($C492,REV!$C:$AA,19,0)-'TRADE IN'!$F492=0,"",(VLOOKUP($C492,REV!$C:$AA,19,0)-'TRADE IN'!$F492))</f>
        <v>6799</v>
      </c>
      <c r="V492" s="46">
        <f>IF(VLOOKUP($C492,REV!$C:$AA,20,0)-'TRADE IN'!$F492=0,"",(VLOOKUP($C492,REV!$C:$AA,20,0)-'TRADE IN'!$F492))</f>
        <v>6799</v>
      </c>
      <c r="W492" s="46">
        <f>IF(VLOOKUP($C492,REV!$C:$AA,21,0)-'TRADE IN'!$F492=0,"",(VLOOKUP($C492,REV!$C:$AA,21,0)-'TRADE IN'!$F492))</f>
        <v>6799</v>
      </c>
      <c r="X492" s="46">
        <f>IF(VLOOKUP($C492,REV!$C:$AA,22,0)-'TRADE IN'!$F492=0,"",(VLOOKUP($C492,REV!$C:$AA,22,0)-'TRADE IN'!$F492))</f>
        <v>6699</v>
      </c>
      <c r="Y492" s="46">
        <f>IF(VLOOKUP($C492,REV!$C:$AA,23,0)-'TRADE IN'!$F492=0,"",(VLOOKUP($C492,REV!$C:$AA,23,0)-'TRADE IN'!$F492))</f>
        <v>4999</v>
      </c>
      <c r="Z492" s="46">
        <f>IF(VLOOKUP($C492,REV!$C:$AA,24,0)-'TRADE IN'!$F492=0,"",(VLOOKUP($C492,REV!$C:$AA,24,0)-'TRADE IN'!$F492))</f>
        <v>4999</v>
      </c>
      <c r="AA492" s="46">
        <f>IF(VLOOKUP($C492,REV!$C:$AA,25,0)-'TRADE IN'!$F492=0,"",(VLOOKUP($C492,REV!$C:$AA,25,0)-'TRADE IN'!$F492))</f>
        <v>4999</v>
      </c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7"/>
      <c r="AW492" s="48" t="str">
        <f>REV!AW492</f>
        <v>01.12.2026</v>
      </c>
      <c r="AX492" s="153" t="str">
        <f>VLOOKUP(C492,REV!C:AX,48,0)</f>
        <v>5G</v>
      </c>
    </row>
    <row r="493" spans="1:50" ht="22.5" customHeight="1">
      <c r="A493" s="41" t="s">
        <v>63</v>
      </c>
      <c r="B493" s="42" t="s">
        <v>64</v>
      </c>
      <c r="C493" s="67">
        <v>4017186</v>
      </c>
      <c r="D493" s="68" t="s">
        <v>709</v>
      </c>
      <c r="E493" s="68" t="s">
        <v>710</v>
      </c>
      <c r="F493" s="46">
        <v>700</v>
      </c>
      <c r="G493" s="154"/>
      <c r="H493" s="154"/>
      <c r="I493" s="154"/>
      <c r="J493" s="46">
        <f>IF(VLOOKUP($C493,REV!$C:$AA,8,0)-'TRADE IN'!$F493=0,"",(VLOOKUP($C493,REV!$C:$AA,8,0)-'TRADE IN'!$F493))</f>
        <v>9099</v>
      </c>
      <c r="K493" s="46">
        <f>IF(VLOOKUP($C493,REV!$C:$AA,9,0)-'TRADE IN'!$F493=0,"",(VLOOKUP($C493,REV!$C:$AA,9,0)-'TRADE IN'!$F493))</f>
        <v>9099</v>
      </c>
      <c r="L493" s="46">
        <f>IF(VLOOKUP($C493,REV!$C:$AA,10,0)-'TRADE IN'!$F493=0,"",(VLOOKUP($C493,REV!$C:$AA,10,0)-'TRADE IN'!$F493))</f>
        <v>9099</v>
      </c>
      <c r="M493" s="46">
        <f>IF(VLOOKUP($C493,REV!$C:$AA,11,0)-'TRADE IN'!$F493=0,"",(VLOOKUP($C493,REV!$C:$AA,11,0)-'TRADE IN'!$F493))</f>
        <v>9099</v>
      </c>
      <c r="N493" s="46">
        <f>IF(VLOOKUP($C493,REV!$C:$AA,12,0)-'TRADE IN'!$F493=0,"",(VLOOKUP($C493,REV!$C:$AA,12,0)-'TRADE IN'!$F493))</f>
        <v>9099</v>
      </c>
      <c r="O493" s="46">
        <f>IF(VLOOKUP($C493,REV!$C:$AA,13,0)-'TRADE IN'!$F493=0,"",(VLOOKUP($C493,REV!$C:$AA,13,0)-'TRADE IN'!$F493))</f>
        <v>9049</v>
      </c>
      <c r="P493" s="46">
        <f>IF(VLOOKUP($C493,REV!$C:$AA,14,0)-'TRADE IN'!$F493=0,"",(VLOOKUP($C493,REV!$C:$AA,14,0)-'TRADE IN'!$F493))</f>
        <v>8999</v>
      </c>
      <c r="Q493" s="46">
        <f>IF(VLOOKUP($C493,REV!$C:$AA,15,0)-'TRADE IN'!$F493=0,"",(VLOOKUP($C493,REV!$C:$AA,15,0)-'TRADE IN'!$F493))</f>
        <v>8799</v>
      </c>
      <c r="R493" s="46">
        <f>IF(VLOOKUP($C493,REV!$C:$AA,16,0)-'TRADE IN'!$F493=0,"",(VLOOKUP($C493,REV!$C:$AA,16,0)-'TRADE IN'!$F493))</f>
        <v>9049</v>
      </c>
      <c r="S493" s="46">
        <f>IF(VLOOKUP($C493,REV!$C:$AA,17,0)-'TRADE IN'!$F493=0,"",(VLOOKUP($C493,REV!$C:$AA,17,0)-'TRADE IN'!$F493))</f>
        <v>8999</v>
      </c>
      <c r="T493" s="46">
        <f>IF(VLOOKUP($C493,REV!$C:$AA,18,0)-'TRADE IN'!$F493=0,"",(VLOOKUP($C493,REV!$C:$AA,18,0)-'TRADE IN'!$F493))</f>
        <v>8799</v>
      </c>
      <c r="U493" s="46">
        <f>IF(VLOOKUP($C493,REV!$C:$AA,19,0)-'TRADE IN'!$F493=0,"",(VLOOKUP($C493,REV!$C:$AA,19,0)-'TRADE IN'!$F493))</f>
        <v>8799</v>
      </c>
      <c r="V493" s="46">
        <f>IF(VLOOKUP($C493,REV!$C:$AA,20,0)-'TRADE IN'!$F493=0,"",(VLOOKUP($C493,REV!$C:$AA,20,0)-'TRADE IN'!$F493))</f>
        <v>8799</v>
      </c>
      <c r="W493" s="46">
        <f>IF(VLOOKUP($C493,REV!$C:$AA,21,0)-'TRADE IN'!$F493=0,"",(VLOOKUP($C493,REV!$C:$AA,21,0)-'TRADE IN'!$F493))</f>
        <v>8799</v>
      </c>
      <c r="X493" s="46">
        <f>IF(VLOOKUP($C493,REV!$C:$AA,22,0)-'TRADE IN'!$F493=0,"",(VLOOKUP($C493,REV!$C:$AA,22,0)-'TRADE IN'!$F493))</f>
        <v>8749</v>
      </c>
      <c r="Y493" s="46">
        <f>IF(VLOOKUP($C493,REV!$C:$AA,23,0)-'TRADE IN'!$F493=0,"",(VLOOKUP($C493,REV!$C:$AA,23,0)-'TRADE IN'!$F493))</f>
        <v>6299</v>
      </c>
      <c r="Z493" s="46">
        <f>IF(VLOOKUP($C493,REV!$C:$AA,24,0)-'TRADE IN'!$F493=0,"",(VLOOKUP($C493,REV!$C:$AA,24,0)-'TRADE IN'!$F493))</f>
        <v>6299</v>
      </c>
      <c r="AA493" s="46">
        <f>IF(VLOOKUP($C493,REV!$C:$AA,25,0)-'TRADE IN'!$F493=0,"",(VLOOKUP($C493,REV!$C:$AA,25,0)-'TRADE IN'!$F493))</f>
        <v>6299</v>
      </c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7"/>
      <c r="AW493" s="48" t="str">
        <f>REV!AW493</f>
        <v>01.12.2026</v>
      </c>
      <c r="AX493" s="153" t="str">
        <f>VLOOKUP(C493,REV!C:AX,48,0)</f>
        <v>5G</v>
      </c>
    </row>
    <row r="494" spans="1:50" ht="22.5" customHeight="1">
      <c r="A494" s="41" t="s">
        <v>63</v>
      </c>
      <c r="B494" s="42" t="s">
        <v>64</v>
      </c>
      <c r="C494" s="67">
        <v>4017191</v>
      </c>
      <c r="D494" s="68" t="s">
        <v>711</v>
      </c>
      <c r="E494" s="68" t="s">
        <v>712</v>
      </c>
      <c r="F494" s="46"/>
      <c r="G494" s="154"/>
      <c r="H494" s="154"/>
      <c r="I494" s="154"/>
      <c r="J494" s="46">
        <f>IF(VLOOKUP($C494,REV!$C:$AA,8,0)-'TRADE IN'!$F494=0,"",(VLOOKUP($C494,REV!$C:$AA,8,0)-'TRADE IN'!$F494))</f>
        <v>9799</v>
      </c>
      <c r="K494" s="46">
        <f>IF(VLOOKUP($C494,REV!$C:$AA,9,0)-'TRADE IN'!$F494=0,"",(VLOOKUP($C494,REV!$C:$AA,9,0)-'TRADE IN'!$F494))</f>
        <v>9799</v>
      </c>
      <c r="L494" s="46">
        <f>IF(VLOOKUP($C494,REV!$C:$AA,10,0)-'TRADE IN'!$F494=0,"",(VLOOKUP($C494,REV!$C:$AA,10,0)-'TRADE IN'!$F494))</f>
        <v>9799</v>
      </c>
      <c r="M494" s="46">
        <f>IF(VLOOKUP($C494,REV!$C:$AA,11,0)-'TRADE IN'!$F494=0,"",(VLOOKUP($C494,REV!$C:$AA,11,0)-'TRADE IN'!$F494))</f>
        <v>9799</v>
      </c>
      <c r="N494" s="46">
        <f>IF(VLOOKUP($C494,REV!$C:$AA,12,0)-'TRADE IN'!$F494=0,"",(VLOOKUP($C494,REV!$C:$AA,12,0)-'TRADE IN'!$F494))</f>
        <v>9799</v>
      </c>
      <c r="O494" s="46">
        <f>IF(VLOOKUP($C494,REV!$C:$AA,13,0)-'TRADE IN'!$F494=0,"",(VLOOKUP($C494,REV!$C:$AA,13,0)-'TRADE IN'!$F494))</f>
        <v>9749</v>
      </c>
      <c r="P494" s="46">
        <f>IF(VLOOKUP($C494,REV!$C:$AA,14,0)-'TRADE IN'!$F494=0,"",(VLOOKUP($C494,REV!$C:$AA,14,0)-'TRADE IN'!$F494))</f>
        <v>9699</v>
      </c>
      <c r="Q494" s="46">
        <f>IF(VLOOKUP($C494,REV!$C:$AA,15,0)-'TRADE IN'!$F494=0,"",(VLOOKUP($C494,REV!$C:$AA,15,0)-'TRADE IN'!$F494))</f>
        <v>9499</v>
      </c>
      <c r="R494" s="46">
        <f>IF(VLOOKUP($C494,REV!$C:$AA,16,0)-'TRADE IN'!$F494=0,"",(VLOOKUP($C494,REV!$C:$AA,16,0)-'TRADE IN'!$F494))</f>
        <v>9749</v>
      </c>
      <c r="S494" s="46">
        <f>IF(VLOOKUP($C494,REV!$C:$AA,17,0)-'TRADE IN'!$F494=0,"",(VLOOKUP($C494,REV!$C:$AA,17,0)-'TRADE IN'!$F494))</f>
        <v>9699</v>
      </c>
      <c r="T494" s="46">
        <f>IF(VLOOKUP($C494,REV!$C:$AA,18,0)-'TRADE IN'!$F494=0,"",(VLOOKUP($C494,REV!$C:$AA,18,0)-'TRADE IN'!$F494))</f>
        <v>9499</v>
      </c>
      <c r="U494" s="46">
        <f>IF(VLOOKUP($C494,REV!$C:$AA,19,0)-'TRADE IN'!$F494=0,"",(VLOOKUP($C494,REV!$C:$AA,19,0)-'TRADE IN'!$F494))</f>
        <v>9499</v>
      </c>
      <c r="V494" s="46">
        <f>IF(VLOOKUP($C494,REV!$C:$AA,20,0)-'TRADE IN'!$F494=0,"",(VLOOKUP($C494,REV!$C:$AA,20,0)-'TRADE IN'!$F494))</f>
        <v>9499</v>
      </c>
      <c r="W494" s="46">
        <f>IF(VLOOKUP($C494,REV!$C:$AA,21,0)-'TRADE IN'!$F494=0,"",(VLOOKUP($C494,REV!$C:$AA,21,0)-'TRADE IN'!$F494))</f>
        <v>9499</v>
      </c>
      <c r="X494" s="46">
        <f>IF(VLOOKUP($C494,REV!$C:$AA,22,0)-'TRADE IN'!$F494=0,"",(VLOOKUP($C494,REV!$C:$AA,22,0)-'TRADE IN'!$F494))</f>
        <v>9449</v>
      </c>
      <c r="Y494" s="46">
        <f>IF(VLOOKUP($C494,REV!$C:$AA,23,0)-'TRADE IN'!$F494=0,"",(VLOOKUP($C494,REV!$C:$AA,23,0)-'TRADE IN'!$F494))</f>
        <v>8499</v>
      </c>
      <c r="Z494" s="46">
        <f>IF(VLOOKUP($C494,REV!$C:$AA,24,0)-'TRADE IN'!$F494=0,"",(VLOOKUP($C494,REV!$C:$AA,24,0)-'TRADE IN'!$F494))</f>
        <v>8499</v>
      </c>
      <c r="AA494" s="46">
        <f>IF(VLOOKUP($C494,REV!$C:$AA,25,0)-'TRADE IN'!$F494=0,"",(VLOOKUP($C494,REV!$C:$AA,25,0)-'TRADE IN'!$F494))</f>
        <v>8449</v>
      </c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7"/>
      <c r="AW494" s="48" t="str">
        <f>REV!AW494</f>
        <v>01.12.2026</v>
      </c>
      <c r="AX494" s="153" t="str">
        <f>VLOOKUP(C494,REV!C:AX,48,0)</f>
        <v>5G</v>
      </c>
    </row>
    <row r="495" spans="1:50" ht="22.5" customHeight="1">
      <c r="A495" s="41" t="s">
        <v>63</v>
      </c>
      <c r="B495" s="42" t="s">
        <v>64</v>
      </c>
      <c r="C495" s="67">
        <v>4018085</v>
      </c>
      <c r="D495" s="68" t="s">
        <v>713</v>
      </c>
      <c r="E495" s="68" t="s">
        <v>714</v>
      </c>
      <c r="F495" s="46">
        <v>1900</v>
      </c>
      <c r="G495" s="46">
        <v>9399</v>
      </c>
      <c r="H495" s="46">
        <v>10099</v>
      </c>
      <c r="I495" s="46">
        <v>10099</v>
      </c>
      <c r="J495" s="46">
        <f>IF(VLOOKUP($C495,REV!$C:$AA,8,0)-'TRADE IN'!$F495=0,"",(VLOOKUP($C495,REV!$C:$AA,8,0)-'TRADE IN'!$F495))</f>
        <v>7399</v>
      </c>
      <c r="K495" s="46">
        <f>IF(VLOOKUP($C495,REV!$C:$AA,9,0)-'TRADE IN'!$F495=0,"",(VLOOKUP($C495,REV!$C:$AA,9,0)-'TRADE IN'!$F495))</f>
        <v>7399</v>
      </c>
      <c r="L495" s="46">
        <f>IF(VLOOKUP($C495,REV!$C:$AA,10,0)-'TRADE IN'!$F495=0,"",(VLOOKUP($C495,REV!$C:$AA,10,0)-'TRADE IN'!$F495))</f>
        <v>7399</v>
      </c>
      <c r="M495" s="46">
        <f>IF(VLOOKUP($C495,REV!$C:$AA,11,0)-'TRADE IN'!$F495=0,"",(VLOOKUP($C495,REV!$C:$AA,11,0)-'TRADE IN'!$F495))</f>
        <v>7399</v>
      </c>
      <c r="N495" s="46">
        <f>IF(VLOOKUP($C495,REV!$C:$AA,12,0)-'TRADE IN'!$F495=0,"",(VLOOKUP($C495,REV!$C:$AA,12,0)-'TRADE IN'!$F495))</f>
        <v>7399</v>
      </c>
      <c r="O495" s="46">
        <f>IF(VLOOKUP($C495,REV!$C:$AA,13,0)-'TRADE IN'!$F495=0,"",(VLOOKUP($C495,REV!$C:$AA,13,0)-'TRADE IN'!$F495))</f>
        <v>7299</v>
      </c>
      <c r="P495" s="46">
        <f>IF(VLOOKUP($C495,REV!$C:$AA,14,0)-'TRADE IN'!$F495=0,"",(VLOOKUP($C495,REV!$C:$AA,14,0)-'TRADE IN'!$F495))</f>
        <v>7199</v>
      </c>
      <c r="Q495" s="46">
        <f>IF(VLOOKUP($C495,REV!$C:$AA,15,0)-'TRADE IN'!$F495=0,"",(VLOOKUP($C495,REV!$C:$AA,15,0)-'TRADE IN'!$F495))</f>
        <v>6899</v>
      </c>
      <c r="R495" s="46">
        <f>IF(VLOOKUP($C495,REV!$C:$AA,16,0)-'TRADE IN'!$F495=0,"",(VLOOKUP($C495,REV!$C:$AA,16,0)-'TRADE IN'!$F495))</f>
        <v>7299</v>
      </c>
      <c r="S495" s="46">
        <f>IF(VLOOKUP($C495,REV!$C:$AA,17,0)-'TRADE IN'!$F495=0,"",(VLOOKUP($C495,REV!$C:$AA,17,0)-'TRADE IN'!$F495))</f>
        <v>7199</v>
      </c>
      <c r="T495" s="46">
        <f>IF(VLOOKUP($C495,REV!$C:$AA,18,0)-'TRADE IN'!$F495=0,"",(VLOOKUP($C495,REV!$C:$AA,18,0)-'TRADE IN'!$F495))</f>
        <v>6899</v>
      </c>
      <c r="U495" s="46">
        <f>IF(VLOOKUP($C495,REV!$C:$AA,19,0)-'TRADE IN'!$F495=0,"",(VLOOKUP($C495,REV!$C:$AA,19,0)-'TRADE IN'!$F495))</f>
        <v>6899</v>
      </c>
      <c r="V495" s="46">
        <f>IF(VLOOKUP($C495,REV!$C:$AA,20,0)-'TRADE IN'!$F495=0,"",(VLOOKUP($C495,REV!$C:$AA,20,0)-'TRADE IN'!$F495))</f>
        <v>6899</v>
      </c>
      <c r="W495" s="46">
        <f>IF(VLOOKUP($C495,REV!$C:$AA,21,0)-'TRADE IN'!$F495=0,"",(VLOOKUP($C495,REV!$C:$AA,21,0)-'TRADE IN'!$F495))</f>
        <v>6899</v>
      </c>
      <c r="X495" s="46">
        <f>IF(VLOOKUP($C495,REV!$C:$AA,22,0)-'TRADE IN'!$F495=0,"",(VLOOKUP($C495,REV!$C:$AA,22,0)-'TRADE IN'!$F495))</f>
        <v>6799</v>
      </c>
      <c r="Y495" s="46">
        <f>IF(VLOOKUP($C495,REV!$C:$AA,23,0)-'TRADE IN'!$F495=0,"",(VLOOKUP($C495,REV!$C:$AA,23,0)-'TRADE IN'!$F495))</f>
        <v>4799</v>
      </c>
      <c r="Z495" s="46">
        <f>IF(VLOOKUP($C495,REV!$C:$AA,24,0)-'TRADE IN'!$F495=0,"",(VLOOKUP($C495,REV!$C:$AA,24,0)-'TRADE IN'!$F495))</f>
        <v>4799</v>
      </c>
      <c r="AA495" s="46">
        <f>IF(VLOOKUP($C495,REV!$C:$AA,25,0)-'TRADE IN'!$F495=0,"",(VLOOKUP($C495,REV!$C:$AA,25,0)-'TRADE IN'!$F495))</f>
        <v>4599</v>
      </c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7"/>
      <c r="AW495" s="48" t="str">
        <f>REV!AW495</f>
        <v>01.12.2026</v>
      </c>
      <c r="AX495" s="153" t="str">
        <f>VLOOKUP(C495,REV!C:AX,48,0)</f>
        <v>5G</v>
      </c>
    </row>
    <row r="496" spans="1:50" ht="22.5" customHeight="1">
      <c r="A496" s="41" t="s">
        <v>63</v>
      </c>
      <c r="B496" s="42" t="s">
        <v>64</v>
      </c>
      <c r="C496" s="67">
        <v>4018049</v>
      </c>
      <c r="D496" s="68" t="s">
        <v>713</v>
      </c>
      <c r="E496" s="68" t="s">
        <v>715</v>
      </c>
      <c r="F496" s="46">
        <v>1900</v>
      </c>
      <c r="G496" s="46">
        <v>9399</v>
      </c>
      <c r="H496" s="46">
        <v>10099</v>
      </c>
      <c r="I496" s="46">
        <v>10099</v>
      </c>
      <c r="J496" s="46">
        <f>IF(VLOOKUP($C496,REV!$C:$AA,8,0)-'TRADE IN'!$F496=0,"",(VLOOKUP($C496,REV!$C:$AA,8,0)-'TRADE IN'!$F496))</f>
        <v>7399</v>
      </c>
      <c r="K496" s="46">
        <f>IF(VLOOKUP($C496,REV!$C:$AA,9,0)-'TRADE IN'!$F496=0,"",(VLOOKUP($C496,REV!$C:$AA,9,0)-'TRADE IN'!$F496))</f>
        <v>7399</v>
      </c>
      <c r="L496" s="46">
        <f>IF(VLOOKUP($C496,REV!$C:$AA,10,0)-'TRADE IN'!$F496=0,"",(VLOOKUP($C496,REV!$C:$AA,10,0)-'TRADE IN'!$F496))</f>
        <v>7399</v>
      </c>
      <c r="M496" s="46">
        <f>IF(VLOOKUP($C496,REV!$C:$AA,11,0)-'TRADE IN'!$F496=0,"",(VLOOKUP($C496,REV!$C:$AA,11,0)-'TRADE IN'!$F496))</f>
        <v>7399</v>
      </c>
      <c r="N496" s="46">
        <f>IF(VLOOKUP($C496,REV!$C:$AA,12,0)-'TRADE IN'!$F496=0,"",(VLOOKUP($C496,REV!$C:$AA,12,0)-'TRADE IN'!$F496))</f>
        <v>7399</v>
      </c>
      <c r="O496" s="46">
        <f>IF(VLOOKUP($C496,REV!$C:$AA,13,0)-'TRADE IN'!$F496=0,"",(VLOOKUP($C496,REV!$C:$AA,13,0)-'TRADE IN'!$F496))</f>
        <v>7299</v>
      </c>
      <c r="P496" s="46">
        <f>IF(VLOOKUP($C496,REV!$C:$AA,14,0)-'TRADE IN'!$F496=0,"",(VLOOKUP($C496,REV!$C:$AA,14,0)-'TRADE IN'!$F496))</f>
        <v>7199</v>
      </c>
      <c r="Q496" s="46">
        <f>IF(VLOOKUP($C496,REV!$C:$AA,15,0)-'TRADE IN'!$F496=0,"",(VLOOKUP($C496,REV!$C:$AA,15,0)-'TRADE IN'!$F496))</f>
        <v>6899</v>
      </c>
      <c r="R496" s="46">
        <f>IF(VLOOKUP($C496,REV!$C:$AA,16,0)-'TRADE IN'!$F496=0,"",(VLOOKUP($C496,REV!$C:$AA,16,0)-'TRADE IN'!$F496))</f>
        <v>7299</v>
      </c>
      <c r="S496" s="46">
        <f>IF(VLOOKUP($C496,REV!$C:$AA,17,0)-'TRADE IN'!$F496=0,"",(VLOOKUP($C496,REV!$C:$AA,17,0)-'TRADE IN'!$F496))</f>
        <v>7199</v>
      </c>
      <c r="T496" s="46">
        <f>IF(VLOOKUP($C496,REV!$C:$AA,18,0)-'TRADE IN'!$F496=0,"",(VLOOKUP($C496,REV!$C:$AA,18,0)-'TRADE IN'!$F496))</f>
        <v>6899</v>
      </c>
      <c r="U496" s="46">
        <f>IF(VLOOKUP($C496,REV!$C:$AA,19,0)-'TRADE IN'!$F496=0,"",(VLOOKUP($C496,REV!$C:$AA,19,0)-'TRADE IN'!$F496))</f>
        <v>6899</v>
      </c>
      <c r="V496" s="46">
        <f>IF(VLOOKUP($C496,REV!$C:$AA,20,0)-'TRADE IN'!$F496=0,"",(VLOOKUP($C496,REV!$C:$AA,20,0)-'TRADE IN'!$F496))</f>
        <v>6899</v>
      </c>
      <c r="W496" s="46">
        <f>IF(VLOOKUP($C496,REV!$C:$AA,21,0)-'TRADE IN'!$F496=0,"",(VLOOKUP($C496,REV!$C:$AA,21,0)-'TRADE IN'!$F496))</f>
        <v>6899</v>
      </c>
      <c r="X496" s="46">
        <f>IF(VLOOKUP($C496,REV!$C:$AA,22,0)-'TRADE IN'!$F496=0,"",(VLOOKUP($C496,REV!$C:$AA,22,0)-'TRADE IN'!$F496))</f>
        <v>6799</v>
      </c>
      <c r="Y496" s="46">
        <f>IF(VLOOKUP($C496,REV!$C:$AA,23,0)-'TRADE IN'!$F496=0,"",(VLOOKUP($C496,REV!$C:$AA,23,0)-'TRADE IN'!$F496))</f>
        <v>4799</v>
      </c>
      <c r="Z496" s="46">
        <f>IF(VLOOKUP($C496,REV!$C:$AA,24,0)-'TRADE IN'!$F496=0,"",(VLOOKUP($C496,REV!$C:$AA,24,0)-'TRADE IN'!$F496))</f>
        <v>4799</v>
      </c>
      <c r="AA496" s="46">
        <f>IF(VLOOKUP($C496,REV!$C:$AA,25,0)-'TRADE IN'!$F496=0,"",(VLOOKUP($C496,REV!$C:$AA,25,0)-'TRADE IN'!$F496))</f>
        <v>4599</v>
      </c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7"/>
      <c r="AW496" s="48" t="str">
        <f>REV!AW496</f>
        <v>01.12.2026</v>
      </c>
      <c r="AX496" s="153" t="str">
        <f>VLOOKUP(C496,REV!C:AX,48,0)</f>
        <v>5G</v>
      </c>
    </row>
    <row r="497" spans="1:50" ht="22.5" customHeight="1">
      <c r="A497" s="41" t="s">
        <v>63</v>
      </c>
      <c r="B497" s="42" t="s">
        <v>64</v>
      </c>
      <c r="C497" s="67">
        <v>4018100</v>
      </c>
      <c r="D497" s="68" t="s">
        <v>716</v>
      </c>
      <c r="E497" s="68" t="s">
        <v>717</v>
      </c>
      <c r="F497" s="46">
        <v>1900</v>
      </c>
      <c r="G497" s="46">
        <v>9899</v>
      </c>
      <c r="H497" s="46">
        <v>10999</v>
      </c>
      <c r="I497" s="46">
        <v>10999</v>
      </c>
      <c r="J497" s="46">
        <f>IF(VLOOKUP($C497,REV!$C:$AA,8,0)-'TRADE IN'!$F497=0,"",(VLOOKUP($C497,REV!$C:$AA,8,0)-'TRADE IN'!$F497))</f>
        <v>8499</v>
      </c>
      <c r="K497" s="46">
        <f>IF(VLOOKUP($C497,REV!$C:$AA,9,0)-'TRADE IN'!$F497=0,"",(VLOOKUP($C497,REV!$C:$AA,9,0)-'TRADE IN'!$F497))</f>
        <v>8499</v>
      </c>
      <c r="L497" s="46">
        <f>IF(VLOOKUP($C497,REV!$C:$AA,10,0)-'TRADE IN'!$F497=0,"",(VLOOKUP($C497,REV!$C:$AA,10,0)-'TRADE IN'!$F497))</f>
        <v>8499</v>
      </c>
      <c r="M497" s="46">
        <f>IF(VLOOKUP($C497,REV!$C:$AA,11,0)-'TRADE IN'!$F497=0,"",(VLOOKUP($C497,REV!$C:$AA,11,0)-'TRADE IN'!$F497))</f>
        <v>8499</v>
      </c>
      <c r="N497" s="46">
        <f>IF(VLOOKUP($C497,REV!$C:$AA,12,0)-'TRADE IN'!$F497=0,"",(VLOOKUP($C497,REV!$C:$AA,12,0)-'TRADE IN'!$F497))</f>
        <v>8499</v>
      </c>
      <c r="O497" s="46">
        <f>IF(VLOOKUP($C497,REV!$C:$AA,13,0)-'TRADE IN'!$F497=0,"",(VLOOKUP($C497,REV!$C:$AA,13,0)-'TRADE IN'!$F497))</f>
        <v>8399</v>
      </c>
      <c r="P497" s="46">
        <f>IF(VLOOKUP($C497,REV!$C:$AA,14,0)-'TRADE IN'!$F497=0,"",(VLOOKUP($C497,REV!$C:$AA,14,0)-'TRADE IN'!$F497))</f>
        <v>8299</v>
      </c>
      <c r="Q497" s="46">
        <f>IF(VLOOKUP($C497,REV!$C:$AA,15,0)-'TRADE IN'!$F497=0,"",(VLOOKUP($C497,REV!$C:$AA,15,0)-'TRADE IN'!$F497))</f>
        <v>7399</v>
      </c>
      <c r="R497" s="46">
        <f>IF(VLOOKUP($C497,REV!$C:$AA,16,0)-'TRADE IN'!$F497=0,"",(VLOOKUP($C497,REV!$C:$AA,16,0)-'TRADE IN'!$F497))</f>
        <v>8399</v>
      </c>
      <c r="S497" s="46">
        <f>IF(VLOOKUP($C497,REV!$C:$AA,17,0)-'TRADE IN'!$F497=0,"",(VLOOKUP($C497,REV!$C:$AA,17,0)-'TRADE IN'!$F497))</f>
        <v>8299</v>
      </c>
      <c r="T497" s="46">
        <f>IF(VLOOKUP($C497,REV!$C:$AA,18,0)-'TRADE IN'!$F497=0,"",(VLOOKUP($C497,REV!$C:$AA,18,0)-'TRADE IN'!$F497))</f>
        <v>7399</v>
      </c>
      <c r="U497" s="46">
        <f>IF(VLOOKUP($C497,REV!$C:$AA,19,0)-'TRADE IN'!$F497=0,"",(VLOOKUP($C497,REV!$C:$AA,19,0)-'TRADE IN'!$F497))</f>
        <v>7399</v>
      </c>
      <c r="V497" s="46">
        <f>IF(VLOOKUP($C497,REV!$C:$AA,20,0)-'TRADE IN'!$F497=0,"",(VLOOKUP($C497,REV!$C:$AA,20,0)-'TRADE IN'!$F497))</f>
        <v>7399</v>
      </c>
      <c r="W497" s="46">
        <f>IF(VLOOKUP($C497,REV!$C:$AA,21,0)-'TRADE IN'!$F497=0,"",(VLOOKUP($C497,REV!$C:$AA,21,0)-'TRADE IN'!$F497))</f>
        <v>7399</v>
      </c>
      <c r="X497" s="46">
        <f>IF(VLOOKUP($C497,REV!$C:$AA,22,0)-'TRADE IN'!$F497=0,"",(VLOOKUP($C497,REV!$C:$AA,22,0)-'TRADE IN'!$F497))</f>
        <v>7299</v>
      </c>
      <c r="Y497" s="46">
        <f>IF(VLOOKUP($C497,REV!$C:$AA,23,0)-'TRADE IN'!$F497=0,"",(VLOOKUP($C497,REV!$C:$AA,23,0)-'TRADE IN'!$F497))</f>
        <v>5399</v>
      </c>
      <c r="Z497" s="46">
        <f>IF(VLOOKUP($C497,REV!$C:$AA,24,0)-'TRADE IN'!$F497=0,"",(VLOOKUP($C497,REV!$C:$AA,24,0)-'TRADE IN'!$F497))</f>
        <v>5399</v>
      </c>
      <c r="AA497" s="46">
        <f>IF(VLOOKUP($C497,REV!$C:$AA,25,0)-'TRADE IN'!$F497=0,"",(VLOOKUP($C497,REV!$C:$AA,25,0)-'TRADE IN'!$F497))</f>
        <v>5199</v>
      </c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7"/>
      <c r="AW497" s="48" t="str">
        <f>REV!AW497</f>
        <v>01.12.2026</v>
      </c>
      <c r="AX497" s="153" t="str">
        <f>VLOOKUP(C497,REV!C:AX,48,0)</f>
        <v>5G</v>
      </c>
    </row>
    <row r="498" spans="1:50" ht="22.5" customHeight="1">
      <c r="A498" s="41" t="s">
        <v>63</v>
      </c>
      <c r="B498" s="42" t="s">
        <v>64</v>
      </c>
      <c r="C498" s="67">
        <v>4018096</v>
      </c>
      <c r="D498" s="68" t="s">
        <v>716</v>
      </c>
      <c r="E498" s="68" t="s">
        <v>718</v>
      </c>
      <c r="F498" s="46">
        <v>1900</v>
      </c>
      <c r="G498" s="46">
        <v>9899</v>
      </c>
      <c r="H498" s="46">
        <v>10999</v>
      </c>
      <c r="I498" s="46">
        <v>10999</v>
      </c>
      <c r="J498" s="46">
        <f>IF(VLOOKUP($C498,REV!$C:$AA,8,0)-'TRADE IN'!$F498=0,"",(VLOOKUP($C498,REV!$C:$AA,8,0)-'TRADE IN'!$F498))</f>
        <v>8499</v>
      </c>
      <c r="K498" s="46">
        <f>IF(VLOOKUP($C498,REV!$C:$AA,9,0)-'TRADE IN'!$F498=0,"",(VLOOKUP($C498,REV!$C:$AA,9,0)-'TRADE IN'!$F498))</f>
        <v>8499</v>
      </c>
      <c r="L498" s="46">
        <f>IF(VLOOKUP($C498,REV!$C:$AA,10,0)-'TRADE IN'!$F498=0,"",(VLOOKUP($C498,REV!$C:$AA,10,0)-'TRADE IN'!$F498))</f>
        <v>8499</v>
      </c>
      <c r="M498" s="46">
        <f>IF(VLOOKUP($C498,REV!$C:$AA,11,0)-'TRADE IN'!$F498=0,"",(VLOOKUP($C498,REV!$C:$AA,11,0)-'TRADE IN'!$F498))</f>
        <v>8499</v>
      </c>
      <c r="N498" s="46">
        <f>IF(VLOOKUP($C498,REV!$C:$AA,12,0)-'TRADE IN'!$F498=0,"",(VLOOKUP($C498,REV!$C:$AA,12,0)-'TRADE IN'!$F498))</f>
        <v>8499</v>
      </c>
      <c r="O498" s="46">
        <f>IF(VLOOKUP($C498,REV!$C:$AA,13,0)-'TRADE IN'!$F498=0,"",(VLOOKUP($C498,REV!$C:$AA,13,0)-'TRADE IN'!$F498))</f>
        <v>8399</v>
      </c>
      <c r="P498" s="46">
        <f>IF(VLOOKUP($C498,REV!$C:$AA,14,0)-'TRADE IN'!$F498=0,"",(VLOOKUP($C498,REV!$C:$AA,14,0)-'TRADE IN'!$F498))</f>
        <v>8299</v>
      </c>
      <c r="Q498" s="46">
        <f>IF(VLOOKUP($C498,REV!$C:$AA,15,0)-'TRADE IN'!$F498=0,"",(VLOOKUP($C498,REV!$C:$AA,15,0)-'TRADE IN'!$F498))</f>
        <v>7399</v>
      </c>
      <c r="R498" s="46">
        <f>IF(VLOOKUP($C498,REV!$C:$AA,16,0)-'TRADE IN'!$F498=0,"",(VLOOKUP($C498,REV!$C:$AA,16,0)-'TRADE IN'!$F498))</f>
        <v>8399</v>
      </c>
      <c r="S498" s="46">
        <f>IF(VLOOKUP($C498,REV!$C:$AA,17,0)-'TRADE IN'!$F498=0,"",(VLOOKUP($C498,REV!$C:$AA,17,0)-'TRADE IN'!$F498))</f>
        <v>8299</v>
      </c>
      <c r="T498" s="46">
        <f>IF(VLOOKUP($C498,REV!$C:$AA,18,0)-'TRADE IN'!$F498=0,"",(VLOOKUP($C498,REV!$C:$AA,18,0)-'TRADE IN'!$F498))</f>
        <v>7399</v>
      </c>
      <c r="U498" s="46">
        <f>IF(VLOOKUP($C498,REV!$C:$AA,19,0)-'TRADE IN'!$F498=0,"",(VLOOKUP($C498,REV!$C:$AA,19,0)-'TRADE IN'!$F498))</f>
        <v>7399</v>
      </c>
      <c r="V498" s="46">
        <f>IF(VLOOKUP($C498,REV!$C:$AA,20,0)-'TRADE IN'!$F498=0,"",(VLOOKUP($C498,REV!$C:$AA,20,0)-'TRADE IN'!$F498))</f>
        <v>7399</v>
      </c>
      <c r="W498" s="46">
        <f>IF(VLOOKUP($C498,REV!$C:$AA,21,0)-'TRADE IN'!$F498=0,"",(VLOOKUP($C498,REV!$C:$AA,21,0)-'TRADE IN'!$F498))</f>
        <v>7399</v>
      </c>
      <c r="X498" s="46">
        <f>IF(VLOOKUP($C498,REV!$C:$AA,22,0)-'TRADE IN'!$F498=0,"",(VLOOKUP($C498,REV!$C:$AA,22,0)-'TRADE IN'!$F498))</f>
        <v>7299</v>
      </c>
      <c r="Y498" s="46">
        <f>IF(VLOOKUP($C498,REV!$C:$AA,23,0)-'TRADE IN'!$F498=0,"",(VLOOKUP($C498,REV!$C:$AA,23,0)-'TRADE IN'!$F498))</f>
        <v>5399</v>
      </c>
      <c r="Z498" s="46">
        <f>IF(VLOOKUP($C498,REV!$C:$AA,24,0)-'TRADE IN'!$F498=0,"",(VLOOKUP($C498,REV!$C:$AA,24,0)-'TRADE IN'!$F498))</f>
        <v>5399</v>
      </c>
      <c r="AA498" s="46">
        <f>IF(VLOOKUP($C498,REV!$C:$AA,25,0)-'TRADE IN'!$F498=0,"",(VLOOKUP($C498,REV!$C:$AA,25,0)-'TRADE IN'!$F498))</f>
        <v>5199</v>
      </c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7"/>
      <c r="AW498" s="48" t="str">
        <f>REV!AW498</f>
        <v>01.12.2026</v>
      </c>
      <c r="AX498" s="153" t="str">
        <f>VLOOKUP(C498,REV!C:AX,48,0)</f>
        <v>5G</v>
      </c>
    </row>
    <row r="499" spans="1:50" ht="22.5" customHeight="1">
      <c r="A499" s="41" t="s">
        <v>63</v>
      </c>
      <c r="B499" s="42" t="s">
        <v>64</v>
      </c>
      <c r="C499" s="67">
        <v>4018047</v>
      </c>
      <c r="D499" s="68" t="s">
        <v>719</v>
      </c>
      <c r="E499" s="68" t="s">
        <v>720</v>
      </c>
      <c r="F499" s="46">
        <v>2000</v>
      </c>
      <c r="G499" s="46">
        <v>10399</v>
      </c>
      <c r="H499" s="46">
        <v>11399</v>
      </c>
      <c r="I499" s="46">
        <v>11399</v>
      </c>
      <c r="J499" s="46">
        <f>IF(VLOOKUP($C499,REV!$C:$AA,8,0)-'TRADE IN'!$F499=0,"",(VLOOKUP($C499,REV!$C:$AA,8,0)-'TRADE IN'!$F499))</f>
        <v>9299</v>
      </c>
      <c r="K499" s="46">
        <f>IF(VLOOKUP($C499,REV!$C:$AA,9,0)-'TRADE IN'!$F499=0,"",(VLOOKUP($C499,REV!$C:$AA,9,0)-'TRADE IN'!$F499))</f>
        <v>9299</v>
      </c>
      <c r="L499" s="46">
        <f>IF(VLOOKUP($C499,REV!$C:$AA,10,0)-'TRADE IN'!$F499=0,"",(VLOOKUP($C499,REV!$C:$AA,10,0)-'TRADE IN'!$F499))</f>
        <v>9299</v>
      </c>
      <c r="M499" s="46">
        <f>IF(VLOOKUP($C499,REV!$C:$AA,11,0)-'TRADE IN'!$F499=0,"",(VLOOKUP($C499,REV!$C:$AA,11,0)-'TRADE IN'!$F499))</f>
        <v>9299</v>
      </c>
      <c r="N499" s="46">
        <f>IF(VLOOKUP($C499,REV!$C:$AA,12,0)-'TRADE IN'!$F499=0,"",(VLOOKUP($C499,REV!$C:$AA,12,0)-'TRADE IN'!$F499))</f>
        <v>9299</v>
      </c>
      <c r="O499" s="46">
        <f>IF(VLOOKUP($C499,REV!$C:$AA,13,0)-'TRADE IN'!$F499=0,"",(VLOOKUP($C499,REV!$C:$AA,13,0)-'TRADE IN'!$F499))</f>
        <v>9199</v>
      </c>
      <c r="P499" s="46">
        <f>IF(VLOOKUP($C499,REV!$C:$AA,14,0)-'TRADE IN'!$F499=0,"",(VLOOKUP($C499,REV!$C:$AA,14,0)-'TRADE IN'!$F499))</f>
        <v>8999</v>
      </c>
      <c r="Q499" s="46">
        <f>IF(VLOOKUP($C499,REV!$C:$AA,15,0)-'TRADE IN'!$F499=0,"",(VLOOKUP($C499,REV!$C:$AA,15,0)-'TRADE IN'!$F499))</f>
        <v>8699</v>
      </c>
      <c r="R499" s="46">
        <f>IF(VLOOKUP($C499,REV!$C:$AA,16,0)-'TRADE IN'!$F499=0,"",(VLOOKUP($C499,REV!$C:$AA,16,0)-'TRADE IN'!$F499))</f>
        <v>9199</v>
      </c>
      <c r="S499" s="46">
        <f>IF(VLOOKUP($C499,REV!$C:$AA,17,0)-'TRADE IN'!$F499=0,"",(VLOOKUP($C499,REV!$C:$AA,17,0)-'TRADE IN'!$F499))</f>
        <v>8999</v>
      </c>
      <c r="T499" s="46">
        <f>IF(VLOOKUP($C499,REV!$C:$AA,18,0)-'TRADE IN'!$F499=0,"",(VLOOKUP($C499,REV!$C:$AA,18,0)-'TRADE IN'!$F499))</f>
        <v>8699</v>
      </c>
      <c r="U499" s="46">
        <f>IF(VLOOKUP($C499,REV!$C:$AA,19,0)-'TRADE IN'!$F499=0,"",(VLOOKUP($C499,REV!$C:$AA,19,0)-'TRADE IN'!$F499))</f>
        <v>8699</v>
      </c>
      <c r="V499" s="46">
        <f>IF(VLOOKUP($C499,REV!$C:$AA,20,0)-'TRADE IN'!$F499=0,"",(VLOOKUP($C499,REV!$C:$AA,20,0)-'TRADE IN'!$F499))</f>
        <v>8699</v>
      </c>
      <c r="W499" s="46">
        <f>IF(VLOOKUP($C499,REV!$C:$AA,21,0)-'TRADE IN'!$F499=0,"",(VLOOKUP($C499,REV!$C:$AA,21,0)-'TRADE IN'!$F499))</f>
        <v>8699</v>
      </c>
      <c r="X499" s="46">
        <f>IF(VLOOKUP($C499,REV!$C:$AA,22,0)-'TRADE IN'!$F499=0,"",(VLOOKUP($C499,REV!$C:$AA,22,0)-'TRADE IN'!$F499))</f>
        <v>8399</v>
      </c>
      <c r="Y499" s="46">
        <f>IF(VLOOKUP($C499,REV!$C:$AA,23,0)-'TRADE IN'!$F499=0,"",(VLOOKUP($C499,REV!$C:$AA,23,0)-'TRADE IN'!$F499))</f>
        <v>6099</v>
      </c>
      <c r="Z499" s="46">
        <f>IF(VLOOKUP($C499,REV!$C:$AA,24,0)-'TRADE IN'!$F499=0,"",(VLOOKUP($C499,REV!$C:$AA,24,0)-'TRADE IN'!$F499))</f>
        <v>6099</v>
      </c>
      <c r="AA499" s="46">
        <f>IF(VLOOKUP($C499,REV!$C:$AA,25,0)-'TRADE IN'!$F499=0,"",(VLOOKUP($C499,REV!$C:$AA,25,0)-'TRADE IN'!$F499))</f>
        <v>5899</v>
      </c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7"/>
      <c r="AW499" s="48" t="str">
        <f>REV!AW499</f>
        <v>01.12.2026</v>
      </c>
      <c r="AX499" s="153" t="str">
        <f>VLOOKUP(C499,REV!C:AX,48,0)</f>
        <v>5G</v>
      </c>
    </row>
    <row r="500" spans="1:50" ht="22.5" customHeight="1">
      <c r="A500" s="41" t="s">
        <v>63</v>
      </c>
      <c r="B500" s="42" t="s">
        <v>64</v>
      </c>
      <c r="C500" s="67">
        <v>4018082</v>
      </c>
      <c r="D500" s="68" t="s">
        <v>719</v>
      </c>
      <c r="E500" s="68" t="s">
        <v>721</v>
      </c>
      <c r="F500" s="46">
        <v>2000</v>
      </c>
      <c r="G500" s="46">
        <v>10399</v>
      </c>
      <c r="H500" s="46">
        <v>11399</v>
      </c>
      <c r="I500" s="46">
        <v>11399</v>
      </c>
      <c r="J500" s="46">
        <f>IF(VLOOKUP($C500,REV!$C:$AA,8,0)-'TRADE IN'!$F500=0,"",(VLOOKUP($C500,REV!$C:$AA,8,0)-'TRADE IN'!$F500))</f>
        <v>9299</v>
      </c>
      <c r="K500" s="46">
        <f>IF(VLOOKUP($C500,REV!$C:$AA,9,0)-'TRADE IN'!$F500=0,"",(VLOOKUP($C500,REV!$C:$AA,9,0)-'TRADE IN'!$F500))</f>
        <v>9299</v>
      </c>
      <c r="L500" s="46">
        <f>IF(VLOOKUP($C500,REV!$C:$AA,10,0)-'TRADE IN'!$F500=0,"",(VLOOKUP($C500,REV!$C:$AA,10,0)-'TRADE IN'!$F500))</f>
        <v>9299</v>
      </c>
      <c r="M500" s="46">
        <f>IF(VLOOKUP($C500,REV!$C:$AA,11,0)-'TRADE IN'!$F500=0,"",(VLOOKUP($C500,REV!$C:$AA,11,0)-'TRADE IN'!$F500))</f>
        <v>9299</v>
      </c>
      <c r="N500" s="46">
        <f>IF(VLOOKUP($C500,REV!$C:$AA,12,0)-'TRADE IN'!$F500=0,"",(VLOOKUP($C500,REV!$C:$AA,12,0)-'TRADE IN'!$F500))</f>
        <v>9299</v>
      </c>
      <c r="O500" s="46">
        <f>IF(VLOOKUP($C500,REV!$C:$AA,13,0)-'TRADE IN'!$F500=0,"",(VLOOKUP($C500,REV!$C:$AA,13,0)-'TRADE IN'!$F500))</f>
        <v>9199</v>
      </c>
      <c r="P500" s="46">
        <f>IF(VLOOKUP($C500,REV!$C:$AA,14,0)-'TRADE IN'!$F500=0,"",(VLOOKUP($C500,REV!$C:$AA,14,0)-'TRADE IN'!$F500))</f>
        <v>8999</v>
      </c>
      <c r="Q500" s="46">
        <f>IF(VLOOKUP($C500,REV!$C:$AA,15,0)-'TRADE IN'!$F500=0,"",(VLOOKUP($C500,REV!$C:$AA,15,0)-'TRADE IN'!$F500))</f>
        <v>8699</v>
      </c>
      <c r="R500" s="46">
        <f>IF(VLOOKUP($C500,REV!$C:$AA,16,0)-'TRADE IN'!$F500=0,"",(VLOOKUP($C500,REV!$C:$AA,16,0)-'TRADE IN'!$F500))</f>
        <v>9199</v>
      </c>
      <c r="S500" s="46">
        <f>IF(VLOOKUP($C500,REV!$C:$AA,17,0)-'TRADE IN'!$F500=0,"",(VLOOKUP($C500,REV!$C:$AA,17,0)-'TRADE IN'!$F500))</f>
        <v>8999</v>
      </c>
      <c r="T500" s="46">
        <f>IF(VLOOKUP($C500,REV!$C:$AA,18,0)-'TRADE IN'!$F500=0,"",(VLOOKUP($C500,REV!$C:$AA,18,0)-'TRADE IN'!$F500))</f>
        <v>8699</v>
      </c>
      <c r="U500" s="46">
        <f>IF(VLOOKUP($C500,REV!$C:$AA,19,0)-'TRADE IN'!$F500=0,"",(VLOOKUP($C500,REV!$C:$AA,19,0)-'TRADE IN'!$F500))</f>
        <v>8699</v>
      </c>
      <c r="V500" s="46">
        <f>IF(VLOOKUP($C500,REV!$C:$AA,20,0)-'TRADE IN'!$F500=0,"",(VLOOKUP($C500,REV!$C:$AA,20,0)-'TRADE IN'!$F500))</f>
        <v>8699</v>
      </c>
      <c r="W500" s="46">
        <f>IF(VLOOKUP($C500,REV!$C:$AA,21,0)-'TRADE IN'!$F500=0,"",(VLOOKUP($C500,REV!$C:$AA,21,0)-'TRADE IN'!$F500))</f>
        <v>8699</v>
      </c>
      <c r="X500" s="46">
        <f>IF(VLOOKUP($C500,REV!$C:$AA,22,0)-'TRADE IN'!$F500=0,"",(VLOOKUP($C500,REV!$C:$AA,22,0)-'TRADE IN'!$F500))</f>
        <v>8399</v>
      </c>
      <c r="Y500" s="46">
        <f>IF(VLOOKUP($C500,REV!$C:$AA,23,0)-'TRADE IN'!$F500=0,"",(VLOOKUP($C500,REV!$C:$AA,23,0)-'TRADE IN'!$F500))</f>
        <v>6099</v>
      </c>
      <c r="Z500" s="46">
        <f>IF(VLOOKUP($C500,REV!$C:$AA,24,0)-'TRADE IN'!$F500=0,"",(VLOOKUP($C500,REV!$C:$AA,24,0)-'TRADE IN'!$F500))</f>
        <v>6099</v>
      </c>
      <c r="AA500" s="46">
        <f>IF(VLOOKUP($C500,REV!$C:$AA,25,0)-'TRADE IN'!$F500=0,"",(VLOOKUP($C500,REV!$C:$AA,25,0)-'TRADE IN'!$F500))</f>
        <v>5899</v>
      </c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7"/>
      <c r="AW500" s="48" t="str">
        <f>REV!AW500</f>
        <v>01.12.2026</v>
      </c>
      <c r="AX500" s="153" t="str">
        <f>VLOOKUP(C500,REV!C:AX,48,0)</f>
        <v>5G</v>
      </c>
    </row>
    <row r="501" spans="1:50" ht="22.5" customHeight="1">
      <c r="A501" s="41" t="s">
        <v>63</v>
      </c>
      <c r="B501" s="42" t="s">
        <v>64</v>
      </c>
      <c r="C501" s="67">
        <v>4018094</v>
      </c>
      <c r="D501" s="68" t="s">
        <v>722</v>
      </c>
      <c r="E501" s="68" t="s">
        <v>723</v>
      </c>
      <c r="F501" s="46">
        <v>2000</v>
      </c>
      <c r="G501" s="46">
        <v>10999</v>
      </c>
      <c r="H501" s="46">
        <v>11999</v>
      </c>
      <c r="I501" s="46">
        <v>11999</v>
      </c>
      <c r="J501" s="46">
        <f>IF(VLOOKUP($C501,REV!$C:$AA,8,0)-'TRADE IN'!$F501=0,"",(VLOOKUP($C501,REV!$C:$AA,8,0)-'TRADE IN'!$F501))</f>
        <v>9699</v>
      </c>
      <c r="K501" s="46">
        <f>IF(VLOOKUP($C501,REV!$C:$AA,9,0)-'TRADE IN'!$F501=0,"",(VLOOKUP($C501,REV!$C:$AA,9,0)-'TRADE IN'!$F501))</f>
        <v>9699</v>
      </c>
      <c r="L501" s="46">
        <f>IF(VLOOKUP($C501,REV!$C:$AA,10,0)-'TRADE IN'!$F501=0,"",(VLOOKUP($C501,REV!$C:$AA,10,0)-'TRADE IN'!$F501))</f>
        <v>9699</v>
      </c>
      <c r="M501" s="46">
        <f>IF(VLOOKUP($C501,REV!$C:$AA,11,0)-'TRADE IN'!$F501=0,"",(VLOOKUP($C501,REV!$C:$AA,11,0)-'TRADE IN'!$F501))</f>
        <v>9699</v>
      </c>
      <c r="N501" s="46">
        <f>IF(VLOOKUP($C501,REV!$C:$AA,12,0)-'TRADE IN'!$F501=0,"",(VLOOKUP($C501,REV!$C:$AA,12,0)-'TRADE IN'!$F501))</f>
        <v>9699</v>
      </c>
      <c r="O501" s="46">
        <f>IF(VLOOKUP($C501,REV!$C:$AA,13,0)-'TRADE IN'!$F501=0,"",(VLOOKUP($C501,REV!$C:$AA,13,0)-'TRADE IN'!$F501))</f>
        <v>9599</v>
      </c>
      <c r="P501" s="46">
        <f>IF(VLOOKUP($C501,REV!$C:$AA,14,0)-'TRADE IN'!$F501=0,"",(VLOOKUP($C501,REV!$C:$AA,14,0)-'TRADE IN'!$F501))</f>
        <v>9399</v>
      </c>
      <c r="Q501" s="46">
        <f>IF(VLOOKUP($C501,REV!$C:$AA,15,0)-'TRADE IN'!$F501=0,"",(VLOOKUP($C501,REV!$C:$AA,15,0)-'TRADE IN'!$F501))</f>
        <v>9099</v>
      </c>
      <c r="R501" s="46">
        <f>IF(VLOOKUP($C501,REV!$C:$AA,16,0)-'TRADE IN'!$F501=0,"",(VLOOKUP($C501,REV!$C:$AA,16,0)-'TRADE IN'!$F501))</f>
        <v>9599</v>
      </c>
      <c r="S501" s="46">
        <f>IF(VLOOKUP($C501,REV!$C:$AA,17,0)-'TRADE IN'!$F501=0,"",(VLOOKUP($C501,REV!$C:$AA,17,0)-'TRADE IN'!$F501))</f>
        <v>9399</v>
      </c>
      <c r="T501" s="46">
        <f>IF(VLOOKUP($C501,REV!$C:$AA,18,0)-'TRADE IN'!$F501=0,"",(VLOOKUP($C501,REV!$C:$AA,18,0)-'TRADE IN'!$F501))</f>
        <v>9099</v>
      </c>
      <c r="U501" s="46">
        <f>IF(VLOOKUP($C501,REV!$C:$AA,19,0)-'TRADE IN'!$F501=0,"",(VLOOKUP($C501,REV!$C:$AA,19,0)-'TRADE IN'!$F501))</f>
        <v>9099</v>
      </c>
      <c r="V501" s="46">
        <f>IF(VLOOKUP($C501,REV!$C:$AA,20,0)-'TRADE IN'!$F501=0,"",(VLOOKUP($C501,REV!$C:$AA,20,0)-'TRADE IN'!$F501))</f>
        <v>9099</v>
      </c>
      <c r="W501" s="46">
        <f>IF(VLOOKUP($C501,REV!$C:$AA,21,0)-'TRADE IN'!$F501=0,"",(VLOOKUP($C501,REV!$C:$AA,21,0)-'TRADE IN'!$F501))</f>
        <v>9099</v>
      </c>
      <c r="X501" s="46">
        <f>IF(VLOOKUP($C501,REV!$C:$AA,22,0)-'TRADE IN'!$F501=0,"",(VLOOKUP($C501,REV!$C:$AA,22,0)-'TRADE IN'!$F501))</f>
        <v>8999</v>
      </c>
      <c r="Y501" s="46">
        <f>IF(VLOOKUP($C501,REV!$C:$AA,23,0)-'TRADE IN'!$F501=0,"",(VLOOKUP($C501,REV!$C:$AA,23,0)-'TRADE IN'!$F501))</f>
        <v>6499</v>
      </c>
      <c r="Z501" s="46">
        <f>IF(VLOOKUP($C501,REV!$C:$AA,24,0)-'TRADE IN'!$F501=0,"",(VLOOKUP($C501,REV!$C:$AA,24,0)-'TRADE IN'!$F501))</f>
        <v>6499</v>
      </c>
      <c r="AA501" s="46">
        <f>IF(VLOOKUP($C501,REV!$C:$AA,25,0)-'TRADE IN'!$F501=0,"",(VLOOKUP($C501,REV!$C:$AA,25,0)-'TRADE IN'!$F501))</f>
        <v>6299</v>
      </c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7"/>
      <c r="AW501" s="48" t="str">
        <f>REV!AW501</f>
        <v>01.12.2026</v>
      </c>
      <c r="AX501" s="153" t="str">
        <f>VLOOKUP(C501,REV!C:AX,48,0)</f>
        <v>5G</v>
      </c>
    </row>
    <row r="502" spans="1:50" ht="22.5" customHeight="1" thickBot="1">
      <c r="A502" s="155" t="s">
        <v>63</v>
      </c>
      <c r="B502" s="83" t="s">
        <v>64</v>
      </c>
      <c r="C502" s="69">
        <v>4018098</v>
      </c>
      <c r="D502" s="70" t="s">
        <v>722</v>
      </c>
      <c r="E502" s="70" t="s">
        <v>724</v>
      </c>
      <c r="F502" s="71">
        <v>2000</v>
      </c>
      <c r="G502" s="71">
        <v>10999</v>
      </c>
      <c r="H502" s="71">
        <v>11999</v>
      </c>
      <c r="I502" s="71">
        <v>11999</v>
      </c>
      <c r="J502" s="71">
        <f>IF(VLOOKUP($C502,REV!$C:$AA,8,0)-'TRADE IN'!$F502=0,"",(VLOOKUP($C502,REV!$C:$AA,8,0)-'TRADE IN'!$F502))</f>
        <v>9699</v>
      </c>
      <c r="K502" s="71">
        <f>IF(VLOOKUP($C502,REV!$C:$AA,9,0)-'TRADE IN'!$F502=0,"",(VLOOKUP($C502,REV!$C:$AA,9,0)-'TRADE IN'!$F502))</f>
        <v>9699</v>
      </c>
      <c r="L502" s="71">
        <f>IF(VLOOKUP($C502,REV!$C:$AA,10,0)-'TRADE IN'!$F502=0,"",(VLOOKUP($C502,REV!$C:$AA,10,0)-'TRADE IN'!$F502))</f>
        <v>9699</v>
      </c>
      <c r="M502" s="71">
        <f>IF(VLOOKUP($C502,REV!$C:$AA,11,0)-'TRADE IN'!$F502=0,"",(VLOOKUP($C502,REV!$C:$AA,11,0)-'TRADE IN'!$F502))</f>
        <v>9699</v>
      </c>
      <c r="N502" s="71">
        <f>IF(VLOOKUP($C502,REV!$C:$AA,12,0)-'TRADE IN'!$F502=0,"",(VLOOKUP($C502,REV!$C:$AA,12,0)-'TRADE IN'!$F502))</f>
        <v>9699</v>
      </c>
      <c r="O502" s="71">
        <f>IF(VLOOKUP($C502,REV!$C:$AA,13,0)-'TRADE IN'!$F502=0,"",(VLOOKUP($C502,REV!$C:$AA,13,0)-'TRADE IN'!$F502))</f>
        <v>9599</v>
      </c>
      <c r="P502" s="71">
        <f>IF(VLOOKUP($C502,REV!$C:$AA,14,0)-'TRADE IN'!$F502=0,"",(VLOOKUP($C502,REV!$C:$AA,14,0)-'TRADE IN'!$F502))</f>
        <v>9399</v>
      </c>
      <c r="Q502" s="71">
        <f>IF(VLOOKUP($C502,REV!$C:$AA,15,0)-'TRADE IN'!$F502=0,"",(VLOOKUP($C502,REV!$C:$AA,15,0)-'TRADE IN'!$F502))</f>
        <v>9099</v>
      </c>
      <c r="R502" s="71">
        <f>IF(VLOOKUP($C502,REV!$C:$AA,16,0)-'TRADE IN'!$F502=0,"",(VLOOKUP($C502,REV!$C:$AA,16,0)-'TRADE IN'!$F502))</f>
        <v>9599</v>
      </c>
      <c r="S502" s="71">
        <f>IF(VLOOKUP($C502,REV!$C:$AA,17,0)-'TRADE IN'!$F502=0,"",(VLOOKUP($C502,REV!$C:$AA,17,0)-'TRADE IN'!$F502))</f>
        <v>9399</v>
      </c>
      <c r="T502" s="71">
        <f>IF(VLOOKUP($C502,REV!$C:$AA,18,0)-'TRADE IN'!$F502=0,"",(VLOOKUP($C502,REV!$C:$AA,18,0)-'TRADE IN'!$F502))</f>
        <v>9099</v>
      </c>
      <c r="U502" s="71">
        <f>IF(VLOOKUP($C502,REV!$C:$AA,19,0)-'TRADE IN'!$F502=0,"",(VLOOKUP($C502,REV!$C:$AA,19,0)-'TRADE IN'!$F502))</f>
        <v>9099</v>
      </c>
      <c r="V502" s="71">
        <f>IF(VLOOKUP($C502,REV!$C:$AA,20,0)-'TRADE IN'!$F502=0,"",(VLOOKUP($C502,REV!$C:$AA,20,0)-'TRADE IN'!$F502))</f>
        <v>9099</v>
      </c>
      <c r="W502" s="71">
        <f>IF(VLOOKUP($C502,REV!$C:$AA,21,0)-'TRADE IN'!$F502=0,"",(VLOOKUP($C502,REV!$C:$AA,21,0)-'TRADE IN'!$F502))</f>
        <v>9099</v>
      </c>
      <c r="X502" s="71">
        <f>IF(VLOOKUP($C502,REV!$C:$AA,22,0)-'TRADE IN'!$F502=0,"",(VLOOKUP($C502,REV!$C:$AA,22,0)-'TRADE IN'!$F502))</f>
        <v>8999</v>
      </c>
      <c r="Y502" s="71">
        <f>IF(VLOOKUP($C502,REV!$C:$AA,23,0)-'TRADE IN'!$F502=0,"",(VLOOKUP($C502,REV!$C:$AA,23,0)-'TRADE IN'!$F502))</f>
        <v>6499</v>
      </c>
      <c r="Z502" s="71">
        <f>IF(VLOOKUP($C502,REV!$C:$AA,24,0)-'TRADE IN'!$F502=0,"",(VLOOKUP($C502,REV!$C:$AA,24,0)-'TRADE IN'!$F502))</f>
        <v>6499</v>
      </c>
      <c r="AA502" s="71">
        <f>IF(VLOOKUP($C502,REV!$C:$AA,25,0)-'TRADE IN'!$F502=0,"",(VLOOKUP($C502,REV!$C:$AA,25,0)-'TRADE IN'!$F502))</f>
        <v>6299</v>
      </c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47"/>
      <c r="AW502" s="156" t="str">
        <f>REV!AW502</f>
        <v>01.12.2026</v>
      </c>
      <c r="AX502" s="157" t="str">
        <f>VLOOKUP(C502,REV!C:AX,48,0)</f>
        <v>5G</v>
      </c>
    </row>
    <row r="503" spans="1:50" ht="22.5" customHeight="1">
      <c r="A503" s="75" t="s">
        <v>247</v>
      </c>
      <c r="B503" s="76" t="s">
        <v>64</v>
      </c>
      <c r="C503" s="43">
        <v>4013638</v>
      </c>
      <c r="D503" s="58" t="s">
        <v>725</v>
      </c>
      <c r="E503" s="58" t="s">
        <v>726</v>
      </c>
      <c r="F503" s="77"/>
      <c r="G503" s="78"/>
      <c r="H503" s="79"/>
      <c r="I503" s="45"/>
      <c r="J503" s="45">
        <f>IF(VLOOKUP($C503,REV!$C:$AA,8,0)-'TRADE IN'!$F503=0,"",(VLOOKUP($C503,REV!$C:$AA,8,0)-'TRADE IN'!$F503))</f>
        <v>99</v>
      </c>
      <c r="K503" s="45">
        <f>IF(VLOOKUP($C503,REV!$C:$AA,9,0)-'TRADE IN'!$F503=0,"",(VLOOKUP($C503,REV!$C:$AA,9,0)-'TRADE IN'!$F503))</f>
        <v>99</v>
      </c>
      <c r="L503" s="45">
        <f>IF(VLOOKUP($C503,REV!$C:$AA,10,0)-'TRADE IN'!$F503=0,"",(VLOOKUP($C503,REV!$C:$AA,10,0)-'TRADE IN'!$F503))</f>
        <v>99</v>
      </c>
      <c r="M503" s="45">
        <f>IF(VLOOKUP($C503,REV!$C:$AA,11,0)-'TRADE IN'!$F503=0,"",(VLOOKUP($C503,REV!$C:$AA,11,0)-'TRADE IN'!$F503))</f>
        <v>99</v>
      </c>
      <c r="N503" s="45">
        <f>IF(VLOOKUP($C503,REV!$C:$AA,12,0)-'TRADE IN'!$F503=0,"",(VLOOKUP($C503,REV!$C:$AA,12,0)-'TRADE IN'!$F503))</f>
        <v>99</v>
      </c>
      <c r="O503" s="45">
        <f>IF(VLOOKUP($C503,REV!$C:$AA,13,0)-'TRADE IN'!$F503=0,"",(VLOOKUP($C503,REV!$C:$AA,13,0)-'TRADE IN'!$F503))</f>
        <v>99</v>
      </c>
      <c r="P503" s="45">
        <f>IF(VLOOKUP($C503,REV!$C:$AA,14,0)-'TRADE IN'!$F503=0,"",(VLOOKUP($C503,REV!$C:$AA,14,0)-'TRADE IN'!$F503))</f>
        <v>99</v>
      </c>
      <c r="Q503" s="45">
        <f>IF(VLOOKUP($C503,REV!$C:$AA,15,0)-'TRADE IN'!$F503=0,"",(VLOOKUP($C503,REV!$C:$AA,15,0)-'TRADE IN'!$F503))</f>
        <v>99</v>
      </c>
      <c r="R503" s="45">
        <f>IF(VLOOKUP($C503,REV!$C:$AA,16,0)-'TRADE IN'!$F503=0,"",(VLOOKUP($C503,REV!$C:$AA,16,0)-'TRADE IN'!$F503))</f>
        <v>99</v>
      </c>
      <c r="S503" s="45">
        <f>IF(VLOOKUP($C503,REV!$C:$AA,17,0)-'TRADE IN'!$F503=0,"",(VLOOKUP($C503,REV!$C:$AA,17,0)-'TRADE IN'!$F503))</f>
        <v>99</v>
      </c>
      <c r="T503" s="45">
        <f>IF(VLOOKUP($C503,REV!$C:$AA,18,0)-'TRADE IN'!$F503=0,"",(VLOOKUP($C503,REV!$C:$AA,18,0)-'TRADE IN'!$F503))</f>
        <v>99</v>
      </c>
      <c r="U503" s="45">
        <f>IF(VLOOKUP($C503,REV!$C:$AA,19,0)-'TRADE IN'!$F503=0,"",(VLOOKUP($C503,REV!$C:$AA,19,0)-'TRADE IN'!$F503))</f>
        <v>99</v>
      </c>
      <c r="V503" s="45">
        <f>IF(VLOOKUP($C503,REV!$C:$AA,20,0)-'TRADE IN'!$F503=0,"",(VLOOKUP($C503,REV!$C:$AA,20,0)-'TRADE IN'!$F503))</f>
        <v>99</v>
      </c>
      <c r="W503" s="45">
        <f>IF(VLOOKUP($C503,REV!$C:$AA,21,0)-'TRADE IN'!$F503=0,"",(VLOOKUP($C503,REV!$C:$AA,21,0)-'TRADE IN'!$F503))</f>
        <v>99</v>
      </c>
      <c r="X503" s="45">
        <f>IF(VLOOKUP($C503,REV!$C:$AA,22,0)-'TRADE IN'!$F503=0,"",(VLOOKUP($C503,REV!$C:$AA,22,0)-'TRADE IN'!$F503))</f>
        <v>99</v>
      </c>
      <c r="Y503" s="45">
        <f>IF(VLOOKUP($C503,REV!$C:$AA,23,0)-'TRADE IN'!$F503=0,"",(VLOOKUP($C503,REV!$C:$AA,23,0)-'TRADE IN'!$F503))</f>
        <v>99</v>
      </c>
      <c r="Z503" s="45">
        <f>IF(VLOOKUP($C503,REV!$C:$AA,24,0)-'TRADE IN'!$F503=0,"",(VLOOKUP($C503,REV!$C:$AA,24,0)-'TRADE IN'!$F503))</f>
        <v>99</v>
      </c>
      <c r="AA503" s="45">
        <f>IF(VLOOKUP($C503,REV!$C:$AA,25,0)-'TRADE IN'!$F503=0,"",(VLOOKUP($C503,REV!$C:$AA,25,0)-'TRADE IN'!$F503))</f>
        <v>99</v>
      </c>
      <c r="AB503" s="45" t="str">
        <f>IF(VLOOKUP($C503,REV!$C:$AL,27,0)-'TRADE IN'!$F503=0,"",(VLOOKUP($C503,REV!$C:$AL,27,0)-'TRADE IN'!$F503))</f>
        <v/>
      </c>
      <c r="AC503" s="45" t="str">
        <f>IF(VLOOKUP($C503,REV!$C:$AL,28,0)-'TRADE IN'!$F503=0,"",(VLOOKUP($C503,REV!$C:$AL,28,0)-'TRADE IN'!$F503))</f>
        <v/>
      </c>
      <c r="AD503" s="45" t="str">
        <f>IF(VLOOKUP($C503,REV!$C:$AL,29,0)-'TRADE IN'!$F503=0,"",(VLOOKUP($C503,REV!$C:$AL,29,0)-'TRADE IN'!$F503))</f>
        <v/>
      </c>
      <c r="AE503" s="45" t="str">
        <f>IF(VLOOKUP($C503,REV!$C:$AL,30,0)-'TRADE IN'!$F503=0,"",(VLOOKUP($C503,REV!$C:$AL,30,0)-'TRADE IN'!$F503))</f>
        <v/>
      </c>
      <c r="AF503" s="45" t="str">
        <f>IF(VLOOKUP($C503,REV!$C:$AL,31,0)-'TRADE IN'!$F503=0,"",(VLOOKUP($C503,REV!$C:$AL,31,0)-'TRADE IN'!$F503))</f>
        <v/>
      </c>
      <c r="AG503" s="45" t="str">
        <f>IF(VLOOKUP($C503,REV!$C:$AL,31,0)-'TRADE IN'!$F503=0,"",(VLOOKUP($C503,REV!$C:$AL,31,0)-'TRADE IN'!$F503))</f>
        <v/>
      </c>
      <c r="AH503" s="45" t="str">
        <f>IF(VLOOKUP($C503,REV!$C:$AL,32,0)-'TRADE IN'!$F503=0,"",(VLOOKUP($C503,REV!$C:$AL,32,0)-'TRADE IN'!$F503))</f>
        <v/>
      </c>
      <c r="AI503" s="45" t="str">
        <f>IF(VLOOKUP($C503,REV!$C:$AL,33,0)-'TRADE IN'!$F503=0,"",(VLOOKUP($C503,REV!$C:$AL,33,0)-'TRADE IN'!$F503))</f>
        <v/>
      </c>
      <c r="AJ503" s="45" t="str">
        <f>IF(VLOOKUP($C503,REV!$C:$AL,34,0)-'TRADE IN'!$F503=0,"",(VLOOKUP($C503,REV!$C:$AL,34,0)-'TRADE IN'!$F503))</f>
        <v/>
      </c>
      <c r="AK503" s="45" t="str">
        <f>IF(VLOOKUP($C503,REV!$C:$AL,35,0)-'TRADE IN'!$F503=0,"",(VLOOKUP($C503,REV!$C:$AL,35,0)-'TRADE IN'!$F503))</f>
        <v/>
      </c>
      <c r="AL503" s="45" t="str">
        <f>IF(VLOOKUP($C503,REV!$C:$AL,36,0)-'TRADE IN'!$F503=0,"",(VLOOKUP($C503,REV!$C:$AL,36,0)-'TRADE IN'!$F503))</f>
        <v/>
      </c>
      <c r="AM503" s="45">
        <v>199</v>
      </c>
      <c r="AN503" s="45">
        <v>159</v>
      </c>
      <c r="AO503" s="45">
        <v>129</v>
      </c>
      <c r="AP503" s="45"/>
      <c r="AQ503" s="45"/>
      <c r="AR503" s="45"/>
      <c r="AS503" s="45"/>
      <c r="AT503" s="45"/>
      <c r="AU503" s="45"/>
      <c r="AW503" s="158" t="str">
        <f>REV!AW503</f>
        <v>01.12.2026</v>
      </c>
      <c r="AX503" s="159" t="str">
        <f>VLOOKUP(C503,REV!C:AX,48,0)</f>
        <v>3G</v>
      </c>
    </row>
    <row r="504" spans="1:50" ht="22.5" customHeight="1">
      <c r="A504" s="57" t="s">
        <v>247</v>
      </c>
      <c r="B504" s="42" t="s">
        <v>64</v>
      </c>
      <c r="C504" s="67">
        <v>4013131</v>
      </c>
      <c r="D504" s="68" t="s">
        <v>728</v>
      </c>
      <c r="E504" s="68" t="s">
        <v>729</v>
      </c>
      <c r="F504" s="77"/>
      <c r="G504" s="81"/>
      <c r="H504" s="79"/>
      <c r="I504" s="45"/>
      <c r="J504" s="45" t="str">
        <f>IF(VLOOKUP($C504,REV!$C:$AA,8,0)-'TRADE IN'!$F504=0,"",(VLOOKUP($C504,REV!$C:$AA,8,0)-'TRADE IN'!$F504))</f>
        <v/>
      </c>
      <c r="K504" s="45" t="str">
        <f>IF(VLOOKUP($C504,REV!$C:$AA,9,0)-'TRADE IN'!$F504=0,"",(VLOOKUP($C504,REV!$C:$AA,9,0)-'TRADE IN'!$F504))</f>
        <v/>
      </c>
      <c r="L504" s="45" t="str">
        <f>IF(VLOOKUP($C504,REV!$C:$AA,10,0)-'TRADE IN'!$F504=0,"",(VLOOKUP($C504,REV!$C:$AA,10,0)-'TRADE IN'!$F504))</f>
        <v/>
      </c>
      <c r="M504" s="45" t="str">
        <f>IF(VLOOKUP($C504,REV!$C:$AA,11,0)-'TRADE IN'!$F504=0,"",(VLOOKUP($C504,REV!$C:$AA,11,0)-'TRADE IN'!$F504))</f>
        <v/>
      </c>
      <c r="N504" s="45" t="str">
        <f>IF(VLOOKUP($C504,REV!$C:$AA,12,0)-'TRADE IN'!$F504=0,"",(VLOOKUP($C504,REV!$C:$AA,12,0)-'TRADE IN'!$F504))</f>
        <v/>
      </c>
      <c r="O504" s="45" t="str">
        <f>IF(VLOOKUP($C504,REV!$C:$AA,13,0)-'TRADE IN'!$F504=0,"",(VLOOKUP($C504,REV!$C:$AA,13,0)-'TRADE IN'!$F504))</f>
        <v/>
      </c>
      <c r="P504" s="45" t="str">
        <f>IF(VLOOKUP($C504,REV!$C:$AA,14,0)-'TRADE IN'!$F504=0,"",(VLOOKUP($C504,REV!$C:$AA,14,0)-'TRADE IN'!$F504))</f>
        <v/>
      </c>
      <c r="Q504" s="45" t="str">
        <f>IF(VLOOKUP($C504,REV!$C:$AA,15,0)-'TRADE IN'!$F504=0,"",(VLOOKUP($C504,REV!$C:$AA,15,0)-'TRADE IN'!$F504))</f>
        <v/>
      </c>
      <c r="R504" s="45" t="str">
        <f>IF(VLOOKUP($C504,REV!$C:$AA,16,0)-'TRADE IN'!$F504=0,"",(VLOOKUP($C504,REV!$C:$AA,16,0)-'TRADE IN'!$F504))</f>
        <v/>
      </c>
      <c r="S504" s="45" t="str">
        <f>IF(VLOOKUP($C504,REV!$C:$AA,17,0)-'TRADE IN'!$F504=0,"",(VLOOKUP($C504,REV!$C:$AA,17,0)-'TRADE IN'!$F504))</f>
        <v/>
      </c>
      <c r="T504" s="45" t="str">
        <f>IF(VLOOKUP($C504,REV!$C:$AA,18,0)-'TRADE IN'!$F504=0,"",(VLOOKUP($C504,REV!$C:$AA,18,0)-'TRADE IN'!$F504))</f>
        <v/>
      </c>
      <c r="U504" s="45" t="str">
        <f>IF(VLOOKUP($C504,REV!$C:$AA,19,0)-'TRADE IN'!$F504=0,"",(VLOOKUP($C504,REV!$C:$AA,19,0)-'TRADE IN'!$F504))</f>
        <v/>
      </c>
      <c r="V504" s="45" t="str">
        <f>IF(VLOOKUP($C504,REV!$C:$AA,20,0)-'TRADE IN'!$F504=0,"",(VLOOKUP($C504,REV!$C:$AA,20,0)-'TRADE IN'!$F504))</f>
        <v/>
      </c>
      <c r="W504" s="45" t="str">
        <f>IF(VLOOKUP($C504,REV!$C:$AA,21,0)-'TRADE IN'!$F504=0,"",(VLOOKUP($C504,REV!$C:$AA,21,0)-'TRADE IN'!$F504))</f>
        <v/>
      </c>
      <c r="X504" s="45" t="str">
        <f>IF(VLOOKUP($C504,REV!$C:$AA,22,0)-'TRADE IN'!$F504=0,"",(VLOOKUP($C504,REV!$C:$AA,22,0)-'TRADE IN'!$F504))</f>
        <v/>
      </c>
      <c r="Y504" s="45" t="str">
        <f>IF(VLOOKUP($C504,REV!$C:$AA,23,0)-'TRADE IN'!$F504=0,"",(VLOOKUP($C504,REV!$C:$AA,23,0)-'TRADE IN'!$F504))</f>
        <v/>
      </c>
      <c r="Z504" s="45" t="str">
        <f>IF(VLOOKUP($C504,REV!$C:$AA,24,0)-'TRADE IN'!$F504=0,"",(VLOOKUP($C504,REV!$C:$AA,24,0)-'TRADE IN'!$F504))</f>
        <v/>
      </c>
      <c r="AA504" s="45" t="str">
        <f>IF(VLOOKUP($C504,REV!$C:$AA,25,0)-'TRADE IN'!$F504=0,"",(VLOOKUP($C504,REV!$C:$AA,25,0)-'TRADE IN'!$F504))</f>
        <v/>
      </c>
      <c r="AB504" s="45" t="str">
        <f>IF(VLOOKUP($C504,REV!$C:$AL,27,0)-'TRADE IN'!$F504=0,"",(VLOOKUP($C504,REV!$C:$AL,27,0)-'TRADE IN'!$F504))</f>
        <v/>
      </c>
      <c r="AC504" s="45" t="str">
        <f>IF(VLOOKUP($C504,REV!$C:$AL,28,0)-'TRADE IN'!$F504=0,"",(VLOOKUP($C504,REV!$C:$AL,28,0)-'TRADE IN'!$F504))</f>
        <v/>
      </c>
      <c r="AD504" s="45" t="str">
        <f>IF(VLOOKUP($C504,REV!$C:$AL,29,0)-'TRADE IN'!$F504=0,"",(VLOOKUP($C504,REV!$C:$AL,29,0)-'TRADE IN'!$F504))</f>
        <v/>
      </c>
      <c r="AE504" s="45" t="str">
        <f>IF(VLOOKUP($C504,REV!$C:$AL,30,0)-'TRADE IN'!$F504=0,"",(VLOOKUP($C504,REV!$C:$AL,30,0)-'TRADE IN'!$F504))</f>
        <v/>
      </c>
      <c r="AF504" s="45" t="str">
        <f>IF(VLOOKUP($C504,REV!$C:$AL,31,0)-'TRADE IN'!$F504=0,"",(VLOOKUP($C504,REV!$C:$AL,31,0)-'TRADE IN'!$F504))</f>
        <v/>
      </c>
      <c r="AG504" s="45" t="str">
        <f>IF(VLOOKUP($C504,REV!$C:$AL,31,0)-'TRADE IN'!$F504=0,"",(VLOOKUP($C504,REV!$C:$AL,31,0)-'TRADE IN'!$F504))</f>
        <v/>
      </c>
      <c r="AH504" s="45" t="str">
        <f>IF(VLOOKUP($C504,REV!$C:$AL,32,0)-'TRADE IN'!$F504=0,"",(VLOOKUP($C504,REV!$C:$AL,32,0)-'TRADE IN'!$F504))</f>
        <v/>
      </c>
      <c r="AI504" s="45" t="str">
        <f>IF(VLOOKUP($C504,REV!$C:$AL,33,0)-'TRADE IN'!$F504=0,"",(VLOOKUP($C504,REV!$C:$AL,33,0)-'TRADE IN'!$F504))</f>
        <v/>
      </c>
      <c r="AJ504" s="45" t="str">
        <f>IF(VLOOKUP($C504,REV!$C:$AL,34,0)-'TRADE IN'!$F504=0,"",(VLOOKUP($C504,REV!$C:$AL,34,0)-'TRADE IN'!$F504))</f>
        <v/>
      </c>
      <c r="AK504" s="45" t="str">
        <f>IF(VLOOKUP($C504,REV!$C:$AL,35,0)-'TRADE IN'!$F504=0,"",(VLOOKUP($C504,REV!$C:$AL,35,0)-'TRADE IN'!$F504))</f>
        <v/>
      </c>
      <c r="AL504" s="45" t="str">
        <f>IF(VLOOKUP($C504,REV!$C:$AL,36,0)-'TRADE IN'!$F504=0,"",(VLOOKUP($C504,REV!$C:$AL,36,0)-'TRADE IN'!$F504))</f>
        <v/>
      </c>
      <c r="AM504" s="45">
        <v>199</v>
      </c>
      <c r="AN504" s="45">
        <v>159</v>
      </c>
      <c r="AO504" s="45">
        <v>129</v>
      </c>
      <c r="AP504" s="45"/>
      <c r="AQ504" s="45"/>
      <c r="AR504" s="45"/>
      <c r="AS504" s="45"/>
      <c r="AT504" s="45"/>
      <c r="AU504" s="45"/>
      <c r="AW504" s="48" t="str">
        <f>REV!AW504</f>
        <v>01.12.2026</v>
      </c>
      <c r="AX504" s="153" t="str">
        <f>VLOOKUP(C504,REV!C:AX,48,0)</f>
        <v>3G</v>
      </c>
    </row>
    <row r="505" spans="1:50" ht="22.5" customHeight="1">
      <c r="A505" s="57" t="s">
        <v>247</v>
      </c>
      <c r="B505" s="42" t="s">
        <v>64</v>
      </c>
      <c r="C505" s="67">
        <v>4013033</v>
      </c>
      <c r="D505" s="68" t="s">
        <v>730</v>
      </c>
      <c r="E505" s="68" t="s">
        <v>731</v>
      </c>
      <c r="F505" s="77"/>
      <c r="G505" s="78"/>
      <c r="H505" s="79"/>
      <c r="I505" s="45"/>
      <c r="J505" s="45" t="str">
        <f>IF(VLOOKUP($C505,REV!$C:$AA,8,0)-'TRADE IN'!$F505=0,"",(VLOOKUP($C505,REV!$C:$AA,8,0)-'TRADE IN'!$F505))</f>
        <v/>
      </c>
      <c r="K505" s="45" t="str">
        <f>IF(VLOOKUP($C505,REV!$C:$AA,9,0)-'TRADE IN'!$F505=0,"",(VLOOKUP($C505,REV!$C:$AA,9,0)-'TRADE IN'!$F505))</f>
        <v/>
      </c>
      <c r="L505" s="45" t="str">
        <f>IF(VLOOKUP($C505,REV!$C:$AA,10,0)-'TRADE IN'!$F505=0,"",(VLOOKUP($C505,REV!$C:$AA,10,0)-'TRADE IN'!$F505))</f>
        <v/>
      </c>
      <c r="M505" s="45" t="str">
        <f>IF(VLOOKUP($C505,REV!$C:$AA,11,0)-'TRADE IN'!$F505=0,"",(VLOOKUP($C505,REV!$C:$AA,11,0)-'TRADE IN'!$F505))</f>
        <v/>
      </c>
      <c r="N505" s="45" t="str">
        <f>IF(VLOOKUP($C505,REV!$C:$AA,12,0)-'TRADE IN'!$F505=0,"",(VLOOKUP($C505,REV!$C:$AA,12,0)-'TRADE IN'!$F505))</f>
        <v/>
      </c>
      <c r="O505" s="45" t="str">
        <f>IF(VLOOKUP($C505,REV!$C:$AA,13,0)-'TRADE IN'!$F505=0,"",(VLOOKUP($C505,REV!$C:$AA,13,0)-'TRADE IN'!$F505))</f>
        <v/>
      </c>
      <c r="P505" s="45" t="str">
        <f>IF(VLOOKUP($C505,REV!$C:$AA,14,0)-'TRADE IN'!$F505=0,"",(VLOOKUP($C505,REV!$C:$AA,14,0)-'TRADE IN'!$F505))</f>
        <v/>
      </c>
      <c r="Q505" s="45" t="str">
        <f>IF(VLOOKUP($C505,REV!$C:$AA,15,0)-'TRADE IN'!$F505=0,"",(VLOOKUP($C505,REV!$C:$AA,15,0)-'TRADE IN'!$F505))</f>
        <v/>
      </c>
      <c r="R505" s="45" t="str">
        <f>IF(VLOOKUP($C505,REV!$C:$AA,16,0)-'TRADE IN'!$F505=0,"",(VLOOKUP($C505,REV!$C:$AA,16,0)-'TRADE IN'!$F505))</f>
        <v/>
      </c>
      <c r="S505" s="45" t="str">
        <f>IF(VLOOKUP($C505,REV!$C:$AA,17,0)-'TRADE IN'!$F505=0,"",(VLOOKUP($C505,REV!$C:$AA,17,0)-'TRADE IN'!$F505))</f>
        <v/>
      </c>
      <c r="T505" s="45" t="str">
        <f>IF(VLOOKUP($C505,REV!$C:$AA,18,0)-'TRADE IN'!$F505=0,"",(VLOOKUP($C505,REV!$C:$AA,18,0)-'TRADE IN'!$F505))</f>
        <v/>
      </c>
      <c r="U505" s="45" t="str">
        <f>IF(VLOOKUP($C505,REV!$C:$AA,19,0)-'TRADE IN'!$F505=0,"",(VLOOKUP($C505,REV!$C:$AA,19,0)-'TRADE IN'!$F505))</f>
        <v/>
      </c>
      <c r="V505" s="45" t="str">
        <f>IF(VLOOKUP($C505,REV!$C:$AA,20,0)-'TRADE IN'!$F505=0,"",(VLOOKUP($C505,REV!$C:$AA,20,0)-'TRADE IN'!$F505))</f>
        <v/>
      </c>
      <c r="W505" s="45" t="str">
        <f>IF(VLOOKUP($C505,REV!$C:$AA,21,0)-'TRADE IN'!$F505=0,"",(VLOOKUP($C505,REV!$C:$AA,21,0)-'TRADE IN'!$F505))</f>
        <v/>
      </c>
      <c r="X505" s="45" t="str">
        <f>IF(VLOOKUP($C505,REV!$C:$AA,22,0)-'TRADE IN'!$F505=0,"",(VLOOKUP($C505,REV!$C:$AA,22,0)-'TRADE IN'!$F505))</f>
        <v/>
      </c>
      <c r="Y505" s="45" t="str">
        <f>IF(VLOOKUP($C505,REV!$C:$AA,23,0)-'TRADE IN'!$F505=0,"",(VLOOKUP($C505,REV!$C:$AA,23,0)-'TRADE IN'!$F505))</f>
        <v/>
      </c>
      <c r="Z505" s="45" t="str">
        <f>IF(VLOOKUP($C505,REV!$C:$AA,24,0)-'TRADE IN'!$F505=0,"",(VLOOKUP($C505,REV!$C:$AA,24,0)-'TRADE IN'!$F505))</f>
        <v/>
      </c>
      <c r="AA505" s="45" t="str">
        <f>IF(VLOOKUP($C505,REV!$C:$AA,25,0)-'TRADE IN'!$F505=0,"",(VLOOKUP($C505,REV!$C:$AA,25,0)-'TRADE IN'!$F505))</f>
        <v/>
      </c>
      <c r="AB505" s="45" t="str">
        <f>IF(VLOOKUP($C505,REV!$C:$AL,27,0)-'TRADE IN'!$F505=0,"",(VLOOKUP($C505,REV!$C:$AL,27,0)-'TRADE IN'!$F505))</f>
        <v/>
      </c>
      <c r="AC505" s="45" t="str">
        <f>IF(VLOOKUP($C505,REV!$C:$AL,28,0)-'TRADE IN'!$F505=0,"",(VLOOKUP($C505,REV!$C:$AL,28,0)-'TRADE IN'!$F505))</f>
        <v/>
      </c>
      <c r="AD505" s="45" t="str">
        <f>IF(VLOOKUP($C505,REV!$C:$AL,29,0)-'TRADE IN'!$F505=0,"",(VLOOKUP($C505,REV!$C:$AL,29,0)-'TRADE IN'!$F505))</f>
        <v/>
      </c>
      <c r="AE505" s="45" t="str">
        <f>IF(VLOOKUP($C505,REV!$C:$AL,30,0)-'TRADE IN'!$F505=0,"",(VLOOKUP($C505,REV!$C:$AL,30,0)-'TRADE IN'!$F505))</f>
        <v/>
      </c>
      <c r="AF505" s="45" t="str">
        <f>IF(VLOOKUP($C505,REV!$C:$AL,31,0)-'TRADE IN'!$F505=0,"",(VLOOKUP($C505,REV!$C:$AL,31,0)-'TRADE IN'!$F505))</f>
        <v/>
      </c>
      <c r="AG505" s="45" t="str">
        <f>IF(VLOOKUP($C505,REV!$C:$AL,31,0)-'TRADE IN'!$F505=0,"",(VLOOKUP($C505,REV!$C:$AL,31,0)-'TRADE IN'!$F505))</f>
        <v/>
      </c>
      <c r="AH505" s="45" t="str">
        <f>IF(VLOOKUP($C505,REV!$C:$AL,32,0)-'TRADE IN'!$F505=0,"",(VLOOKUP($C505,REV!$C:$AL,32,0)-'TRADE IN'!$F505))</f>
        <v/>
      </c>
      <c r="AI505" s="45" t="str">
        <f>IF(VLOOKUP($C505,REV!$C:$AL,33,0)-'TRADE IN'!$F505=0,"",(VLOOKUP($C505,REV!$C:$AL,33,0)-'TRADE IN'!$F505))</f>
        <v/>
      </c>
      <c r="AJ505" s="45" t="str">
        <f>IF(VLOOKUP($C505,REV!$C:$AL,34,0)-'TRADE IN'!$F505=0,"",(VLOOKUP($C505,REV!$C:$AL,34,0)-'TRADE IN'!$F505))</f>
        <v/>
      </c>
      <c r="AK505" s="45" t="str">
        <f>IF(VLOOKUP($C505,REV!$C:$AL,35,0)-'TRADE IN'!$F505=0,"",(VLOOKUP($C505,REV!$C:$AL,35,0)-'TRADE IN'!$F505))</f>
        <v/>
      </c>
      <c r="AL505" s="45" t="str">
        <f>IF(VLOOKUP($C505,REV!$C:$AL,36,0)-'TRADE IN'!$F505=0,"",(VLOOKUP($C505,REV!$C:$AL,36,0)-'TRADE IN'!$F505))</f>
        <v/>
      </c>
      <c r="AM505" s="45">
        <v>199</v>
      </c>
      <c r="AN505" s="45">
        <v>159</v>
      </c>
      <c r="AO505" s="45">
        <v>129</v>
      </c>
      <c r="AP505" s="45"/>
      <c r="AQ505" s="45"/>
      <c r="AR505" s="45"/>
      <c r="AS505" s="45"/>
      <c r="AT505" s="45"/>
      <c r="AU505" s="45"/>
      <c r="AW505" s="48" t="str">
        <f>REV!AW505</f>
        <v>01.12.2026</v>
      </c>
      <c r="AX505" s="153" t="str">
        <f>VLOOKUP(C505,REV!C:AX,48,0)</f>
        <v>4G</v>
      </c>
    </row>
    <row r="506" spans="1:50" ht="22.5" customHeight="1" thickBot="1">
      <c r="A506" s="82" t="s">
        <v>247</v>
      </c>
      <c r="B506" s="83" t="s">
        <v>64</v>
      </c>
      <c r="C506" s="69">
        <v>4011551</v>
      </c>
      <c r="D506" s="84" t="s">
        <v>732</v>
      </c>
      <c r="E506" s="70" t="s">
        <v>733</v>
      </c>
      <c r="F506" s="71"/>
      <c r="G506" s="71"/>
      <c r="H506" s="71"/>
      <c r="I506" s="71"/>
      <c r="J506" s="71" t="str">
        <f>IF(VLOOKUP($C506,REV!$C:$AA,8,0)-'TRADE IN'!$F506=0,"",(VLOOKUP($C506,REV!$C:$AA,8,0)-'TRADE IN'!$F506))</f>
        <v/>
      </c>
      <c r="K506" s="71" t="str">
        <f>IF(VLOOKUP($C506,REV!$C:$AA,9,0)-'TRADE IN'!$F506=0,"",(VLOOKUP($C506,REV!$C:$AA,9,0)-'TRADE IN'!$F506))</f>
        <v/>
      </c>
      <c r="L506" s="71" t="str">
        <f>IF(VLOOKUP($C506,REV!$C:$AA,10,0)-'TRADE IN'!$F506=0,"",(VLOOKUP($C506,REV!$C:$AA,10,0)-'TRADE IN'!$F506))</f>
        <v/>
      </c>
      <c r="M506" s="71" t="str">
        <f>IF(VLOOKUP($C506,REV!$C:$AA,11,0)-'TRADE IN'!$F506=0,"",(VLOOKUP($C506,REV!$C:$AA,11,0)-'TRADE IN'!$F506))</f>
        <v/>
      </c>
      <c r="N506" s="71" t="str">
        <f>IF(VLOOKUP($C506,REV!$C:$AA,12,0)-'TRADE IN'!$F506=0,"",(VLOOKUP($C506,REV!$C:$AA,12,0)-'TRADE IN'!$F506))</f>
        <v/>
      </c>
      <c r="O506" s="71" t="str">
        <f>IF(VLOOKUP($C506,REV!$C:$AA,13,0)-'TRADE IN'!$F506=0,"",(VLOOKUP($C506,REV!$C:$AA,13,0)-'TRADE IN'!$F506))</f>
        <v/>
      </c>
      <c r="P506" s="71" t="str">
        <f>IF(VLOOKUP($C506,REV!$C:$AA,14,0)-'TRADE IN'!$F506=0,"",(VLOOKUP($C506,REV!$C:$AA,14,0)-'TRADE IN'!$F506))</f>
        <v/>
      </c>
      <c r="Q506" s="71" t="str">
        <f>IF(VLOOKUP($C506,REV!$C:$AA,15,0)-'TRADE IN'!$F506=0,"",(VLOOKUP($C506,REV!$C:$AA,15,0)-'TRADE IN'!$F506))</f>
        <v/>
      </c>
      <c r="R506" s="71" t="str">
        <f>IF(VLOOKUP($C506,REV!$C:$AA,16,0)-'TRADE IN'!$F506=0,"",(VLOOKUP($C506,REV!$C:$AA,16,0)-'TRADE IN'!$F506))</f>
        <v/>
      </c>
      <c r="S506" s="71" t="str">
        <f>IF(VLOOKUP($C506,REV!$C:$AA,17,0)-'TRADE IN'!$F506=0,"",(VLOOKUP($C506,REV!$C:$AA,17,0)-'TRADE IN'!$F506))</f>
        <v/>
      </c>
      <c r="T506" s="71" t="str">
        <f>IF(VLOOKUP($C506,REV!$C:$AA,18,0)-'TRADE IN'!$F506=0,"",(VLOOKUP($C506,REV!$C:$AA,18,0)-'TRADE IN'!$F506))</f>
        <v/>
      </c>
      <c r="U506" s="71" t="str">
        <f>IF(VLOOKUP($C506,REV!$C:$AA,19,0)-'TRADE IN'!$F506=0,"",(VLOOKUP($C506,REV!$C:$AA,19,0)-'TRADE IN'!$F506))</f>
        <v/>
      </c>
      <c r="V506" s="71" t="str">
        <f>IF(VLOOKUP($C506,REV!$C:$AA,20,0)-'TRADE IN'!$F506=0,"",(VLOOKUP($C506,REV!$C:$AA,20,0)-'TRADE IN'!$F506))</f>
        <v/>
      </c>
      <c r="W506" s="71" t="str">
        <f>IF(VLOOKUP($C506,REV!$C:$AA,21,0)-'TRADE IN'!$F506=0,"",(VLOOKUP($C506,REV!$C:$AA,21,0)-'TRADE IN'!$F506))</f>
        <v/>
      </c>
      <c r="X506" s="71" t="str">
        <f>IF(VLOOKUP($C506,REV!$C:$AA,22,0)-'TRADE IN'!$F506=0,"",(VLOOKUP($C506,REV!$C:$AA,22,0)-'TRADE IN'!$F506))</f>
        <v/>
      </c>
      <c r="Y506" s="71" t="str">
        <f>IF(VLOOKUP($C506,REV!$C:$AA,23,0)-'TRADE IN'!$F506=0,"",(VLOOKUP($C506,REV!$C:$AA,23,0)-'TRADE IN'!$F506))</f>
        <v/>
      </c>
      <c r="Z506" s="71" t="str">
        <f>IF(VLOOKUP($C506,REV!$C:$AA,24,0)-'TRADE IN'!$F506=0,"",(VLOOKUP($C506,REV!$C:$AA,24,0)-'TRADE IN'!$F506))</f>
        <v/>
      </c>
      <c r="AA506" s="71" t="str">
        <f>IF(VLOOKUP($C506,REV!$C:$AA,25,0)-'TRADE IN'!$F506=0,"",(VLOOKUP($C506,REV!$C:$AA,25,0)-'TRADE IN'!$F506))</f>
        <v/>
      </c>
      <c r="AB506" s="71" t="str">
        <f>IF(VLOOKUP($C506,REV!$C:$AL,27,0)-'TRADE IN'!$F506=0,"",(VLOOKUP($C506,REV!$C:$AL,27,0)-'TRADE IN'!$F506))</f>
        <v/>
      </c>
      <c r="AC506" s="71" t="str">
        <f>IF(VLOOKUP($C506,REV!$C:$AL,28,0)-'TRADE IN'!$F506=0,"",(VLOOKUP($C506,REV!$C:$AL,28,0)-'TRADE IN'!$F506))</f>
        <v/>
      </c>
      <c r="AD506" s="71" t="str">
        <f>IF(VLOOKUP($C506,REV!$C:$AL,29,0)-'TRADE IN'!$F506=0,"",(VLOOKUP($C506,REV!$C:$AL,29,0)-'TRADE IN'!$F506))</f>
        <v/>
      </c>
      <c r="AE506" s="71" t="str">
        <f>IF(VLOOKUP($C506,REV!$C:$AL,30,0)-'TRADE IN'!$F506=0,"",(VLOOKUP($C506,REV!$C:$AL,30,0)-'TRADE IN'!$F506))</f>
        <v/>
      </c>
      <c r="AF506" s="71" t="str">
        <f>IF(VLOOKUP($C506,REV!$C:$AL,31,0)-'TRADE IN'!$F506=0,"",(VLOOKUP($C506,REV!$C:$AL,31,0)-'TRADE IN'!$F506))</f>
        <v/>
      </c>
      <c r="AG506" s="71" t="str">
        <f>IF(VLOOKUP($C506,REV!$C:$AL,31,0)-'TRADE IN'!$F506=0,"",(VLOOKUP($C506,REV!$C:$AL,31,0)-'TRADE IN'!$F506))</f>
        <v/>
      </c>
      <c r="AH506" s="71" t="str">
        <f>IF(VLOOKUP($C506,REV!$C:$AL,32,0)-'TRADE IN'!$F506=0,"",(VLOOKUP($C506,REV!$C:$AL,32,0)-'TRADE IN'!$F506))</f>
        <v/>
      </c>
      <c r="AI506" s="71" t="str">
        <f>IF(VLOOKUP($C506,REV!$C:$AL,33,0)-'TRADE IN'!$F506=0,"",(VLOOKUP($C506,REV!$C:$AL,33,0)-'TRADE IN'!$F506))</f>
        <v/>
      </c>
      <c r="AJ506" s="71" t="str">
        <f>IF(VLOOKUP($C506,REV!$C:$AL,34,0)-'TRADE IN'!$F506=0,"",(VLOOKUP($C506,REV!$C:$AL,34,0)-'TRADE IN'!$F506))</f>
        <v/>
      </c>
      <c r="AK506" s="71" t="str">
        <f>IF(VLOOKUP($C506,REV!$C:$AL,35,0)-'TRADE IN'!$F506=0,"",(VLOOKUP($C506,REV!$C:$AL,35,0)-'TRADE IN'!$F506))</f>
        <v/>
      </c>
      <c r="AL506" s="71" t="str">
        <f>IF(VLOOKUP($C506,REV!$C:$AL,36,0)-'TRADE IN'!$F506=0,"",(VLOOKUP($C506,REV!$C:$AL,36,0)-'TRADE IN'!$F506))</f>
        <v/>
      </c>
      <c r="AM506" s="71"/>
      <c r="AN506" s="71"/>
      <c r="AO506" s="71"/>
      <c r="AP506" s="71"/>
      <c r="AQ506" s="71"/>
      <c r="AR506" s="71"/>
      <c r="AS506" s="71"/>
      <c r="AT506" s="71"/>
      <c r="AU506" s="71"/>
      <c r="AW506" s="160" t="str">
        <f>REV!AW506</f>
        <v>01.12.2026</v>
      </c>
      <c r="AX506" s="157" t="str">
        <f>VLOOKUP(C506,REV!C:AX,48,0)</f>
        <v>4G</v>
      </c>
    </row>
    <row r="507" spans="1:50" ht="22.5" customHeight="1">
      <c r="A507" s="75" t="s">
        <v>247</v>
      </c>
      <c r="B507" s="76" t="s">
        <v>64</v>
      </c>
      <c r="C507" s="58">
        <v>4011550</v>
      </c>
      <c r="D507" s="86" t="s">
        <v>734</v>
      </c>
      <c r="E507" s="58" t="s">
        <v>734</v>
      </c>
      <c r="F507" s="46"/>
      <c r="J507" s="45" t="str">
        <f>IF(VLOOKUP($C507,REV!$C:$AA,8,0)-'TRADE IN'!$F507=0,"",(VLOOKUP($C507,REV!$C:$AA,8,0)-'TRADE IN'!$F507))</f>
        <v/>
      </c>
      <c r="K507" s="45" t="str">
        <f>IF(VLOOKUP($C507,REV!$C:$AA,9,0)-'TRADE IN'!$F507=0,"",(VLOOKUP($C507,REV!$C:$AA,9,0)-'TRADE IN'!$F507))</f>
        <v/>
      </c>
      <c r="L507" s="45" t="str">
        <f>IF(VLOOKUP($C507,REV!$C:$AA,10,0)-'TRADE IN'!$F507=0,"",(VLOOKUP($C507,REV!$C:$AA,10,0)-'TRADE IN'!$F507))</f>
        <v/>
      </c>
      <c r="M507" s="45" t="str">
        <f>IF(VLOOKUP($C507,REV!$C:$AA,11,0)-'TRADE IN'!$F507=0,"",(VLOOKUP($C507,REV!$C:$AA,11,0)-'TRADE IN'!$F507))</f>
        <v/>
      </c>
      <c r="N507" s="45" t="str">
        <f>IF(VLOOKUP($C507,REV!$C:$AA,12,0)-'TRADE IN'!$F507=0,"",(VLOOKUP($C507,REV!$C:$AA,12,0)-'TRADE IN'!$F507))</f>
        <v/>
      </c>
      <c r="O507" s="45" t="str">
        <f>IF(VLOOKUP($C507,REV!$C:$AA,13,0)-'TRADE IN'!$F507=0,"",(VLOOKUP($C507,REV!$C:$AA,13,0)-'TRADE IN'!$F507))</f>
        <v/>
      </c>
      <c r="P507" s="45" t="str">
        <f>IF(VLOOKUP($C507,REV!$C:$AA,14,0)-'TRADE IN'!$F507=0,"",(VLOOKUP($C507,REV!$C:$AA,14,0)-'TRADE IN'!$F507))</f>
        <v/>
      </c>
      <c r="Q507" s="45" t="str">
        <f>IF(VLOOKUP($C507,REV!$C:$AA,15,0)-'TRADE IN'!$F507=0,"",(VLOOKUP($C507,REV!$C:$AA,15,0)-'TRADE IN'!$F507))</f>
        <v/>
      </c>
      <c r="R507" s="45" t="str">
        <f>IF(VLOOKUP($C507,REV!$C:$AA,16,0)-'TRADE IN'!$F507=0,"",(VLOOKUP($C507,REV!$C:$AA,16,0)-'TRADE IN'!$F507))</f>
        <v/>
      </c>
      <c r="S507" s="45" t="str">
        <f>IF(VLOOKUP($C507,REV!$C:$AA,17,0)-'TRADE IN'!$F507=0,"",(VLOOKUP($C507,REV!$C:$AA,17,0)-'TRADE IN'!$F507))</f>
        <v/>
      </c>
      <c r="T507" s="45" t="str">
        <f>IF(VLOOKUP($C507,REV!$C:$AA,18,0)-'TRADE IN'!$F507=0,"",(VLOOKUP($C507,REV!$C:$AA,18,0)-'TRADE IN'!$F507))</f>
        <v/>
      </c>
      <c r="U507" s="45" t="str">
        <f>IF(VLOOKUP($C507,REV!$C:$AA,19,0)-'TRADE IN'!$F507=0,"",(VLOOKUP($C507,REV!$C:$AA,19,0)-'TRADE IN'!$F507))</f>
        <v/>
      </c>
      <c r="V507" s="45" t="str">
        <f>IF(VLOOKUP($C507,REV!$C:$AA,20,0)-'TRADE IN'!$F507=0,"",(VLOOKUP($C507,REV!$C:$AA,20,0)-'TRADE IN'!$F507))</f>
        <v/>
      </c>
      <c r="W507" s="45" t="str">
        <f>IF(VLOOKUP($C507,REV!$C:$AA,21,0)-'TRADE IN'!$F507=0,"",(VLOOKUP($C507,REV!$C:$AA,21,0)-'TRADE IN'!$F507))</f>
        <v/>
      </c>
      <c r="X507" s="45" t="str">
        <f>IF(VLOOKUP($C507,REV!$C:$AA,22,0)-'TRADE IN'!$F507=0,"",(VLOOKUP($C507,REV!$C:$AA,22,0)-'TRADE IN'!$F507))</f>
        <v/>
      </c>
      <c r="Y507" s="45" t="str">
        <f>IF(VLOOKUP($C507,REV!$C:$AA,23,0)-'TRADE IN'!$F507=0,"",(VLOOKUP($C507,REV!$C:$AA,23,0)-'TRADE IN'!$F507))</f>
        <v/>
      </c>
      <c r="Z507" s="45" t="str">
        <f>IF(VLOOKUP($C507,REV!$C:$AA,24,0)-'TRADE IN'!$F507=0,"",(VLOOKUP($C507,REV!$C:$AA,24,0)-'TRADE IN'!$F507))</f>
        <v/>
      </c>
      <c r="AA507" s="45" t="str">
        <f>IF(VLOOKUP($C507,REV!$C:$AA,25,0)-'TRADE IN'!$F507=0,"",(VLOOKUP($C507,REV!$C:$AA,25,0)-'TRADE IN'!$F507))</f>
        <v/>
      </c>
      <c r="AB507" s="45" t="str">
        <f>IF(VLOOKUP($C507,REV!$C:$AL,27,0)-'TRADE IN'!$F507=0,"",(VLOOKUP($C507,REV!$C:$AL,27,0)-'TRADE IN'!$F507))</f>
        <v/>
      </c>
      <c r="AC507" s="45" t="str">
        <f>IF(VLOOKUP($C507,REV!$C:$AL,28,0)-'TRADE IN'!$F507=0,"",(VLOOKUP($C507,REV!$C:$AL,28,0)-'TRADE IN'!$F507))</f>
        <v/>
      </c>
      <c r="AD507" s="45" t="str">
        <f>IF(VLOOKUP($C507,REV!$C:$AL,29,0)-'TRADE IN'!$F507=0,"",(VLOOKUP($C507,REV!$C:$AL,29,0)-'TRADE IN'!$F507))</f>
        <v/>
      </c>
      <c r="AE507" s="45" t="str">
        <f>IF(VLOOKUP($C507,REV!$C:$AL,30,0)-'TRADE IN'!$F507=0,"",(VLOOKUP($C507,REV!$C:$AL,30,0)-'TRADE IN'!$F507))</f>
        <v/>
      </c>
      <c r="AF507" s="45" t="str">
        <f>IF(VLOOKUP($C507,REV!$C:$AL,31,0)-'TRADE IN'!$F507=0,"",(VLOOKUP($C507,REV!$C:$AL,31,0)-'TRADE IN'!$F507))</f>
        <v/>
      </c>
      <c r="AG507" s="45" t="str">
        <f>IF(VLOOKUP($C507,REV!$C:$AL,31,0)-'TRADE IN'!$F507=0,"",(VLOOKUP($C507,REV!$C:$AL,31,0)-'TRADE IN'!$F507))</f>
        <v/>
      </c>
      <c r="AH507" s="45" t="str">
        <f>IF(VLOOKUP($C507,REV!$C:$AL,32,0)-'TRADE IN'!$F507=0,"",(VLOOKUP($C507,REV!$C:$AL,32,0)-'TRADE IN'!$F507))</f>
        <v/>
      </c>
      <c r="AI507" s="45" t="str">
        <f>IF(VLOOKUP($C507,REV!$C:$AL,33,0)-'TRADE IN'!$F507=0,"",(VLOOKUP($C507,REV!$C:$AL,33,0)-'TRADE IN'!$F507))</f>
        <v/>
      </c>
      <c r="AJ507" s="45" t="str">
        <f>IF(VLOOKUP($C507,REV!$C:$AL,34,0)-'TRADE IN'!$F507=0,"",(VLOOKUP($C507,REV!$C:$AL,34,0)-'TRADE IN'!$F507))</f>
        <v/>
      </c>
      <c r="AK507" s="45" t="str">
        <f>IF(VLOOKUP($C507,REV!$C:$AL,35,0)-'TRADE IN'!$F507=0,"",(VLOOKUP($C507,REV!$C:$AL,35,0)-'TRADE IN'!$F507))</f>
        <v/>
      </c>
      <c r="AL507" s="45" t="str">
        <f>IF(VLOOKUP($C507,REV!$C:$AL,36,0)-'TRADE IN'!$F507=0,"",(VLOOKUP($C507,REV!$C:$AL,36,0)-'TRADE IN'!$F507))</f>
        <v/>
      </c>
      <c r="AM507" s="45"/>
      <c r="AN507" s="45"/>
      <c r="AO507" s="45"/>
      <c r="AP507" s="45">
        <v>575</v>
      </c>
      <c r="AQ507" s="45">
        <v>575</v>
      </c>
      <c r="AR507" s="45">
        <v>575</v>
      </c>
      <c r="AS507" s="87">
        <v>199</v>
      </c>
      <c r="AT507" s="87">
        <v>159</v>
      </c>
      <c r="AU507" s="88">
        <v>99.9</v>
      </c>
      <c r="AW507" s="161" t="str">
        <f>REV!AW507</f>
        <v>01.12.2026</v>
      </c>
      <c r="AX507" s="159" t="str">
        <f>VLOOKUP(C507,REV!C:AX,48,0)</f>
        <v>4G</v>
      </c>
    </row>
    <row r="508" spans="1:50" ht="22.5" customHeight="1">
      <c r="A508" s="57" t="s">
        <v>247</v>
      </c>
      <c r="B508" s="42" t="s">
        <v>64</v>
      </c>
      <c r="C508" s="67">
        <v>4012041</v>
      </c>
      <c r="D508" s="66" t="s">
        <v>735</v>
      </c>
      <c r="E508" s="58" t="s">
        <v>735</v>
      </c>
      <c r="F508" s="46"/>
      <c r="I508" s="93"/>
      <c r="J508" s="45" t="str">
        <f>IF(VLOOKUP($C508,REV!$C:$AA,8,0)-'TRADE IN'!$F508=0,"",(VLOOKUP($C508,REV!$C:$AA,8,0)-'TRADE IN'!$F508))</f>
        <v/>
      </c>
      <c r="K508" s="45" t="str">
        <f>IF(VLOOKUP($C508,REV!$C:$AA,9,0)-'TRADE IN'!$F508=0,"",(VLOOKUP($C508,REV!$C:$AA,9,0)-'TRADE IN'!$F508))</f>
        <v/>
      </c>
      <c r="L508" s="45" t="str">
        <f>IF(VLOOKUP($C508,REV!$C:$AA,10,0)-'TRADE IN'!$F508=0,"",(VLOOKUP($C508,REV!$C:$AA,10,0)-'TRADE IN'!$F508))</f>
        <v/>
      </c>
      <c r="M508" s="45" t="str">
        <f>IF(VLOOKUP($C508,REV!$C:$AA,11,0)-'TRADE IN'!$F508=0,"",(VLOOKUP($C508,REV!$C:$AA,11,0)-'TRADE IN'!$F508))</f>
        <v/>
      </c>
      <c r="N508" s="45" t="str">
        <f>IF(VLOOKUP($C508,REV!$C:$AA,12,0)-'TRADE IN'!$F508=0,"",(VLOOKUP($C508,REV!$C:$AA,12,0)-'TRADE IN'!$F508))</f>
        <v/>
      </c>
      <c r="O508" s="45" t="str">
        <f>IF(VLOOKUP($C508,REV!$C:$AA,13,0)-'TRADE IN'!$F508=0,"",(VLOOKUP($C508,REV!$C:$AA,13,0)-'TRADE IN'!$F508))</f>
        <v/>
      </c>
      <c r="P508" s="45" t="str">
        <f>IF(VLOOKUP($C508,REV!$C:$AA,14,0)-'TRADE IN'!$F508=0,"",(VLOOKUP($C508,REV!$C:$AA,14,0)-'TRADE IN'!$F508))</f>
        <v/>
      </c>
      <c r="Q508" s="45" t="str">
        <f>IF(VLOOKUP($C508,REV!$C:$AA,15,0)-'TRADE IN'!$F508=0,"",(VLOOKUP($C508,REV!$C:$AA,15,0)-'TRADE IN'!$F508))</f>
        <v/>
      </c>
      <c r="R508" s="45" t="str">
        <f>IF(VLOOKUP($C508,REV!$C:$AA,16,0)-'TRADE IN'!$F508=0,"",(VLOOKUP($C508,REV!$C:$AA,16,0)-'TRADE IN'!$F508))</f>
        <v/>
      </c>
      <c r="S508" s="45" t="str">
        <f>IF(VLOOKUP($C508,REV!$C:$AA,17,0)-'TRADE IN'!$F508=0,"",(VLOOKUP($C508,REV!$C:$AA,17,0)-'TRADE IN'!$F508))</f>
        <v/>
      </c>
      <c r="T508" s="45" t="str">
        <f>IF(VLOOKUP($C508,REV!$C:$AA,18,0)-'TRADE IN'!$F508=0,"",(VLOOKUP($C508,REV!$C:$AA,18,0)-'TRADE IN'!$F508))</f>
        <v/>
      </c>
      <c r="U508" s="45" t="str">
        <f>IF(VLOOKUP($C508,REV!$C:$AA,19,0)-'TRADE IN'!$F508=0,"",(VLOOKUP($C508,REV!$C:$AA,19,0)-'TRADE IN'!$F508))</f>
        <v/>
      </c>
      <c r="V508" s="45" t="str">
        <f>IF(VLOOKUP($C508,REV!$C:$AA,20,0)-'TRADE IN'!$F508=0,"",(VLOOKUP($C508,REV!$C:$AA,20,0)-'TRADE IN'!$F508))</f>
        <v/>
      </c>
      <c r="W508" s="45" t="str">
        <f>IF(VLOOKUP($C508,REV!$C:$AA,21,0)-'TRADE IN'!$F508=0,"",(VLOOKUP($C508,REV!$C:$AA,21,0)-'TRADE IN'!$F508))</f>
        <v/>
      </c>
      <c r="X508" s="45" t="str">
        <f>IF(VLOOKUP($C508,REV!$C:$AA,22,0)-'TRADE IN'!$F508=0,"",(VLOOKUP($C508,REV!$C:$AA,22,0)-'TRADE IN'!$F508))</f>
        <v/>
      </c>
      <c r="Y508" s="45" t="str">
        <f>IF(VLOOKUP($C508,REV!$C:$AA,23,0)-'TRADE IN'!$F508=0,"",(VLOOKUP($C508,REV!$C:$AA,23,0)-'TRADE IN'!$F508))</f>
        <v/>
      </c>
      <c r="Z508" s="45" t="str">
        <f>IF(VLOOKUP($C508,REV!$C:$AA,24,0)-'TRADE IN'!$F508=0,"",(VLOOKUP($C508,REV!$C:$AA,24,0)-'TRADE IN'!$F508))</f>
        <v/>
      </c>
      <c r="AA508" s="45" t="str">
        <f>IF(VLOOKUP($C508,REV!$C:$AA,25,0)-'TRADE IN'!$F508=0,"",(VLOOKUP($C508,REV!$C:$AA,25,0)-'TRADE IN'!$F508))</f>
        <v/>
      </c>
      <c r="AB508" s="45" t="str">
        <f>IF(VLOOKUP($C508,REV!$C:$AL,27,0)-'TRADE IN'!$F508=0,"",(VLOOKUP($C508,REV!$C:$AL,27,0)-'TRADE IN'!$F508))</f>
        <v/>
      </c>
      <c r="AC508" s="45" t="str">
        <f>IF(VLOOKUP($C508,REV!$C:$AL,28,0)-'TRADE IN'!$F508=0,"",(VLOOKUP($C508,REV!$C:$AL,28,0)-'TRADE IN'!$F508))</f>
        <v/>
      </c>
      <c r="AD508" s="45" t="str">
        <f>IF(VLOOKUP($C508,REV!$C:$AL,29,0)-'TRADE IN'!$F508=0,"",(VLOOKUP($C508,REV!$C:$AL,29,0)-'TRADE IN'!$F508))</f>
        <v/>
      </c>
      <c r="AE508" s="45" t="str">
        <f>IF(VLOOKUP($C508,REV!$C:$AL,30,0)-'TRADE IN'!$F508=0,"",(VLOOKUP($C508,REV!$C:$AL,30,0)-'TRADE IN'!$F508))</f>
        <v/>
      </c>
      <c r="AF508" s="45" t="str">
        <f>IF(VLOOKUP($C508,REV!$C:$AL,31,0)-'TRADE IN'!$F508=0,"",(VLOOKUP($C508,REV!$C:$AL,31,0)-'TRADE IN'!$F508))</f>
        <v/>
      </c>
      <c r="AG508" s="45" t="str">
        <f>IF(VLOOKUP($C508,REV!$C:$AL,31,0)-'TRADE IN'!$F508=0,"",(VLOOKUP($C508,REV!$C:$AL,31,0)-'TRADE IN'!$F508))</f>
        <v/>
      </c>
      <c r="AH508" s="45" t="str">
        <f>IF(VLOOKUP($C508,REV!$C:$AL,32,0)-'TRADE IN'!$F508=0,"",(VLOOKUP($C508,REV!$C:$AL,32,0)-'TRADE IN'!$F508))</f>
        <v/>
      </c>
      <c r="AI508" s="45" t="str">
        <f>IF(VLOOKUP($C508,REV!$C:$AL,33,0)-'TRADE IN'!$F508=0,"",(VLOOKUP($C508,REV!$C:$AL,33,0)-'TRADE IN'!$F508))</f>
        <v/>
      </c>
      <c r="AJ508" s="45" t="str">
        <f>IF(VLOOKUP($C508,REV!$C:$AL,34,0)-'TRADE IN'!$F508=0,"",(VLOOKUP($C508,REV!$C:$AL,34,0)-'TRADE IN'!$F508))</f>
        <v/>
      </c>
      <c r="AK508" s="45" t="str">
        <f>IF(VLOOKUP($C508,REV!$C:$AL,35,0)-'TRADE IN'!$F508=0,"",(VLOOKUP($C508,REV!$C:$AL,35,0)-'TRADE IN'!$F508))</f>
        <v/>
      </c>
      <c r="AL508" s="45" t="str">
        <f>IF(VLOOKUP($C508,REV!$C:$AL,36,0)-'TRADE IN'!$F508=0,"",(VLOOKUP($C508,REV!$C:$AL,36,0)-'TRADE IN'!$F508))</f>
        <v/>
      </c>
      <c r="AM508" s="45"/>
      <c r="AN508" s="45"/>
      <c r="AO508" s="45"/>
      <c r="AP508" s="45">
        <v>575</v>
      </c>
      <c r="AQ508" s="45">
        <v>575</v>
      </c>
      <c r="AR508" s="45">
        <v>575</v>
      </c>
      <c r="AS508" s="87">
        <v>199</v>
      </c>
      <c r="AT508" s="87">
        <v>159</v>
      </c>
      <c r="AU508" s="88">
        <v>99.9</v>
      </c>
      <c r="AW508" s="162" t="str">
        <f>REV!AW508</f>
        <v>01.12.2026</v>
      </c>
      <c r="AX508" s="153" t="str">
        <f>VLOOKUP(C508,REV!C:AX,48,0)</f>
        <v>4G</v>
      </c>
    </row>
    <row r="509" spans="1:50" ht="22.5" customHeight="1">
      <c r="A509" s="57" t="s">
        <v>247</v>
      </c>
      <c r="B509" s="42" t="s">
        <v>64</v>
      </c>
      <c r="C509" s="43">
        <v>4012242</v>
      </c>
      <c r="D509" s="66" t="s">
        <v>736</v>
      </c>
      <c r="E509" s="58" t="s">
        <v>736</v>
      </c>
      <c r="F509" s="46"/>
      <c r="G509" s="47"/>
      <c r="H509" s="4"/>
      <c r="I509" s="47"/>
      <c r="J509" s="45" t="str">
        <f>IF(VLOOKUP($C509,REV!$C:$AA,8,0)-'TRADE IN'!$F509=0,"",(VLOOKUP($C509,REV!$C:$AA,8,0)-'TRADE IN'!$F509))</f>
        <v/>
      </c>
      <c r="K509" s="45" t="str">
        <f>IF(VLOOKUP($C509,REV!$C:$AA,9,0)-'TRADE IN'!$F509=0,"",(VLOOKUP($C509,REV!$C:$AA,9,0)-'TRADE IN'!$F509))</f>
        <v/>
      </c>
      <c r="L509" s="45" t="str">
        <f>IF(VLOOKUP($C509,REV!$C:$AA,10,0)-'TRADE IN'!$F509=0,"",(VLOOKUP($C509,REV!$C:$AA,10,0)-'TRADE IN'!$F509))</f>
        <v/>
      </c>
      <c r="M509" s="45" t="str">
        <f>IF(VLOOKUP($C509,REV!$C:$AA,11,0)-'TRADE IN'!$F509=0,"",(VLOOKUP($C509,REV!$C:$AA,11,0)-'TRADE IN'!$F509))</f>
        <v/>
      </c>
      <c r="N509" s="45" t="str">
        <f>IF(VLOOKUP($C509,REV!$C:$AA,12,0)-'TRADE IN'!$F509=0,"",(VLOOKUP($C509,REV!$C:$AA,12,0)-'TRADE IN'!$F509))</f>
        <v/>
      </c>
      <c r="O509" s="45" t="str">
        <f>IF(VLOOKUP($C509,REV!$C:$AA,13,0)-'TRADE IN'!$F509=0,"",(VLOOKUP($C509,REV!$C:$AA,13,0)-'TRADE IN'!$F509))</f>
        <v/>
      </c>
      <c r="P509" s="45" t="str">
        <f>IF(VLOOKUP($C509,REV!$C:$AA,14,0)-'TRADE IN'!$F509=0,"",(VLOOKUP($C509,REV!$C:$AA,14,0)-'TRADE IN'!$F509))</f>
        <v/>
      </c>
      <c r="Q509" s="45" t="str">
        <f>IF(VLOOKUP($C509,REV!$C:$AA,15,0)-'TRADE IN'!$F509=0,"",(VLOOKUP($C509,REV!$C:$AA,15,0)-'TRADE IN'!$F509))</f>
        <v/>
      </c>
      <c r="R509" s="45" t="str">
        <f>IF(VLOOKUP($C509,REV!$C:$AA,16,0)-'TRADE IN'!$F509=0,"",(VLOOKUP($C509,REV!$C:$AA,16,0)-'TRADE IN'!$F509))</f>
        <v/>
      </c>
      <c r="S509" s="45" t="str">
        <f>IF(VLOOKUP($C509,REV!$C:$AA,17,0)-'TRADE IN'!$F509=0,"",(VLOOKUP($C509,REV!$C:$AA,17,0)-'TRADE IN'!$F509))</f>
        <v/>
      </c>
      <c r="T509" s="45" t="str">
        <f>IF(VLOOKUP($C509,REV!$C:$AA,18,0)-'TRADE IN'!$F509=0,"",(VLOOKUP($C509,REV!$C:$AA,18,0)-'TRADE IN'!$F509))</f>
        <v/>
      </c>
      <c r="U509" s="45" t="str">
        <f>IF(VLOOKUP($C509,REV!$C:$AA,19,0)-'TRADE IN'!$F509=0,"",(VLOOKUP($C509,REV!$C:$AA,19,0)-'TRADE IN'!$F509))</f>
        <v/>
      </c>
      <c r="V509" s="45" t="str">
        <f>IF(VLOOKUP($C509,REV!$C:$AA,20,0)-'TRADE IN'!$F509=0,"",(VLOOKUP($C509,REV!$C:$AA,20,0)-'TRADE IN'!$F509))</f>
        <v/>
      </c>
      <c r="W509" s="45" t="str">
        <f>IF(VLOOKUP($C509,REV!$C:$AA,21,0)-'TRADE IN'!$F509=0,"",(VLOOKUP($C509,REV!$C:$AA,21,0)-'TRADE IN'!$F509))</f>
        <v/>
      </c>
      <c r="X509" s="45" t="str">
        <f>IF(VLOOKUP($C509,REV!$C:$AA,22,0)-'TRADE IN'!$F509=0,"",(VLOOKUP($C509,REV!$C:$AA,22,0)-'TRADE IN'!$F509))</f>
        <v/>
      </c>
      <c r="Y509" s="45" t="str">
        <f>IF(VLOOKUP($C509,REV!$C:$AA,23,0)-'TRADE IN'!$F509=0,"",(VLOOKUP($C509,REV!$C:$AA,23,0)-'TRADE IN'!$F509))</f>
        <v/>
      </c>
      <c r="Z509" s="45" t="str">
        <f>IF(VLOOKUP($C509,REV!$C:$AA,24,0)-'TRADE IN'!$F509=0,"",(VLOOKUP($C509,REV!$C:$AA,24,0)-'TRADE IN'!$F509))</f>
        <v/>
      </c>
      <c r="AA509" s="45" t="str">
        <f>IF(VLOOKUP($C509,REV!$C:$AA,25,0)-'TRADE IN'!$F509=0,"",(VLOOKUP($C509,REV!$C:$AA,25,0)-'TRADE IN'!$F509))</f>
        <v/>
      </c>
      <c r="AB509" s="45" t="str">
        <f>IF(VLOOKUP($C509,REV!$C:$AL,27,0)-'TRADE IN'!$F509=0,"",(VLOOKUP($C509,REV!$C:$AL,27,0)-'TRADE IN'!$F509))</f>
        <v/>
      </c>
      <c r="AC509" s="45" t="str">
        <f>IF(VLOOKUP($C509,REV!$C:$AL,28,0)-'TRADE IN'!$F509=0,"",(VLOOKUP($C509,REV!$C:$AL,28,0)-'TRADE IN'!$F509))</f>
        <v/>
      </c>
      <c r="AD509" s="45" t="str">
        <f>IF(VLOOKUP($C509,REV!$C:$AL,29,0)-'TRADE IN'!$F509=0,"",(VLOOKUP($C509,REV!$C:$AL,29,0)-'TRADE IN'!$F509))</f>
        <v/>
      </c>
      <c r="AE509" s="45" t="str">
        <f>IF(VLOOKUP($C509,REV!$C:$AL,30,0)-'TRADE IN'!$F509=0,"",(VLOOKUP($C509,REV!$C:$AL,30,0)-'TRADE IN'!$F509))</f>
        <v/>
      </c>
      <c r="AF509" s="45" t="str">
        <f>IF(VLOOKUP($C509,REV!$C:$AL,31,0)-'TRADE IN'!$F509=0,"",(VLOOKUP($C509,REV!$C:$AL,31,0)-'TRADE IN'!$F509))</f>
        <v/>
      </c>
      <c r="AG509" s="45" t="str">
        <f>IF(VLOOKUP($C509,REV!$C:$AL,31,0)-'TRADE IN'!$F509=0,"",(VLOOKUP($C509,REV!$C:$AL,31,0)-'TRADE IN'!$F509))</f>
        <v/>
      </c>
      <c r="AH509" s="45" t="str">
        <f>IF(VLOOKUP($C509,REV!$C:$AL,32,0)-'TRADE IN'!$F509=0,"",(VLOOKUP($C509,REV!$C:$AL,32,0)-'TRADE IN'!$F509))</f>
        <v/>
      </c>
      <c r="AI509" s="45" t="str">
        <f>IF(VLOOKUP($C509,REV!$C:$AL,33,0)-'TRADE IN'!$F509=0,"",(VLOOKUP($C509,REV!$C:$AL,33,0)-'TRADE IN'!$F509))</f>
        <v/>
      </c>
      <c r="AJ509" s="45" t="str">
        <f>IF(VLOOKUP($C509,REV!$C:$AL,34,0)-'TRADE IN'!$F509=0,"",(VLOOKUP($C509,REV!$C:$AL,34,0)-'TRADE IN'!$F509))</f>
        <v/>
      </c>
      <c r="AK509" s="45" t="str">
        <f>IF(VLOOKUP($C509,REV!$C:$AL,35,0)-'TRADE IN'!$F509=0,"",(VLOOKUP($C509,REV!$C:$AL,35,0)-'TRADE IN'!$F509))</f>
        <v/>
      </c>
      <c r="AL509" s="45" t="str">
        <f>IF(VLOOKUP($C509,REV!$C:$AL,36,0)-'TRADE IN'!$F509=0,"",(VLOOKUP($C509,REV!$C:$AL,36,0)-'TRADE IN'!$F509))</f>
        <v/>
      </c>
      <c r="AM509" s="45"/>
      <c r="AN509" s="45"/>
      <c r="AO509" s="45"/>
      <c r="AP509" s="45">
        <v>575</v>
      </c>
      <c r="AQ509" s="45">
        <v>575</v>
      </c>
      <c r="AR509" s="45">
        <v>575</v>
      </c>
      <c r="AS509" s="87">
        <v>199</v>
      </c>
      <c r="AT509" s="87">
        <v>159</v>
      </c>
      <c r="AU509" s="88">
        <v>99.9</v>
      </c>
      <c r="AW509" s="162" t="str">
        <f>REV!AW509</f>
        <v>01.12.2026</v>
      </c>
      <c r="AX509" s="153" t="str">
        <f>VLOOKUP(C509,REV!C:AX,48,0)</f>
        <v>4G</v>
      </c>
    </row>
    <row r="510" spans="1:50" ht="22.5" customHeight="1">
      <c r="A510" s="57" t="s">
        <v>247</v>
      </c>
      <c r="B510" s="42" t="s">
        <v>64</v>
      </c>
      <c r="C510" s="43">
        <v>4012590</v>
      </c>
      <c r="D510" s="66" t="s">
        <v>737</v>
      </c>
      <c r="E510" s="58" t="s">
        <v>737</v>
      </c>
      <c r="F510" s="46"/>
      <c r="J510" s="45" t="str">
        <f>IF(VLOOKUP($C510,REV!$C:$AA,8,0)-'TRADE IN'!$F510=0,"",(VLOOKUP($C510,REV!$C:$AA,8,0)-'TRADE IN'!$F510))</f>
        <v/>
      </c>
      <c r="K510" s="45" t="str">
        <f>IF(VLOOKUP($C510,REV!$C:$AA,9,0)-'TRADE IN'!$F510=0,"",(VLOOKUP($C510,REV!$C:$AA,9,0)-'TRADE IN'!$F510))</f>
        <v/>
      </c>
      <c r="L510" s="45" t="str">
        <f>IF(VLOOKUP($C510,REV!$C:$AA,10,0)-'TRADE IN'!$F510=0,"",(VLOOKUP($C510,REV!$C:$AA,10,0)-'TRADE IN'!$F510))</f>
        <v/>
      </c>
      <c r="M510" s="45" t="str">
        <f>IF(VLOOKUP($C510,REV!$C:$AA,11,0)-'TRADE IN'!$F510=0,"",(VLOOKUP($C510,REV!$C:$AA,11,0)-'TRADE IN'!$F510))</f>
        <v/>
      </c>
      <c r="N510" s="45" t="str">
        <f>IF(VLOOKUP($C510,REV!$C:$AA,12,0)-'TRADE IN'!$F510=0,"",(VLOOKUP($C510,REV!$C:$AA,12,0)-'TRADE IN'!$F510))</f>
        <v/>
      </c>
      <c r="O510" s="45" t="str">
        <f>IF(VLOOKUP($C510,REV!$C:$AA,13,0)-'TRADE IN'!$F510=0,"",(VLOOKUP($C510,REV!$C:$AA,13,0)-'TRADE IN'!$F510))</f>
        <v/>
      </c>
      <c r="P510" s="45" t="str">
        <f>IF(VLOOKUP($C510,REV!$C:$AA,14,0)-'TRADE IN'!$F510=0,"",(VLOOKUP($C510,REV!$C:$AA,14,0)-'TRADE IN'!$F510))</f>
        <v/>
      </c>
      <c r="Q510" s="45" t="str">
        <f>IF(VLOOKUP($C510,REV!$C:$AA,15,0)-'TRADE IN'!$F510=0,"",(VLOOKUP($C510,REV!$C:$AA,15,0)-'TRADE IN'!$F510))</f>
        <v/>
      </c>
      <c r="R510" s="45" t="str">
        <f>IF(VLOOKUP($C510,REV!$C:$AA,16,0)-'TRADE IN'!$F510=0,"",(VLOOKUP($C510,REV!$C:$AA,16,0)-'TRADE IN'!$F510))</f>
        <v/>
      </c>
      <c r="S510" s="45" t="str">
        <f>IF(VLOOKUP($C510,REV!$C:$AA,17,0)-'TRADE IN'!$F510=0,"",(VLOOKUP($C510,REV!$C:$AA,17,0)-'TRADE IN'!$F510))</f>
        <v/>
      </c>
      <c r="T510" s="45" t="str">
        <f>IF(VLOOKUP($C510,REV!$C:$AA,18,0)-'TRADE IN'!$F510=0,"",(VLOOKUP($C510,REV!$C:$AA,18,0)-'TRADE IN'!$F510))</f>
        <v/>
      </c>
      <c r="U510" s="45" t="str">
        <f>IF(VLOOKUP($C510,REV!$C:$AA,19,0)-'TRADE IN'!$F510=0,"",(VLOOKUP($C510,REV!$C:$AA,19,0)-'TRADE IN'!$F510))</f>
        <v/>
      </c>
      <c r="V510" s="45" t="str">
        <f>IF(VLOOKUP($C510,REV!$C:$AA,20,0)-'TRADE IN'!$F510=0,"",(VLOOKUP($C510,REV!$C:$AA,20,0)-'TRADE IN'!$F510))</f>
        <v/>
      </c>
      <c r="W510" s="45" t="str">
        <f>IF(VLOOKUP($C510,REV!$C:$AA,21,0)-'TRADE IN'!$F510=0,"",(VLOOKUP($C510,REV!$C:$AA,21,0)-'TRADE IN'!$F510))</f>
        <v/>
      </c>
      <c r="X510" s="45" t="str">
        <f>IF(VLOOKUP($C510,REV!$C:$AA,22,0)-'TRADE IN'!$F510=0,"",(VLOOKUP($C510,REV!$C:$AA,22,0)-'TRADE IN'!$F510))</f>
        <v/>
      </c>
      <c r="Y510" s="45" t="str">
        <f>IF(VLOOKUP($C510,REV!$C:$AA,23,0)-'TRADE IN'!$F510=0,"",(VLOOKUP($C510,REV!$C:$AA,23,0)-'TRADE IN'!$F510))</f>
        <v/>
      </c>
      <c r="Z510" s="45" t="str">
        <f>IF(VLOOKUP($C510,REV!$C:$AA,24,0)-'TRADE IN'!$F510=0,"",(VLOOKUP($C510,REV!$C:$AA,24,0)-'TRADE IN'!$F510))</f>
        <v/>
      </c>
      <c r="AA510" s="45" t="str">
        <f>IF(VLOOKUP($C510,REV!$C:$AA,25,0)-'TRADE IN'!$F510=0,"",(VLOOKUP($C510,REV!$C:$AA,25,0)-'TRADE IN'!$F510))</f>
        <v/>
      </c>
      <c r="AB510" s="45" t="str">
        <f>IF(VLOOKUP($C510,REV!$C:$AL,27,0)-'TRADE IN'!$F510=0,"",(VLOOKUP($C510,REV!$C:$AL,27,0)-'TRADE IN'!$F510))</f>
        <v/>
      </c>
      <c r="AC510" s="45" t="str">
        <f>IF(VLOOKUP($C510,REV!$C:$AL,28,0)-'TRADE IN'!$F510=0,"",(VLOOKUP($C510,REV!$C:$AL,28,0)-'TRADE IN'!$F510))</f>
        <v/>
      </c>
      <c r="AD510" s="45" t="str">
        <f>IF(VLOOKUP($C510,REV!$C:$AL,29,0)-'TRADE IN'!$F510=0,"",(VLOOKUP($C510,REV!$C:$AL,29,0)-'TRADE IN'!$F510))</f>
        <v/>
      </c>
      <c r="AE510" s="45" t="str">
        <f>IF(VLOOKUP($C510,REV!$C:$AL,30,0)-'TRADE IN'!$F510=0,"",(VLOOKUP($C510,REV!$C:$AL,30,0)-'TRADE IN'!$F510))</f>
        <v/>
      </c>
      <c r="AF510" s="45" t="str">
        <f>IF(VLOOKUP($C510,REV!$C:$AL,31,0)-'TRADE IN'!$F510=0,"",(VLOOKUP($C510,REV!$C:$AL,31,0)-'TRADE IN'!$F510))</f>
        <v/>
      </c>
      <c r="AG510" s="45" t="str">
        <f>IF(VLOOKUP($C510,REV!$C:$AL,31,0)-'TRADE IN'!$F510=0,"",(VLOOKUP($C510,REV!$C:$AL,31,0)-'TRADE IN'!$F510))</f>
        <v/>
      </c>
      <c r="AH510" s="45" t="str">
        <f>IF(VLOOKUP($C510,REV!$C:$AL,32,0)-'TRADE IN'!$F510=0,"",(VLOOKUP($C510,REV!$C:$AL,32,0)-'TRADE IN'!$F510))</f>
        <v/>
      </c>
      <c r="AI510" s="45" t="str">
        <f>IF(VLOOKUP($C510,REV!$C:$AL,33,0)-'TRADE IN'!$F510=0,"",(VLOOKUP($C510,REV!$C:$AL,33,0)-'TRADE IN'!$F510))</f>
        <v/>
      </c>
      <c r="AJ510" s="45" t="str">
        <f>IF(VLOOKUP($C510,REV!$C:$AL,34,0)-'TRADE IN'!$F510=0,"",(VLOOKUP($C510,REV!$C:$AL,34,0)-'TRADE IN'!$F510))</f>
        <v/>
      </c>
      <c r="AK510" s="45" t="str">
        <f>IF(VLOOKUP($C510,REV!$C:$AL,35,0)-'TRADE IN'!$F510=0,"",(VLOOKUP($C510,REV!$C:$AL,35,0)-'TRADE IN'!$F510))</f>
        <v/>
      </c>
      <c r="AL510" s="45" t="str">
        <f>IF(VLOOKUP($C510,REV!$C:$AL,36,0)-'TRADE IN'!$F510=0,"",(VLOOKUP($C510,REV!$C:$AL,36,0)-'TRADE IN'!$F510))</f>
        <v/>
      </c>
      <c r="AM510" s="45"/>
      <c r="AN510" s="45"/>
      <c r="AO510" s="45"/>
      <c r="AP510" s="45">
        <v>575</v>
      </c>
      <c r="AQ510" s="45">
        <v>575</v>
      </c>
      <c r="AR510" s="45">
        <v>575</v>
      </c>
      <c r="AS510" s="87">
        <v>199</v>
      </c>
      <c r="AT510" s="87">
        <v>159</v>
      </c>
      <c r="AU510" s="88">
        <v>99.9</v>
      </c>
      <c r="AW510" s="162" t="str">
        <f>REV!AW510</f>
        <v>01.12.2026</v>
      </c>
      <c r="AX510" s="153" t="str">
        <f>VLOOKUP(C510,REV!C:AX,48,0)</f>
        <v>4G</v>
      </c>
    </row>
    <row r="511" spans="1:50" ht="22.5" customHeight="1">
      <c r="A511" s="57" t="s">
        <v>247</v>
      </c>
      <c r="B511" s="42" t="s">
        <v>64</v>
      </c>
      <c r="C511" s="43">
        <v>4012681</v>
      </c>
      <c r="D511" s="66" t="s">
        <v>738</v>
      </c>
      <c r="E511" s="58" t="s">
        <v>738</v>
      </c>
      <c r="F511" s="46"/>
      <c r="J511" s="45" t="str">
        <f>IF(VLOOKUP($C511,REV!$C:$AA,8,0)-'TRADE IN'!$F511=0,"",(VLOOKUP($C511,REV!$C:$AA,8,0)-'TRADE IN'!$F511))</f>
        <v/>
      </c>
      <c r="K511" s="45" t="str">
        <f>IF(VLOOKUP($C511,REV!$C:$AA,9,0)-'TRADE IN'!$F511=0,"",(VLOOKUP($C511,REV!$C:$AA,9,0)-'TRADE IN'!$F511))</f>
        <v/>
      </c>
      <c r="L511" s="45" t="str">
        <f>IF(VLOOKUP($C511,REV!$C:$AA,10,0)-'TRADE IN'!$F511=0,"",(VLOOKUP($C511,REV!$C:$AA,10,0)-'TRADE IN'!$F511))</f>
        <v/>
      </c>
      <c r="M511" s="45" t="str">
        <f>IF(VLOOKUP($C511,REV!$C:$AA,11,0)-'TRADE IN'!$F511=0,"",(VLOOKUP($C511,REV!$C:$AA,11,0)-'TRADE IN'!$F511))</f>
        <v/>
      </c>
      <c r="N511" s="45" t="str">
        <f>IF(VLOOKUP($C511,REV!$C:$AA,12,0)-'TRADE IN'!$F511=0,"",(VLOOKUP($C511,REV!$C:$AA,12,0)-'TRADE IN'!$F511))</f>
        <v/>
      </c>
      <c r="O511" s="45" t="str">
        <f>IF(VLOOKUP($C511,REV!$C:$AA,13,0)-'TRADE IN'!$F511=0,"",(VLOOKUP($C511,REV!$C:$AA,13,0)-'TRADE IN'!$F511))</f>
        <v/>
      </c>
      <c r="P511" s="45" t="str">
        <f>IF(VLOOKUP($C511,REV!$C:$AA,14,0)-'TRADE IN'!$F511=0,"",(VLOOKUP($C511,REV!$C:$AA,14,0)-'TRADE IN'!$F511))</f>
        <v/>
      </c>
      <c r="Q511" s="45" t="str">
        <f>IF(VLOOKUP($C511,REV!$C:$AA,15,0)-'TRADE IN'!$F511=0,"",(VLOOKUP($C511,REV!$C:$AA,15,0)-'TRADE IN'!$F511))</f>
        <v/>
      </c>
      <c r="R511" s="45" t="str">
        <f>IF(VLOOKUP($C511,REV!$C:$AA,16,0)-'TRADE IN'!$F511=0,"",(VLOOKUP($C511,REV!$C:$AA,16,0)-'TRADE IN'!$F511))</f>
        <v/>
      </c>
      <c r="S511" s="45" t="str">
        <f>IF(VLOOKUP($C511,REV!$C:$AA,17,0)-'TRADE IN'!$F511=0,"",(VLOOKUP($C511,REV!$C:$AA,17,0)-'TRADE IN'!$F511))</f>
        <v/>
      </c>
      <c r="T511" s="45" t="str">
        <f>IF(VLOOKUP($C511,REV!$C:$AA,18,0)-'TRADE IN'!$F511=0,"",(VLOOKUP($C511,REV!$C:$AA,18,0)-'TRADE IN'!$F511))</f>
        <v/>
      </c>
      <c r="U511" s="45" t="str">
        <f>IF(VLOOKUP($C511,REV!$C:$AA,19,0)-'TRADE IN'!$F511=0,"",(VLOOKUP($C511,REV!$C:$AA,19,0)-'TRADE IN'!$F511))</f>
        <v/>
      </c>
      <c r="V511" s="45" t="str">
        <f>IF(VLOOKUP($C511,REV!$C:$AA,20,0)-'TRADE IN'!$F511=0,"",(VLOOKUP($C511,REV!$C:$AA,20,0)-'TRADE IN'!$F511))</f>
        <v/>
      </c>
      <c r="W511" s="45" t="str">
        <f>IF(VLOOKUP($C511,REV!$C:$AA,21,0)-'TRADE IN'!$F511=0,"",(VLOOKUP($C511,REV!$C:$AA,21,0)-'TRADE IN'!$F511))</f>
        <v/>
      </c>
      <c r="X511" s="45" t="str">
        <f>IF(VLOOKUP($C511,REV!$C:$AA,22,0)-'TRADE IN'!$F511=0,"",(VLOOKUP($C511,REV!$C:$AA,22,0)-'TRADE IN'!$F511))</f>
        <v/>
      </c>
      <c r="Y511" s="45" t="str">
        <f>IF(VLOOKUP($C511,REV!$C:$AA,23,0)-'TRADE IN'!$F511=0,"",(VLOOKUP($C511,REV!$C:$AA,23,0)-'TRADE IN'!$F511))</f>
        <v/>
      </c>
      <c r="Z511" s="45" t="str">
        <f>IF(VLOOKUP($C511,REV!$C:$AA,24,0)-'TRADE IN'!$F511=0,"",(VLOOKUP($C511,REV!$C:$AA,24,0)-'TRADE IN'!$F511))</f>
        <v/>
      </c>
      <c r="AA511" s="45" t="str">
        <f>IF(VLOOKUP($C511,REV!$C:$AA,25,0)-'TRADE IN'!$F511=0,"",(VLOOKUP($C511,REV!$C:$AA,25,0)-'TRADE IN'!$F511))</f>
        <v/>
      </c>
      <c r="AB511" s="45" t="str">
        <f>IF(VLOOKUP($C511,REV!$C:$AL,27,0)-'TRADE IN'!$F511=0,"",(VLOOKUP($C511,REV!$C:$AL,27,0)-'TRADE IN'!$F511))</f>
        <v/>
      </c>
      <c r="AC511" s="45" t="str">
        <f>IF(VLOOKUP($C511,REV!$C:$AL,28,0)-'TRADE IN'!$F511=0,"",(VLOOKUP($C511,REV!$C:$AL,28,0)-'TRADE IN'!$F511))</f>
        <v/>
      </c>
      <c r="AD511" s="45" t="str">
        <f>IF(VLOOKUP($C511,REV!$C:$AL,29,0)-'TRADE IN'!$F511=0,"",(VLOOKUP($C511,REV!$C:$AL,29,0)-'TRADE IN'!$F511))</f>
        <v/>
      </c>
      <c r="AE511" s="45" t="str">
        <f>IF(VLOOKUP($C511,REV!$C:$AL,30,0)-'TRADE IN'!$F511=0,"",(VLOOKUP($C511,REV!$C:$AL,30,0)-'TRADE IN'!$F511))</f>
        <v/>
      </c>
      <c r="AF511" s="45" t="str">
        <f>IF(VLOOKUP($C511,REV!$C:$AL,31,0)-'TRADE IN'!$F511=0,"",(VLOOKUP($C511,REV!$C:$AL,31,0)-'TRADE IN'!$F511))</f>
        <v/>
      </c>
      <c r="AG511" s="45" t="str">
        <f>IF(VLOOKUP($C511,REV!$C:$AL,31,0)-'TRADE IN'!$F511=0,"",(VLOOKUP($C511,REV!$C:$AL,31,0)-'TRADE IN'!$F511))</f>
        <v/>
      </c>
      <c r="AH511" s="45" t="str">
        <f>IF(VLOOKUP($C511,REV!$C:$AL,32,0)-'TRADE IN'!$F511=0,"",(VLOOKUP($C511,REV!$C:$AL,32,0)-'TRADE IN'!$F511))</f>
        <v/>
      </c>
      <c r="AI511" s="45" t="str">
        <f>IF(VLOOKUP($C511,REV!$C:$AL,33,0)-'TRADE IN'!$F511=0,"",(VLOOKUP($C511,REV!$C:$AL,33,0)-'TRADE IN'!$F511))</f>
        <v/>
      </c>
      <c r="AJ511" s="45" t="str">
        <f>IF(VLOOKUP($C511,REV!$C:$AL,34,0)-'TRADE IN'!$F511=0,"",(VLOOKUP($C511,REV!$C:$AL,34,0)-'TRADE IN'!$F511))</f>
        <v/>
      </c>
      <c r="AK511" s="45" t="str">
        <f>IF(VLOOKUP($C511,REV!$C:$AL,35,0)-'TRADE IN'!$F511=0,"",(VLOOKUP($C511,REV!$C:$AL,35,0)-'TRADE IN'!$F511))</f>
        <v/>
      </c>
      <c r="AL511" s="45" t="str">
        <f>IF(VLOOKUP($C511,REV!$C:$AL,36,0)-'TRADE IN'!$F511=0,"",(VLOOKUP($C511,REV!$C:$AL,36,0)-'TRADE IN'!$F511))</f>
        <v/>
      </c>
      <c r="AM511" s="45"/>
      <c r="AN511" s="45"/>
      <c r="AO511" s="45"/>
      <c r="AP511" s="45">
        <v>575</v>
      </c>
      <c r="AQ511" s="45">
        <v>575</v>
      </c>
      <c r="AR511" s="45">
        <v>575</v>
      </c>
      <c r="AS511" s="87">
        <v>199</v>
      </c>
      <c r="AT511" s="87">
        <v>159</v>
      </c>
      <c r="AU511" s="88">
        <v>99.9</v>
      </c>
      <c r="AW511" s="162" t="str">
        <f>REV!AW511</f>
        <v>01.12.2026</v>
      </c>
      <c r="AX511" s="153" t="str">
        <f>VLOOKUP(C511,REV!C:AX,48,0)</f>
        <v>4G</v>
      </c>
    </row>
    <row r="512" spans="1:50" ht="22.5" customHeight="1" thickBot="1">
      <c r="A512" s="82" t="s">
        <v>247</v>
      </c>
      <c r="B512" s="83" t="s">
        <v>64</v>
      </c>
      <c r="C512" s="69">
        <v>4012680</v>
      </c>
      <c r="D512" s="89" t="s">
        <v>739</v>
      </c>
      <c r="E512" s="70" t="s">
        <v>739</v>
      </c>
      <c r="F512" s="71"/>
      <c r="G512" s="163"/>
      <c r="H512" s="163"/>
      <c r="I512" s="163"/>
      <c r="J512" s="71" t="str">
        <f>IF(VLOOKUP($C512,REV!$C:$AA,8,0)-'TRADE IN'!$F512=0,"",(VLOOKUP($C512,REV!$C:$AA,8,0)-'TRADE IN'!$F512))</f>
        <v/>
      </c>
      <c r="K512" s="71" t="str">
        <f>IF(VLOOKUP($C512,REV!$C:$AA,9,0)-'TRADE IN'!$F512=0,"",(VLOOKUP($C512,REV!$C:$AA,9,0)-'TRADE IN'!$F512))</f>
        <v/>
      </c>
      <c r="L512" s="71" t="str">
        <f>IF(VLOOKUP($C512,REV!$C:$AA,10,0)-'TRADE IN'!$F512=0,"",(VLOOKUP($C512,REV!$C:$AA,10,0)-'TRADE IN'!$F512))</f>
        <v/>
      </c>
      <c r="M512" s="71" t="str">
        <f>IF(VLOOKUP($C512,REV!$C:$AA,11,0)-'TRADE IN'!$F512=0,"",(VLOOKUP($C512,REV!$C:$AA,11,0)-'TRADE IN'!$F512))</f>
        <v/>
      </c>
      <c r="N512" s="71" t="str">
        <f>IF(VLOOKUP($C512,REV!$C:$AA,12,0)-'TRADE IN'!$F512=0,"",(VLOOKUP($C512,REV!$C:$AA,12,0)-'TRADE IN'!$F512))</f>
        <v/>
      </c>
      <c r="O512" s="71" t="str">
        <f>IF(VLOOKUP($C512,REV!$C:$AA,13,0)-'TRADE IN'!$F512=0,"",(VLOOKUP($C512,REV!$C:$AA,13,0)-'TRADE IN'!$F512))</f>
        <v/>
      </c>
      <c r="P512" s="71" t="str">
        <f>IF(VLOOKUP($C512,REV!$C:$AA,14,0)-'TRADE IN'!$F512=0,"",(VLOOKUP($C512,REV!$C:$AA,14,0)-'TRADE IN'!$F512))</f>
        <v/>
      </c>
      <c r="Q512" s="71" t="str">
        <f>IF(VLOOKUP($C512,REV!$C:$AA,15,0)-'TRADE IN'!$F512=0,"",(VLOOKUP($C512,REV!$C:$AA,15,0)-'TRADE IN'!$F512))</f>
        <v/>
      </c>
      <c r="R512" s="71" t="str">
        <f>IF(VLOOKUP($C512,REV!$C:$AA,16,0)-'TRADE IN'!$F512=0,"",(VLOOKUP($C512,REV!$C:$AA,16,0)-'TRADE IN'!$F512))</f>
        <v/>
      </c>
      <c r="S512" s="71" t="str">
        <f>IF(VLOOKUP($C512,REV!$C:$AA,17,0)-'TRADE IN'!$F512=0,"",(VLOOKUP($C512,REV!$C:$AA,17,0)-'TRADE IN'!$F512))</f>
        <v/>
      </c>
      <c r="T512" s="71" t="str">
        <f>IF(VLOOKUP($C512,REV!$C:$AA,18,0)-'TRADE IN'!$F512=0,"",(VLOOKUP($C512,REV!$C:$AA,18,0)-'TRADE IN'!$F512))</f>
        <v/>
      </c>
      <c r="U512" s="71" t="str">
        <f>IF(VLOOKUP($C512,REV!$C:$AA,19,0)-'TRADE IN'!$F512=0,"",(VLOOKUP($C512,REV!$C:$AA,19,0)-'TRADE IN'!$F512))</f>
        <v/>
      </c>
      <c r="V512" s="71" t="str">
        <f>IF(VLOOKUP($C512,REV!$C:$AA,20,0)-'TRADE IN'!$F512=0,"",(VLOOKUP($C512,REV!$C:$AA,20,0)-'TRADE IN'!$F512))</f>
        <v/>
      </c>
      <c r="W512" s="71" t="str">
        <f>IF(VLOOKUP($C512,REV!$C:$AA,21,0)-'TRADE IN'!$F512=0,"",(VLOOKUP($C512,REV!$C:$AA,21,0)-'TRADE IN'!$F512))</f>
        <v/>
      </c>
      <c r="X512" s="71" t="str">
        <f>IF(VLOOKUP($C512,REV!$C:$AA,22,0)-'TRADE IN'!$F512=0,"",(VLOOKUP($C512,REV!$C:$AA,22,0)-'TRADE IN'!$F512))</f>
        <v/>
      </c>
      <c r="Y512" s="71" t="str">
        <f>IF(VLOOKUP($C512,REV!$C:$AA,23,0)-'TRADE IN'!$F512=0,"",(VLOOKUP($C512,REV!$C:$AA,23,0)-'TRADE IN'!$F512))</f>
        <v/>
      </c>
      <c r="Z512" s="71" t="str">
        <f>IF(VLOOKUP($C512,REV!$C:$AA,24,0)-'TRADE IN'!$F512=0,"",(VLOOKUP($C512,REV!$C:$AA,24,0)-'TRADE IN'!$F512))</f>
        <v/>
      </c>
      <c r="AA512" s="71" t="str">
        <f>IF(VLOOKUP($C512,REV!$C:$AA,25,0)-'TRADE IN'!$F512=0,"",(VLOOKUP($C512,REV!$C:$AA,25,0)-'TRADE IN'!$F512))</f>
        <v/>
      </c>
      <c r="AB512" s="71" t="str">
        <f>IF(VLOOKUP($C512,REV!$C:$AL,27,0)-'TRADE IN'!$F512=0,"",(VLOOKUP($C512,REV!$C:$AL,27,0)-'TRADE IN'!$F512))</f>
        <v/>
      </c>
      <c r="AC512" s="71" t="str">
        <f>IF(VLOOKUP($C512,REV!$C:$AL,28,0)-'TRADE IN'!$F512=0,"",(VLOOKUP($C512,REV!$C:$AL,28,0)-'TRADE IN'!$F512))</f>
        <v/>
      </c>
      <c r="AD512" s="71" t="str">
        <f>IF(VLOOKUP($C512,REV!$C:$AL,29,0)-'TRADE IN'!$F512=0,"",(VLOOKUP($C512,REV!$C:$AL,29,0)-'TRADE IN'!$F512))</f>
        <v/>
      </c>
      <c r="AE512" s="71" t="str">
        <f>IF(VLOOKUP($C512,REV!$C:$AL,30,0)-'TRADE IN'!$F512=0,"",(VLOOKUP($C512,REV!$C:$AL,30,0)-'TRADE IN'!$F512))</f>
        <v/>
      </c>
      <c r="AF512" s="71" t="str">
        <f>IF(VLOOKUP($C512,REV!$C:$AL,31,0)-'TRADE IN'!$F512=0,"",(VLOOKUP($C512,REV!$C:$AL,31,0)-'TRADE IN'!$F512))</f>
        <v/>
      </c>
      <c r="AG512" s="71" t="str">
        <f>IF(VLOOKUP($C512,REV!$C:$AL,31,0)-'TRADE IN'!$F512=0,"",(VLOOKUP($C512,REV!$C:$AL,31,0)-'TRADE IN'!$F512))</f>
        <v/>
      </c>
      <c r="AH512" s="71" t="str">
        <f>IF(VLOOKUP($C512,REV!$C:$AL,32,0)-'TRADE IN'!$F512=0,"",(VLOOKUP($C512,REV!$C:$AL,32,0)-'TRADE IN'!$F512))</f>
        <v/>
      </c>
      <c r="AI512" s="71" t="str">
        <f>IF(VLOOKUP($C512,REV!$C:$AL,33,0)-'TRADE IN'!$F512=0,"",(VLOOKUP($C512,REV!$C:$AL,33,0)-'TRADE IN'!$F512))</f>
        <v/>
      </c>
      <c r="AJ512" s="71" t="str">
        <f>IF(VLOOKUP($C512,REV!$C:$AL,34,0)-'TRADE IN'!$F512=0,"",(VLOOKUP($C512,REV!$C:$AL,34,0)-'TRADE IN'!$F512))</f>
        <v/>
      </c>
      <c r="AK512" s="71" t="str">
        <f>IF(VLOOKUP($C512,REV!$C:$AL,35,0)-'TRADE IN'!$F512=0,"",(VLOOKUP($C512,REV!$C:$AL,35,0)-'TRADE IN'!$F512))</f>
        <v/>
      </c>
      <c r="AL512" s="71" t="str">
        <f>IF(VLOOKUP($C512,REV!$C:$AL,36,0)-'TRADE IN'!$F512=0,"",(VLOOKUP($C512,REV!$C:$AL,36,0)-'TRADE IN'!$F512))</f>
        <v/>
      </c>
      <c r="AM512" s="71"/>
      <c r="AN512" s="71"/>
      <c r="AO512" s="71"/>
      <c r="AP512" s="71">
        <v>575</v>
      </c>
      <c r="AQ512" s="71">
        <v>575</v>
      </c>
      <c r="AR512" s="71">
        <v>575</v>
      </c>
      <c r="AS512" s="90">
        <v>199</v>
      </c>
      <c r="AT512" s="90">
        <v>159</v>
      </c>
      <c r="AU512" s="91">
        <v>99.9</v>
      </c>
      <c r="AW512" s="160" t="str">
        <f>REV!AW512</f>
        <v>01.12.2026</v>
      </c>
      <c r="AX512" s="157" t="str">
        <f>VLOOKUP(C512,REV!C:AX,48,0)</f>
        <v>4G</v>
      </c>
    </row>
    <row r="513" spans="2:49" ht="22.5" customHeight="1">
      <c r="B513" s="122" t="s">
        <v>806</v>
      </c>
      <c r="C513" s="121">
        <v>4017353</v>
      </c>
      <c r="D513" s="164" t="s">
        <v>911</v>
      </c>
      <c r="E513" s="107" t="s">
        <v>912</v>
      </c>
      <c r="F513" s="165">
        <v>400</v>
      </c>
      <c r="G513" s="166"/>
      <c r="H513" s="166"/>
      <c r="I513" s="166"/>
      <c r="J513" s="166">
        <f>IF(VLOOKUP($C513,'ACESSÓRIOS REV'!$C:$AL,8,0)-'TRADE IN'!$F513=0,"",(VLOOKUP($C513,'ACESSÓRIOS REV'!$C:$AL,8,0)-'TRADE IN'!$F513))</f>
        <v>4099</v>
      </c>
      <c r="K513" s="166">
        <f>IF(VLOOKUP($C513,'ACESSÓRIOS REV'!$C:$AL,9,0)-'TRADE IN'!$F513=0,"",(VLOOKUP($C513,'ACESSÓRIOS REV'!$C:$AL,9,0)-'TRADE IN'!$F513))</f>
        <v>4099</v>
      </c>
      <c r="L513" s="166">
        <f>IF(VLOOKUP($C513,'ACESSÓRIOS REV'!$C:$AL,10,0)-'TRADE IN'!$F513=0,"",(VLOOKUP($C513,'ACESSÓRIOS REV'!$C:$AL,10,0)-'TRADE IN'!$F513))</f>
        <v>4099</v>
      </c>
      <c r="M513" s="166">
        <f>IF(VLOOKUP($C513,'ACESSÓRIOS REV'!$C:$AL,11,0)-'TRADE IN'!$F513=0,"",(VLOOKUP($C513,'ACESSÓRIOS REV'!$C:$AL,11,0)-'TRADE IN'!$F513))</f>
        <v>4099</v>
      </c>
      <c r="N513" s="166">
        <f>IF(VLOOKUP($C513,'ACESSÓRIOS REV'!$C:$AL,12,0)-'TRADE IN'!$F513=0,"",(VLOOKUP($C513,'ACESSÓRIOS REV'!$C:$AL,12,0)-'TRADE IN'!$F513))</f>
        <v>4099</v>
      </c>
      <c r="O513" s="166">
        <f>IF(VLOOKUP($C513,'ACESSÓRIOS REV'!$C:$AL,13,0)-'TRADE IN'!$F513=0,"",(VLOOKUP($C513,'ACESSÓRIOS REV'!$C:$AL,13,0)-'TRADE IN'!$F513))</f>
        <v>4099</v>
      </c>
      <c r="P513" s="166">
        <f>IF(VLOOKUP($C513,'ACESSÓRIOS REV'!$C:$AL,14,0)-'TRADE IN'!$F513=0,"",(VLOOKUP($C513,'ACESSÓRIOS REV'!$C:$AL,14,0)-'TRADE IN'!$F513))</f>
        <v>4099</v>
      </c>
      <c r="Q513" s="166">
        <f>IF(VLOOKUP($C513,'ACESSÓRIOS REV'!$C:$AL,15,0)-'TRADE IN'!$F513=0,"",(VLOOKUP($C513,'ACESSÓRIOS REV'!$C:$AL,15,0)-'TRADE IN'!$F513))</f>
        <v>3499</v>
      </c>
      <c r="R513" s="166">
        <f>IF(VLOOKUP($C513,'ACESSÓRIOS REV'!$C:$AL,16,0)-'TRADE IN'!$F513=0,"",(VLOOKUP($C513,'ACESSÓRIOS REV'!$C:$AL,16,0)-'TRADE IN'!$F513))</f>
        <v>4099</v>
      </c>
      <c r="S513" s="166">
        <f>IF(VLOOKUP($C513,'ACESSÓRIOS REV'!$C:$AL,17,0)-'TRADE IN'!$F513=0,"",(VLOOKUP($C513,'ACESSÓRIOS REV'!$C:$AL,17,0)-'TRADE IN'!$F513))</f>
        <v>3999</v>
      </c>
      <c r="T513" s="166">
        <f>IF(VLOOKUP($C513,'ACESSÓRIOS REV'!$C:$AL,18,0)-'TRADE IN'!$F513=0,"",(VLOOKUP($C513,'ACESSÓRIOS REV'!$C:$AL,18,0)-'TRADE IN'!$F513))</f>
        <v>3699</v>
      </c>
      <c r="U513" s="166">
        <f>IF(VLOOKUP($C513,'ACESSÓRIOS REV'!$C:$AL,19,0)-'TRADE IN'!$F513=0,"",(VLOOKUP($C513,'ACESSÓRIOS REV'!$C:$AL,19,0)-'TRADE IN'!$F513))</f>
        <v>3499</v>
      </c>
      <c r="V513" s="166">
        <f>IF(VLOOKUP($C513,'ACESSÓRIOS REV'!$C:$AL,20,0)-'TRADE IN'!$F513=0,"",(VLOOKUP($C513,'ACESSÓRIOS REV'!$C:$AL,20,0)-'TRADE IN'!$F513))</f>
        <v>3499</v>
      </c>
      <c r="W513" s="166">
        <f>IF(VLOOKUP($C513,'ACESSÓRIOS REV'!$C:$AL,21,0)-'TRADE IN'!$F513=0,"",(VLOOKUP($C513,'ACESSÓRIOS REV'!$C:$AL,21,0)-'TRADE IN'!$F513))</f>
        <v>3399</v>
      </c>
      <c r="X513" s="166">
        <f>IF(VLOOKUP($C513,'ACESSÓRIOS REV'!$C:$AL,22,0)-'TRADE IN'!$F513=0,"",(VLOOKUP($C513,'ACESSÓRIOS REV'!$C:$AL,22,0)-'TRADE IN'!$F513))</f>
        <v>3399</v>
      </c>
      <c r="Y513" s="166">
        <f>IF(VLOOKUP($C513,'ACESSÓRIOS REV'!$C:$AL,23,0)-'TRADE IN'!$F513=0,"",(VLOOKUP($C513,'ACESSÓRIOS REV'!$C:$AL,23,0)-'TRADE IN'!$F513))</f>
        <v>2976</v>
      </c>
      <c r="Z513" s="166">
        <f>IF(VLOOKUP($C513,'ACESSÓRIOS REV'!$C:$AL,24,0)-'TRADE IN'!$F513=0,"",(VLOOKUP($C513,'ACESSÓRIOS REV'!$C:$AL,24,0)-'TRADE IN'!$F513))</f>
        <v>2976</v>
      </c>
      <c r="AA513" s="166">
        <f>IF(VLOOKUP($C513,'ACESSÓRIOS REV'!$C:$AL,25,0)-'TRADE IN'!$F513=0,"",(VLOOKUP($C513,'ACESSÓRIOS REV'!$C:$AL,25,0)-'TRADE IN'!$F513))</f>
        <v>2976</v>
      </c>
      <c r="AB513" s="166">
        <f>IF(VLOOKUP($C513,'ACESSÓRIOS REV'!$C:$AL,27,0)-'TRADE IN'!$F513=0,"",(VLOOKUP($C513,'ACESSÓRIOS REV'!$C:$AL,27,0)-'TRADE IN'!$F513))</f>
        <v>4099</v>
      </c>
      <c r="AC513" s="166">
        <f>IF(VLOOKUP($C513,'ACESSÓRIOS REV'!$C:$AL,28,0)-'TRADE IN'!$F513=0,"",(VLOOKUP($C513,'ACESSÓRIOS REV'!$C:$AL,28,0)-'TRADE IN'!$F513))</f>
        <v>4099</v>
      </c>
      <c r="AD513" s="166">
        <f>IF(VLOOKUP($C513,'ACESSÓRIOS REV'!$C:$AL,29,0)-'TRADE IN'!$F513=0,"",(VLOOKUP($C513,'ACESSÓRIOS REV'!$C:$AL,29,0)-'TRADE IN'!$F513))</f>
        <v>4099</v>
      </c>
      <c r="AE513" s="166">
        <f>IF(VLOOKUP($C513,'ACESSÓRIOS REV'!$C:$AL,30,0)-'TRADE IN'!$F513=0,"",(VLOOKUP($C513,'ACESSÓRIOS REV'!$C:$AL,30,0)-'TRADE IN'!$F513))</f>
        <v>4099</v>
      </c>
      <c r="AF513" s="166">
        <f>IF(VLOOKUP($C513,'ACESSÓRIOS REV'!$C:$AL,31,0)-'TRADE IN'!$F513=0,"",(VLOOKUP($C513,'ACESSÓRIOS REV'!$C:$AL,31,0)-'TRADE IN'!$F513))</f>
        <v>4099</v>
      </c>
      <c r="AG513" s="166">
        <f>IF(VLOOKUP($C513,'ACESSÓRIOS REV'!$C:$AL,31,0)-'TRADE IN'!$F513=0,"",(VLOOKUP($C513,'ACESSÓRIOS REV'!$C:$AL,31,0)-'TRADE IN'!$F513))</f>
        <v>4099</v>
      </c>
      <c r="AH513" s="166">
        <f>IF(VLOOKUP($C513,'ACESSÓRIOS REV'!$C:$AL,32,0)-'TRADE IN'!$F513=0,"",(VLOOKUP($C513,'ACESSÓRIOS REV'!$C:$AL,32,0)-'TRADE IN'!$F513))</f>
        <v>4099</v>
      </c>
      <c r="AI513" s="166">
        <f>IF(VLOOKUP($C513,'ACESSÓRIOS REV'!$C:$AL,33,0)-'TRADE IN'!$F513=0,"",(VLOOKUP($C513,'ACESSÓRIOS REV'!$C:$AL,33,0)-'TRADE IN'!$F513))</f>
        <v>3499</v>
      </c>
      <c r="AJ513" s="166">
        <f>IF(VLOOKUP($C513,'ACESSÓRIOS REV'!$C:$AL,34,0)-'TRADE IN'!$F513=0,"",(VLOOKUP($C513,'ACESSÓRIOS REV'!$C:$AL,34,0)-'TRADE IN'!$F513))</f>
        <v>3499</v>
      </c>
      <c r="AK513" s="166">
        <f>IF(VLOOKUP($C513,'ACESSÓRIOS REV'!$C:$AL,35,0)-'TRADE IN'!$F513=0,"",(VLOOKUP($C513,'ACESSÓRIOS REV'!$C:$AL,35,0)-'TRADE IN'!$F513))</f>
        <v>3499</v>
      </c>
      <c r="AL513" s="166">
        <f>IF(VLOOKUP($C513,'ACESSÓRIOS REV'!$C:$AL,36,0)-'TRADE IN'!$F513=0,"",(VLOOKUP($C513,'ACESSÓRIOS REV'!$C:$AL,36,0)-'TRADE IN'!$F513))</f>
        <v>2976</v>
      </c>
      <c r="AM513" s="167"/>
      <c r="AN513" s="167"/>
      <c r="AO513" s="167"/>
      <c r="AP513" s="167"/>
      <c r="AQ513" s="167"/>
      <c r="AR513" s="167"/>
      <c r="AS513" s="167"/>
      <c r="AT513" s="167"/>
      <c r="AU513" s="167"/>
      <c r="AW513" s="168" t="s">
        <v>746</v>
      </c>
    </row>
    <row r="514" spans="2:49" ht="22.5" customHeight="1">
      <c r="B514" s="122" t="s">
        <v>747</v>
      </c>
      <c r="C514" s="121">
        <v>4016511</v>
      </c>
      <c r="D514" s="164" t="s">
        <v>913</v>
      </c>
      <c r="E514" s="107" t="s">
        <v>914</v>
      </c>
      <c r="F514" s="165">
        <v>400</v>
      </c>
      <c r="G514" s="166"/>
      <c r="H514" s="166"/>
      <c r="I514" s="166"/>
      <c r="J514" s="166">
        <f>IF(VLOOKUP($C514,'ACESSÓRIOS REV'!$C:$AL,8,0)-'TRADE IN'!$F514=0,"",(VLOOKUP($C514,'ACESSÓRIOS REV'!$C:$AL,8,0)-'TRADE IN'!$F514))</f>
        <v>4099</v>
      </c>
      <c r="K514" s="166">
        <f>IF(VLOOKUP($C514,'ACESSÓRIOS REV'!$C:$AL,9,0)-'TRADE IN'!$F514=0,"",(VLOOKUP($C514,'ACESSÓRIOS REV'!$C:$AL,9,0)-'TRADE IN'!$F514))</f>
        <v>4099</v>
      </c>
      <c r="L514" s="166">
        <f>IF(VLOOKUP($C514,'ACESSÓRIOS REV'!$C:$AL,10,0)-'TRADE IN'!$F514=0,"",(VLOOKUP($C514,'ACESSÓRIOS REV'!$C:$AL,10,0)-'TRADE IN'!$F514))</f>
        <v>4099</v>
      </c>
      <c r="M514" s="166">
        <f>IF(VLOOKUP($C514,'ACESSÓRIOS REV'!$C:$AL,11,0)-'TRADE IN'!$F514=0,"",(VLOOKUP($C514,'ACESSÓRIOS REV'!$C:$AL,11,0)-'TRADE IN'!$F514))</f>
        <v>4099</v>
      </c>
      <c r="N514" s="166">
        <f>IF(VLOOKUP($C514,'ACESSÓRIOS REV'!$C:$AL,12,0)-'TRADE IN'!$F514=0,"",(VLOOKUP($C514,'ACESSÓRIOS REV'!$C:$AL,12,0)-'TRADE IN'!$F514))</f>
        <v>4099</v>
      </c>
      <c r="O514" s="166">
        <f>IF(VLOOKUP($C514,'ACESSÓRIOS REV'!$C:$AL,13,0)-'TRADE IN'!$F514=0,"",(VLOOKUP($C514,'ACESSÓRIOS REV'!$C:$AL,13,0)-'TRADE IN'!$F514))</f>
        <v>4099</v>
      </c>
      <c r="P514" s="166">
        <f>IF(VLOOKUP($C514,'ACESSÓRIOS REV'!$C:$AL,14,0)-'TRADE IN'!$F514=0,"",(VLOOKUP($C514,'ACESSÓRIOS REV'!$C:$AL,14,0)-'TRADE IN'!$F514))</f>
        <v>4099</v>
      </c>
      <c r="Q514" s="166">
        <f>IF(VLOOKUP($C514,'ACESSÓRIOS REV'!$C:$AL,15,0)-'TRADE IN'!$F514=0,"",(VLOOKUP($C514,'ACESSÓRIOS REV'!$C:$AL,15,0)-'TRADE IN'!$F514))</f>
        <v>3499</v>
      </c>
      <c r="R514" s="166">
        <f>IF(VLOOKUP($C514,'ACESSÓRIOS REV'!$C:$AL,16,0)-'TRADE IN'!$F514=0,"",(VLOOKUP($C514,'ACESSÓRIOS REV'!$C:$AL,16,0)-'TRADE IN'!$F514))</f>
        <v>4099</v>
      </c>
      <c r="S514" s="166">
        <f>IF(VLOOKUP($C514,'ACESSÓRIOS REV'!$C:$AL,17,0)-'TRADE IN'!$F514=0,"",(VLOOKUP($C514,'ACESSÓRIOS REV'!$C:$AL,17,0)-'TRADE IN'!$F514))</f>
        <v>3999</v>
      </c>
      <c r="T514" s="166">
        <f>IF(VLOOKUP($C514,'ACESSÓRIOS REV'!$C:$AL,18,0)-'TRADE IN'!$F514=0,"",(VLOOKUP($C514,'ACESSÓRIOS REV'!$C:$AL,18,0)-'TRADE IN'!$F514))</f>
        <v>3699</v>
      </c>
      <c r="U514" s="166">
        <f>IF(VLOOKUP($C514,'ACESSÓRIOS REV'!$C:$AL,19,0)-'TRADE IN'!$F514=0,"",(VLOOKUP($C514,'ACESSÓRIOS REV'!$C:$AL,19,0)-'TRADE IN'!$F514))</f>
        <v>3499</v>
      </c>
      <c r="V514" s="166">
        <f>IF(VLOOKUP($C514,'ACESSÓRIOS REV'!$C:$AL,20,0)-'TRADE IN'!$F514=0,"",(VLOOKUP($C514,'ACESSÓRIOS REV'!$C:$AL,20,0)-'TRADE IN'!$F514))</f>
        <v>3499</v>
      </c>
      <c r="W514" s="166">
        <f>IF(VLOOKUP($C514,'ACESSÓRIOS REV'!$C:$AL,21,0)-'TRADE IN'!$F514=0,"",(VLOOKUP($C514,'ACESSÓRIOS REV'!$C:$AL,21,0)-'TRADE IN'!$F514))</f>
        <v>3399</v>
      </c>
      <c r="X514" s="166">
        <f>IF(VLOOKUP($C514,'ACESSÓRIOS REV'!$C:$AL,22,0)-'TRADE IN'!$F514=0,"",(VLOOKUP($C514,'ACESSÓRIOS REV'!$C:$AL,22,0)-'TRADE IN'!$F514))</f>
        <v>3399</v>
      </c>
      <c r="Y514" s="166">
        <f>IF(VLOOKUP($C514,'ACESSÓRIOS REV'!$C:$AL,23,0)-'TRADE IN'!$F514=0,"",(VLOOKUP($C514,'ACESSÓRIOS REV'!$C:$AL,23,0)-'TRADE IN'!$F514))</f>
        <v>2976</v>
      </c>
      <c r="Z514" s="166">
        <f>IF(VLOOKUP($C514,'ACESSÓRIOS REV'!$C:$AL,24,0)-'TRADE IN'!$F514=0,"",(VLOOKUP($C514,'ACESSÓRIOS REV'!$C:$AL,24,0)-'TRADE IN'!$F514))</f>
        <v>2976</v>
      </c>
      <c r="AA514" s="166">
        <f>IF(VLOOKUP($C514,'ACESSÓRIOS REV'!$C:$AL,25,0)-'TRADE IN'!$F514=0,"",(VLOOKUP($C514,'ACESSÓRIOS REV'!$C:$AL,25,0)-'TRADE IN'!$F514))</f>
        <v>2976</v>
      </c>
      <c r="AB514" s="166">
        <f>IF(VLOOKUP($C514,'ACESSÓRIOS REV'!$C:$AL,27,0)-'TRADE IN'!$F514=0,"",(VLOOKUP($C514,'ACESSÓRIOS REV'!$C:$AL,27,0)-'TRADE IN'!$F514))</f>
        <v>4099</v>
      </c>
      <c r="AC514" s="166">
        <f>IF(VLOOKUP($C514,'ACESSÓRIOS REV'!$C:$AL,28,0)-'TRADE IN'!$F514=0,"",(VLOOKUP($C514,'ACESSÓRIOS REV'!$C:$AL,28,0)-'TRADE IN'!$F514))</f>
        <v>4099</v>
      </c>
      <c r="AD514" s="166">
        <f>IF(VLOOKUP($C514,'ACESSÓRIOS REV'!$C:$AL,29,0)-'TRADE IN'!$F514=0,"",(VLOOKUP($C514,'ACESSÓRIOS REV'!$C:$AL,29,0)-'TRADE IN'!$F514))</f>
        <v>4099</v>
      </c>
      <c r="AE514" s="166">
        <f>IF(VLOOKUP($C514,'ACESSÓRIOS REV'!$C:$AL,30,0)-'TRADE IN'!$F514=0,"",(VLOOKUP($C514,'ACESSÓRIOS REV'!$C:$AL,30,0)-'TRADE IN'!$F514))</f>
        <v>4099</v>
      </c>
      <c r="AF514" s="166">
        <f>IF(VLOOKUP($C514,'ACESSÓRIOS REV'!$C:$AL,31,0)-'TRADE IN'!$F514=0,"",(VLOOKUP($C514,'ACESSÓRIOS REV'!$C:$AL,31,0)-'TRADE IN'!$F514))</f>
        <v>4099</v>
      </c>
      <c r="AG514" s="166">
        <f>IF(VLOOKUP($C514,'ACESSÓRIOS REV'!$C:$AL,31,0)-'TRADE IN'!$F514=0,"",(VLOOKUP($C514,'ACESSÓRIOS REV'!$C:$AL,31,0)-'TRADE IN'!$F514))</f>
        <v>4099</v>
      </c>
      <c r="AH514" s="166">
        <f>IF(VLOOKUP($C514,'ACESSÓRIOS REV'!$C:$AL,32,0)-'TRADE IN'!$F514=0,"",(VLOOKUP($C514,'ACESSÓRIOS REV'!$C:$AL,32,0)-'TRADE IN'!$F514))</f>
        <v>4099</v>
      </c>
      <c r="AI514" s="166">
        <f>IF(VLOOKUP($C514,'ACESSÓRIOS REV'!$C:$AL,33,0)-'TRADE IN'!$F514=0,"",(VLOOKUP($C514,'ACESSÓRIOS REV'!$C:$AL,33,0)-'TRADE IN'!$F514))</f>
        <v>3499</v>
      </c>
      <c r="AJ514" s="166">
        <f>IF(VLOOKUP($C514,'ACESSÓRIOS REV'!$C:$AL,34,0)-'TRADE IN'!$F514=0,"",(VLOOKUP($C514,'ACESSÓRIOS REV'!$C:$AL,34,0)-'TRADE IN'!$F514))</f>
        <v>3499</v>
      </c>
      <c r="AK514" s="166">
        <f>IF(VLOOKUP($C514,'ACESSÓRIOS REV'!$C:$AL,35,0)-'TRADE IN'!$F514=0,"",(VLOOKUP($C514,'ACESSÓRIOS REV'!$C:$AL,35,0)-'TRADE IN'!$F514))</f>
        <v>3499</v>
      </c>
      <c r="AL514" s="166">
        <f>IF(VLOOKUP($C514,'ACESSÓRIOS REV'!$C:$AL,36,0)-'TRADE IN'!$F514=0,"",(VLOOKUP($C514,'ACESSÓRIOS REV'!$C:$AL,36,0)-'TRADE IN'!$F514))</f>
        <v>2976</v>
      </c>
      <c r="AM514" s="151"/>
      <c r="AN514" s="151"/>
      <c r="AO514" s="151"/>
      <c r="AP514" s="151"/>
      <c r="AQ514" s="151"/>
      <c r="AR514" s="151"/>
      <c r="AS514" s="151"/>
      <c r="AT514" s="151"/>
      <c r="AU514" s="151"/>
      <c r="AW514" s="168" t="s">
        <v>746</v>
      </c>
    </row>
    <row r="515" spans="2:49" ht="22.5" customHeight="1">
      <c r="B515" s="122" t="s">
        <v>747</v>
      </c>
      <c r="C515" s="121">
        <v>4016960</v>
      </c>
      <c r="D515" s="164" t="s">
        <v>915</v>
      </c>
      <c r="E515" s="107" t="s">
        <v>916</v>
      </c>
      <c r="F515" s="165">
        <v>400</v>
      </c>
      <c r="G515" s="166"/>
      <c r="H515" s="166"/>
      <c r="I515" s="166"/>
      <c r="J515" s="166">
        <f>IF(VLOOKUP($C515,'ACESSÓRIOS REV'!$C:$AL,8,0)-'TRADE IN'!$F515=0,"",(VLOOKUP($C515,'ACESSÓRIOS REV'!$C:$AL,8,0)-'TRADE IN'!$F515))</f>
        <v>4099</v>
      </c>
      <c r="K515" s="166">
        <f>IF(VLOOKUP($C515,'ACESSÓRIOS REV'!$C:$AL,9,0)-'TRADE IN'!$F515=0,"",(VLOOKUP($C515,'ACESSÓRIOS REV'!$C:$AL,9,0)-'TRADE IN'!$F515))</f>
        <v>4099</v>
      </c>
      <c r="L515" s="166">
        <f>IF(VLOOKUP($C515,'ACESSÓRIOS REV'!$C:$AL,10,0)-'TRADE IN'!$F515=0,"",(VLOOKUP($C515,'ACESSÓRIOS REV'!$C:$AL,10,0)-'TRADE IN'!$F515))</f>
        <v>4099</v>
      </c>
      <c r="M515" s="166">
        <f>IF(VLOOKUP($C515,'ACESSÓRIOS REV'!$C:$AL,11,0)-'TRADE IN'!$F515=0,"",(VLOOKUP($C515,'ACESSÓRIOS REV'!$C:$AL,11,0)-'TRADE IN'!$F515))</f>
        <v>4099</v>
      </c>
      <c r="N515" s="166">
        <f>IF(VLOOKUP($C515,'ACESSÓRIOS REV'!$C:$AL,12,0)-'TRADE IN'!$F515=0,"",(VLOOKUP($C515,'ACESSÓRIOS REV'!$C:$AL,12,0)-'TRADE IN'!$F515))</f>
        <v>4099</v>
      </c>
      <c r="O515" s="166">
        <f>IF(VLOOKUP($C515,'ACESSÓRIOS REV'!$C:$AL,13,0)-'TRADE IN'!$F515=0,"",(VLOOKUP($C515,'ACESSÓRIOS REV'!$C:$AL,13,0)-'TRADE IN'!$F515))</f>
        <v>4099</v>
      </c>
      <c r="P515" s="166">
        <f>IF(VLOOKUP($C515,'ACESSÓRIOS REV'!$C:$AL,14,0)-'TRADE IN'!$F515=0,"",(VLOOKUP($C515,'ACESSÓRIOS REV'!$C:$AL,14,0)-'TRADE IN'!$F515))</f>
        <v>4099</v>
      </c>
      <c r="Q515" s="166">
        <f>IF(VLOOKUP($C515,'ACESSÓRIOS REV'!$C:$AL,15,0)-'TRADE IN'!$F515=0,"",(VLOOKUP($C515,'ACESSÓRIOS REV'!$C:$AL,15,0)-'TRADE IN'!$F515))</f>
        <v>3499</v>
      </c>
      <c r="R515" s="166">
        <f>IF(VLOOKUP($C515,'ACESSÓRIOS REV'!$C:$AL,16,0)-'TRADE IN'!$F515=0,"",(VLOOKUP($C515,'ACESSÓRIOS REV'!$C:$AL,16,0)-'TRADE IN'!$F515))</f>
        <v>4099</v>
      </c>
      <c r="S515" s="166">
        <f>IF(VLOOKUP($C515,'ACESSÓRIOS REV'!$C:$AL,17,0)-'TRADE IN'!$F515=0,"",(VLOOKUP($C515,'ACESSÓRIOS REV'!$C:$AL,17,0)-'TRADE IN'!$F515))</f>
        <v>3999</v>
      </c>
      <c r="T515" s="166">
        <f>IF(VLOOKUP($C515,'ACESSÓRIOS REV'!$C:$AL,18,0)-'TRADE IN'!$F515=0,"",(VLOOKUP($C515,'ACESSÓRIOS REV'!$C:$AL,18,0)-'TRADE IN'!$F515))</f>
        <v>3699</v>
      </c>
      <c r="U515" s="166">
        <f>IF(VLOOKUP($C515,'ACESSÓRIOS REV'!$C:$AL,19,0)-'TRADE IN'!$F515=0,"",(VLOOKUP($C515,'ACESSÓRIOS REV'!$C:$AL,19,0)-'TRADE IN'!$F515))</f>
        <v>3499</v>
      </c>
      <c r="V515" s="166">
        <f>IF(VLOOKUP($C515,'ACESSÓRIOS REV'!$C:$AL,20,0)-'TRADE IN'!$F515=0,"",(VLOOKUP($C515,'ACESSÓRIOS REV'!$C:$AL,20,0)-'TRADE IN'!$F515))</f>
        <v>3499</v>
      </c>
      <c r="W515" s="166">
        <f>IF(VLOOKUP($C515,'ACESSÓRIOS REV'!$C:$AL,21,0)-'TRADE IN'!$F515=0,"",(VLOOKUP($C515,'ACESSÓRIOS REV'!$C:$AL,21,0)-'TRADE IN'!$F515))</f>
        <v>3399</v>
      </c>
      <c r="X515" s="166">
        <f>IF(VLOOKUP($C515,'ACESSÓRIOS REV'!$C:$AL,22,0)-'TRADE IN'!$F515=0,"",(VLOOKUP($C515,'ACESSÓRIOS REV'!$C:$AL,22,0)-'TRADE IN'!$F515))</f>
        <v>3399</v>
      </c>
      <c r="Y515" s="166">
        <f>IF(VLOOKUP($C515,'ACESSÓRIOS REV'!$C:$AL,23,0)-'TRADE IN'!$F515=0,"",(VLOOKUP($C515,'ACESSÓRIOS REV'!$C:$AL,23,0)-'TRADE IN'!$F515))</f>
        <v>2976</v>
      </c>
      <c r="Z515" s="166">
        <f>IF(VLOOKUP($C515,'ACESSÓRIOS REV'!$C:$AL,24,0)-'TRADE IN'!$F515=0,"",(VLOOKUP($C515,'ACESSÓRIOS REV'!$C:$AL,24,0)-'TRADE IN'!$F515))</f>
        <v>2976</v>
      </c>
      <c r="AA515" s="166">
        <f>IF(VLOOKUP($C515,'ACESSÓRIOS REV'!$C:$AL,25,0)-'TRADE IN'!$F515=0,"",(VLOOKUP($C515,'ACESSÓRIOS REV'!$C:$AL,25,0)-'TRADE IN'!$F515))</f>
        <v>2976</v>
      </c>
      <c r="AB515" s="166">
        <f>IF(VLOOKUP($C515,'ACESSÓRIOS REV'!$C:$AL,27,0)-'TRADE IN'!$F515=0,"",(VLOOKUP($C515,'ACESSÓRIOS REV'!$C:$AL,27,0)-'TRADE IN'!$F515))</f>
        <v>4099</v>
      </c>
      <c r="AC515" s="166">
        <f>IF(VLOOKUP($C515,'ACESSÓRIOS REV'!$C:$AL,28,0)-'TRADE IN'!$F515=0,"",(VLOOKUP($C515,'ACESSÓRIOS REV'!$C:$AL,28,0)-'TRADE IN'!$F515))</f>
        <v>4099</v>
      </c>
      <c r="AD515" s="166">
        <f>IF(VLOOKUP($C515,'ACESSÓRIOS REV'!$C:$AL,29,0)-'TRADE IN'!$F515=0,"",(VLOOKUP($C515,'ACESSÓRIOS REV'!$C:$AL,29,0)-'TRADE IN'!$F515))</f>
        <v>4099</v>
      </c>
      <c r="AE515" s="166">
        <f>IF(VLOOKUP($C515,'ACESSÓRIOS REV'!$C:$AL,30,0)-'TRADE IN'!$F515=0,"",(VLOOKUP($C515,'ACESSÓRIOS REV'!$C:$AL,30,0)-'TRADE IN'!$F515))</f>
        <v>4099</v>
      </c>
      <c r="AF515" s="166">
        <f>IF(VLOOKUP($C515,'ACESSÓRIOS REV'!$C:$AL,31,0)-'TRADE IN'!$F515=0,"",(VLOOKUP($C515,'ACESSÓRIOS REV'!$C:$AL,31,0)-'TRADE IN'!$F515))</f>
        <v>4099</v>
      </c>
      <c r="AG515" s="166">
        <f>IF(VLOOKUP($C515,'ACESSÓRIOS REV'!$C:$AL,31,0)-'TRADE IN'!$F515=0,"",(VLOOKUP($C515,'ACESSÓRIOS REV'!$C:$AL,31,0)-'TRADE IN'!$F515))</f>
        <v>4099</v>
      </c>
      <c r="AH515" s="166">
        <f>IF(VLOOKUP($C515,'ACESSÓRIOS REV'!$C:$AL,32,0)-'TRADE IN'!$F515=0,"",(VLOOKUP($C515,'ACESSÓRIOS REV'!$C:$AL,32,0)-'TRADE IN'!$F515))</f>
        <v>4099</v>
      </c>
      <c r="AI515" s="166">
        <f>IF(VLOOKUP($C515,'ACESSÓRIOS REV'!$C:$AL,33,0)-'TRADE IN'!$F515=0,"",(VLOOKUP($C515,'ACESSÓRIOS REV'!$C:$AL,33,0)-'TRADE IN'!$F515))</f>
        <v>3499</v>
      </c>
      <c r="AJ515" s="166">
        <f>IF(VLOOKUP($C515,'ACESSÓRIOS REV'!$C:$AL,34,0)-'TRADE IN'!$F515=0,"",(VLOOKUP($C515,'ACESSÓRIOS REV'!$C:$AL,34,0)-'TRADE IN'!$F515))</f>
        <v>3499</v>
      </c>
      <c r="AK515" s="166">
        <f>IF(VLOOKUP($C515,'ACESSÓRIOS REV'!$C:$AL,35,0)-'TRADE IN'!$F515=0,"",(VLOOKUP($C515,'ACESSÓRIOS REV'!$C:$AL,35,0)-'TRADE IN'!$F515))</f>
        <v>3499</v>
      </c>
      <c r="AL515" s="166">
        <f>IF(VLOOKUP($C515,'ACESSÓRIOS REV'!$C:$AL,36,0)-'TRADE IN'!$F515=0,"",(VLOOKUP($C515,'ACESSÓRIOS REV'!$C:$AL,36,0)-'TRADE IN'!$F515))</f>
        <v>2976</v>
      </c>
      <c r="AM515" s="151"/>
      <c r="AN515" s="151"/>
      <c r="AO515" s="151"/>
      <c r="AP515" s="151"/>
      <c r="AQ515" s="151"/>
      <c r="AR515" s="151"/>
      <c r="AS515" s="151"/>
      <c r="AT515" s="151"/>
      <c r="AU515" s="151"/>
      <c r="AW515" s="168" t="s">
        <v>746</v>
      </c>
    </row>
    <row r="516" spans="2:49" ht="22.5" customHeight="1">
      <c r="B516" s="122" t="s">
        <v>747</v>
      </c>
      <c r="C516" s="121">
        <v>4017129</v>
      </c>
      <c r="D516" s="164" t="s">
        <v>917</v>
      </c>
      <c r="E516" s="107" t="s">
        <v>918</v>
      </c>
      <c r="F516" s="165">
        <v>400</v>
      </c>
      <c r="G516" s="166"/>
      <c r="H516" s="166"/>
      <c r="I516" s="166"/>
      <c r="J516" s="166">
        <f>IF(VLOOKUP($C516,'ACESSÓRIOS REV'!$C:$AL,8,0)-'TRADE IN'!$F516=0,"",(VLOOKUP($C516,'ACESSÓRIOS REV'!$C:$AL,8,0)-'TRADE IN'!$F516))</f>
        <v>4099</v>
      </c>
      <c r="K516" s="166">
        <f>IF(VLOOKUP($C516,'ACESSÓRIOS REV'!$C:$AL,9,0)-'TRADE IN'!$F516=0,"",(VLOOKUP($C516,'ACESSÓRIOS REV'!$C:$AL,9,0)-'TRADE IN'!$F516))</f>
        <v>4099</v>
      </c>
      <c r="L516" s="166">
        <f>IF(VLOOKUP($C516,'ACESSÓRIOS REV'!$C:$AL,10,0)-'TRADE IN'!$F516=0,"",(VLOOKUP($C516,'ACESSÓRIOS REV'!$C:$AL,10,0)-'TRADE IN'!$F516))</f>
        <v>4099</v>
      </c>
      <c r="M516" s="166">
        <f>IF(VLOOKUP($C516,'ACESSÓRIOS REV'!$C:$AL,11,0)-'TRADE IN'!$F516=0,"",(VLOOKUP($C516,'ACESSÓRIOS REV'!$C:$AL,11,0)-'TRADE IN'!$F516))</f>
        <v>4099</v>
      </c>
      <c r="N516" s="166">
        <f>IF(VLOOKUP($C516,'ACESSÓRIOS REV'!$C:$AL,12,0)-'TRADE IN'!$F516=0,"",(VLOOKUP($C516,'ACESSÓRIOS REV'!$C:$AL,12,0)-'TRADE IN'!$F516))</f>
        <v>4099</v>
      </c>
      <c r="O516" s="166">
        <f>IF(VLOOKUP($C516,'ACESSÓRIOS REV'!$C:$AL,13,0)-'TRADE IN'!$F516=0,"",(VLOOKUP($C516,'ACESSÓRIOS REV'!$C:$AL,13,0)-'TRADE IN'!$F516))</f>
        <v>4099</v>
      </c>
      <c r="P516" s="166">
        <f>IF(VLOOKUP($C516,'ACESSÓRIOS REV'!$C:$AL,14,0)-'TRADE IN'!$F516=0,"",(VLOOKUP($C516,'ACESSÓRIOS REV'!$C:$AL,14,0)-'TRADE IN'!$F516))</f>
        <v>4099</v>
      </c>
      <c r="Q516" s="166">
        <f>IF(VLOOKUP($C516,'ACESSÓRIOS REV'!$C:$AL,15,0)-'TRADE IN'!$F516=0,"",(VLOOKUP($C516,'ACESSÓRIOS REV'!$C:$AL,15,0)-'TRADE IN'!$F516))</f>
        <v>3499</v>
      </c>
      <c r="R516" s="166">
        <f>IF(VLOOKUP($C516,'ACESSÓRIOS REV'!$C:$AL,16,0)-'TRADE IN'!$F516=0,"",(VLOOKUP($C516,'ACESSÓRIOS REV'!$C:$AL,16,0)-'TRADE IN'!$F516))</f>
        <v>4099</v>
      </c>
      <c r="S516" s="166">
        <f>IF(VLOOKUP($C516,'ACESSÓRIOS REV'!$C:$AL,17,0)-'TRADE IN'!$F516=0,"",(VLOOKUP($C516,'ACESSÓRIOS REV'!$C:$AL,17,0)-'TRADE IN'!$F516))</f>
        <v>3999</v>
      </c>
      <c r="T516" s="166">
        <f>IF(VLOOKUP($C516,'ACESSÓRIOS REV'!$C:$AL,18,0)-'TRADE IN'!$F516=0,"",(VLOOKUP($C516,'ACESSÓRIOS REV'!$C:$AL,18,0)-'TRADE IN'!$F516))</f>
        <v>3699</v>
      </c>
      <c r="U516" s="166">
        <f>IF(VLOOKUP($C516,'ACESSÓRIOS REV'!$C:$AL,19,0)-'TRADE IN'!$F516=0,"",(VLOOKUP($C516,'ACESSÓRIOS REV'!$C:$AL,19,0)-'TRADE IN'!$F516))</f>
        <v>3499</v>
      </c>
      <c r="V516" s="166">
        <f>IF(VLOOKUP($C516,'ACESSÓRIOS REV'!$C:$AL,20,0)-'TRADE IN'!$F516=0,"",(VLOOKUP($C516,'ACESSÓRIOS REV'!$C:$AL,20,0)-'TRADE IN'!$F516))</f>
        <v>3499</v>
      </c>
      <c r="W516" s="166">
        <f>IF(VLOOKUP($C516,'ACESSÓRIOS REV'!$C:$AL,21,0)-'TRADE IN'!$F516=0,"",(VLOOKUP($C516,'ACESSÓRIOS REV'!$C:$AL,21,0)-'TRADE IN'!$F516))</f>
        <v>3399</v>
      </c>
      <c r="X516" s="166">
        <f>IF(VLOOKUP($C516,'ACESSÓRIOS REV'!$C:$AL,22,0)-'TRADE IN'!$F516=0,"",(VLOOKUP($C516,'ACESSÓRIOS REV'!$C:$AL,22,0)-'TRADE IN'!$F516))</f>
        <v>3399</v>
      </c>
      <c r="Y516" s="166">
        <f>IF(VLOOKUP($C516,'ACESSÓRIOS REV'!$C:$AL,23,0)-'TRADE IN'!$F516=0,"",(VLOOKUP($C516,'ACESSÓRIOS REV'!$C:$AL,23,0)-'TRADE IN'!$F516))</f>
        <v>2976</v>
      </c>
      <c r="Z516" s="166">
        <f>IF(VLOOKUP($C516,'ACESSÓRIOS REV'!$C:$AL,24,0)-'TRADE IN'!$F516=0,"",(VLOOKUP($C516,'ACESSÓRIOS REV'!$C:$AL,24,0)-'TRADE IN'!$F516))</f>
        <v>2976</v>
      </c>
      <c r="AA516" s="166">
        <f>IF(VLOOKUP($C516,'ACESSÓRIOS REV'!$C:$AL,25,0)-'TRADE IN'!$F516=0,"",(VLOOKUP($C516,'ACESSÓRIOS REV'!$C:$AL,25,0)-'TRADE IN'!$F516))</f>
        <v>2976</v>
      </c>
      <c r="AB516" s="166">
        <f>IF(VLOOKUP($C516,'ACESSÓRIOS REV'!$C:$AL,27,0)-'TRADE IN'!$F516=0,"",(VLOOKUP($C516,'ACESSÓRIOS REV'!$C:$AL,27,0)-'TRADE IN'!$F516))</f>
        <v>4099</v>
      </c>
      <c r="AC516" s="166">
        <f>IF(VLOOKUP($C516,'ACESSÓRIOS REV'!$C:$AL,28,0)-'TRADE IN'!$F516=0,"",(VLOOKUP($C516,'ACESSÓRIOS REV'!$C:$AL,28,0)-'TRADE IN'!$F516))</f>
        <v>4099</v>
      </c>
      <c r="AD516" s="166">
        <f>IF(VLOOKUP($C516,'ACESSÓRIOS REV'!$C:$AL,29,0)-'TRADE IN'!$F516=0,"",(VLOOKUP($C516,'ACESSÓRIOS REV'!$C:$AL,29,0)-'TRADE IN'!$F516))</f>
        <v>4099</v>
      </c>
      <c r="AE516" s="166">
        <f>IF(VLOOKUP($C516,'ACESSÓRIOS REV'!$C:$AL,30,0)-'TRADE IN'!$F516=0,"",(VLOOKUP($C516,'ACESSÓRIOS REV'!$C:$AL,30,0)-'TRADE IN'!$F516))</f>
        <v>4099</v>
      </c>
      <c r="AF516" s="166">
        <f>IF(VLOOKUP($C516,'ACESSÓRIOS REV'!$C:$AL,31,0)-'TRADE IN'!$F516=0,"",(VLOOKUP($C516,'ACESSÓRIOS REV'!$C:$AL,31,0)-'TRADE IN'!$F516))</f>
        <v>4099</v>
      </c>
      <c r="AG516" s="166">
        <f>IF(VLOOKUP($C516,'ACESSÓRIOS REV'!$C:$AL,31,0)-'TRADE IN'!$F516=0,"",(VLOOKUP($C516,'ACESSÓRIOS REV'!$C:$AL,31,0)-'TRADE IN'!$F516))</f>
        <v>4099</v>
      </c>
      <c r="AH516" s="166">
        <f>IF(VLOOKUP($C516,'ACESSÓRIOS REV'!$C:$AL,32,0)-'TRADE IN'!$F516=0,"",(VLOOKUP($C516,'ACESSÓRIOS REV'!$C:$AL,32,0)-'TRADE IN'!$F516))</f>
        <v>4099</v>
      </c>
      <c r="AI516" s="166">
        <f>IF(VLOOKUP($C516,'ACESSÓRIOS REV'!$C:$AL,33,0)-'TRADE IN'!$F516=0,"",(VLOOKUP($C516,'ACESSÓRIOS REV'!$C:$AL,33,0)-'TRADE IN'!$F516))</f>
        <v>3499</v>
      </c>
      <c r="AJ516" s="166">
        <f>IF(VLOOKUP($C516,'ACESSÓRIOS REV'!$C:$AL,34,0)-'TRADE IN'!$F516=0,"",(VLOOKUP($C516,'ACESSÓRIOS REV'!$C:$AL,34,0)-'TRADE IN'!$F516))</f>
        <v>3499</v>
      </c>
      <c r="AK516" s="166">
        <f>IF(VLOOKUP($C516,'ACESSÓRIOS REV'!$C:$AL,35,0)-'TRADE IN'!$F516=0,"",(VLOOKUP($C516,'ACESSÓRIOS REV'!$C:$AL,35,0)-'TRADE IN'!$F516))</f>
        <v>3499</v>
      </c>
      <c r="AL516" s="166">
        <f>IF(VLOOKUP($C516,'ACESSÓRIOS REV'!$C:$AL,36,0)-'TRADE IN'!$F516=0,"",(VLOOKUP($C516,'ACESSÓRIOS REV'!$C:$AL,36,0)-'TRADE IN'!$F516))</f>
        <v>2976</v>
      </c>
      <c r="AM516" s="151"/>
      <c r="AN516" s="151"/>
      <c r="AO516" s="151"/>
      <c r="AP516" s="151"/>
      <c r="AQ516" s="151"/>
      <c r="AR516" s="151"/>
      <c r="AS516" s="151"/>
      <c r="AT516" s="151"/>
      <c r="AU516" s="151"/>
      <c r="AW516" s="168" t="s">
        <v>746</v>
      </c>
    </row>
    <row r="517" spans="2:49" ht="22.5" customHeight="1">
      <c r="B517" s="122" t="s">
        <v>747</v>
      </c>
      <c r="C517" s="121">
        <v>4016309</v>
      </c>
      <c r="D517" s="164" t="s">
        <v>919</v>
      </c>
      <c r="E517" s="107" t="s">
        <v>920</v>
      </c>
      <c r="F517" s="165">
        <v>400</v>
      </c>
      <c r="G517" s="166"/>
      <c r="H517" s="166"/>
      <c r="I517" s="166"/>
      <c r="J517" s="166">
        <f>IF(VLOOKUP($C517,'ACESSÓRIOS REV'!$C:$AL,8,0)-'TRADE IN'!$F517=0,"",(VLOOKUP($C517,'ACESSÓRIOS REV'!$C:$AL,8,0)-'TRADE IN'!$F517))</f>
        <v>4599</v>
      </c>
      <c r="K517" s="166">
        <f>IF(VLOOKUP($C517,'ACESSÓRIOS REV'!$C:$AL,9,0)-'TRADE IN'!$F517=0,"",(VLOOKUP($C517,'ACESSÓRIOS REV'!$C:$AL,9,0)-'TRADE IN'!$F517))</f>
        <v>4599</v>
      </c>
      <c r="L517" s="166">
        <f>IF(VLOOKUP($C517,'ACESSÓRIOS REV'!$C:$AL,10,0)-'TRADE IN'!$F517=0,"",(VLOOKUP($C517,'ACESSÓRIOS REV'!$C:$AL,10,0)-'TRADE IN'!$F517))</f>
        <v>4599</v>
      </c>
      <c r="M517" s="166">
        <f>IF(VLOOKUP($C517,'ACESSÓRIOS REV'!$C:$AL,11,0)-'TRADE IN'!$F517=0,"",(VLOOKUP($C517,'ACESSÓRIOS REV'!$C:$AL,11,0)-'TRADE IN'!$F517))</f>
        <v>4599</v>
      </c>
      <c r="N517" s="166">
        <f>IF(VLOOKUP($C517,'ACESSÓRIOS REV'!$C:$AL,12,0)-'TRADE IN'!$F517=0,"",(VLOOKUP($C517,'ACESSÓRIOS REV'!$C:$AL,12,0)-'TRADE IN'!$F517))</f>
        <v>4599</v>
      </c>
      <c r="O517" s="166">
        <f>IF(VLOOKUP($C517,'ACESSÓRIOS REV'!$C:$AL,13,0)-'TRADE IN'!$F517=0,"",(VLOOKUP($C517,'ACESSÓRIOS REV'!$C:$AL,13,0)-'TRADE IN'!$F517))</f>
        <v>4599</v>
      </c>
      <c r="P517" s="166">
        <f>IF(VLOOKUP($C517,'ACESSÓRIOS REV'!$C:$AL,14,0)-'TRADE IN'!$F517=0,"",(VLOOKUP($C517,'ACESSÓRIOS REV'!$C:$AL,14,0)-'TRADE IN'!$F517))</f>
        <v>4599</v>
      </c>
      <c r="Q517" s="166">
        <f>IF(VLOOKUP($C517,'ACESSÓRIOS REV'!$C:$AL,15,0)-'TRADE IN'!$F517=0,"",(VLOOKUP($C517,'ACESSÓRIOS REV'!$C:$AL,15,0)-'TRADE IN'!$F517))</f>
        <v>3999</v>
      </c>
      <c r="R517" s="166">
        <f>IF(VLOOKUP($C517,'ACESSÓRIOS REV'!$C:$AL,16,0)-'TRADE IN'!$F517=0,"",(VLOOKUP($C517,'ACESSÓRIOS REV'!$C:$AL,16,0)-'TRADE IN'!$F517))</f>
        <v>4599</v>
      </c>
      <c r="S517" s="166">
        <f>IF(VLOOKUP($C517,'ACESSÓRIOS REV'!$C:$AL,17,0)-'TRADE IN'!$F517=0,"",(VLOOKUP($C517,'ACESSÓRIOS REV'!$C:$AL,17,0)-'TRADE IN'!$F517))</f>
        <v>4499</v>
      </c>
      <c r="T517" s="166">
        <f>IF(VLOOKUP($C517,'ACESSÓRIOS REV'!$C:$AL,18,0)-'TRADE IN'!$F517=0,"",(VLOOKUP($C517,'ACESSÓRIOS REV'!$C:$AL,18,0)-'TRADE IN'!$F517))</f>
        <v>4199</v>
      </c>
      <c r="U517" s="166">
        <f>IF(VLOOKUP($C517,'ACESSÓRIOS REV'!$C:$AL,19,0)-'TRADE IN'!$F517=0,"",(VLOOKUP($C517,'ACESSÓRIOS REV'!$C:$AL,19,0)-'TRADE IN'!$F517))</f>
        <v>3999</v>
      </c>
      <c r="V517" s="166">
        <f>IF(VLOOKUP($C517,'ACESSÓRIOS REV'!$C:$AL,20,0)-'TRADE IN'!$F517=0,"",(VLOOKUP($C517,'ACESSÓRIOS REV'!$C:$AL,20,0)-'TRADE IN'!$F517))</f>
        <v>3999</v>
      </c>
      <c r="W517" s="166">
        <f>IF(VLOOKUP($C517,'ACESSÓRIOS REV'!$C:$AL,21,0)-'TRADE IN'!$F517=0,"",(VLOOKUP($C517,'ACESSÓRIOS REV'!$C:$AL,21,0)-'TRADE IN'!$F517))</f>
        <v>3899</v>
      </c>
      <c r="X517" s="166">
        <f>IF(VLOOKUP($C517,'ACESSÓRIOS REV'!$C:$AL,22,0)-'TRADE IN'!$F517=0,"",(VLOOKUP($C517,'ACESSÓRIOS REV'!$C:$AL,22,0)-'TRADE IN'!$F517))</f>
        <v>3899</v>
      </c>
      <c r="Y517" s="166">
        <f>IF(VLOOKUP($C517,'ACESSÓRIOS REV'!$C:$AL,23,0)-'TRADE IN'!$F517=0,"",(VLOOKUP($C517,'ACESSÓRIOS REV'!$C:$AL,23,0)-'TRADE IN'!$F517))</f>
        <v>3476</v>
      </c>
      <c r="Z517" s="166">
        <f>IF(VLOOKUP($C517,'ACESSÓRIOS REV'!$C:$AL,24,0)-'TRADE IN'!$F517=0,"",(VLOOKUP($C517,'ACESSÓRIOS REV'!$C:$AL,24,0)-'TRADE IN'!$F517))</f>
        <v>3476</v>
      </c>
      <c r="AA517" s="166">
        <f>IF(VLOOKUP($C517,'ACESSÓRIOS REV'!$C:$AL,25,0)-'TRADE IN'!$F517=0,"",(VLOOKUP($C517,'ACESSÓRIOS REV'!$C:$AL,25,0)-'TRADE IN'!$F517))</f>
        <v>3476</v>
      </c>
      <c r="AB517" s="166">
        <f>IF(VLOOKUP($C517,'ACESSÓRIOS REV'!$C:$AL,27,0)-'TRADE IN'!$F517=0,"",(VLOOKUP($C517,'ACESSÓRIOS REV'!$C:$AL,27,0)-'TRADE IN'!$F517))</f>
        <v>4599</v>
      </c>
      <c r="AC517" s="166">
        <f>IF(VLOOKUP($C517,'ACESSÓRIOS REV'!$C:$AL,28,0)-'TRADE IN'!$F517=0,"",(VLOOKUP($C517,'ACESSÓRIOS REV'!$C:$AL,28,0)-'TRADE IN'!$F517))</f>
        <v>4599</v>
      </c>
      <c r="AD517" s="166">
        <f>IF(VLOOKUP($C517,'ACESSÓRIOS REV'!$C:$AL,29,0)-'TRADE IN'!$F517=0,"",(VLOOKUP($C517,'ACESSÓRIOS REV'!$C:$AL,29,0)-'TRADE IN'!$F517))</f>
        <v>4599</v>
      </c>
      <c r="AE517" s="166">
        <f>IF(VLOOKUP($C517,'ACESSÓRIOS REV'!$C:$AL,30,0)-'TRADE IN'!$F517=0,"",(VLOOKUP($C517,'ACESSÓRIOS REV'!$C:$AL,30,0)-'TRADE IN'!$F517))</f>
        <v>4599</v>
      </c>
      <c r="AF517" s="166">
        <f>IF(VLOOKUP($C517,'ACESSÓRIOS REV'!$C:$AL,31,0)-'TRADE IN'!$F517=0,"",(VLOOKUP($C517,'ACESSÓRIOS REV'!$C:$AL,31,0)-'TRADE IN'!$F517))</f>
        <v>4599</v>
      </c>
      <c r="AG517" s="166">
        <f>IF(VLOOKUP($C517,'ACESSÓRIOS REV'!$C:$AL,31,0)-'TRADE IN'!$F517=0,"",(VLOOKUP($C517,'ACESSÓRIOS REV'!$C:$AL,31,0)-'TRADE IN'!$F517))</f>
        <v>4599</v>
      </c>
      <c r="AH517" s="166">
        <f>IF(VLOOKUP($C517,'ACESSÓRIOS REV'!$C:$AL,32,0)-'TRADE IN'!$F517=0,"",(VLOOKUP($C517,'ACESSÓRIOS REV'!$C:$AL,32,0)-'TRADE IN'!$F517))</f>
        <v>4599</v>
      </c>
      <c r="AI517" s="166">
        <f>IF(VLOOKUP($C517,'ACESSÓRIOS REV'!$C:$AL,33,0)-'TRADE IN'!$F517=0,"",(VLOOKUP($C517,'ACESSÓRIOS REV'!$C:$AL,33,0)-'TRADE IN'!$F517))</f>
        <v>3999</v>
      </c>
      <c r="AJ517" s="166">
        <f>IF(VLOOKUP($C517,'ACESSÓRIOS REV'!$C:$AL,34,0)-'TRADE IN'!$F517=0,"",(VLOOKUP($C517,'ACESSÓRIOS REV'!$C:$AL,34,0)-'TRADE IN'!$F517))</f>
        <v>3999</v>
      </c>
      <c r="AK517" s="166">
        <f>IF(VLOOKUP($C517,'ACESSÓRIOS REV'!$C:$AL,35,0)-'TRADE IN'!$F517=0,"",(VLOOKUP($C517,'ACESSÓRIOS REV'!$C:$AL,35,0)-'TRADE IN'!$F517))</f>
        <v>3999</v>
      </c>
      <c r="AL517" s="166">
        <f>IF(VLOOKUP($C517,'ACESSÓRIOS REV'!$C:$AL,36,0)-'TRADE IN'!$F517=0,"",(VLOOKUP($C517,'ACESSÓRIOS REV'!$C:$AL,36,0)-'TRADE IN'!$F517))</f>
        <v>3476</v>
      </c>
      <c r="AM517" s="151"/>
      <c r="AN517" s="151"/>
      <c r="AO517" s="151"/>
      <c r="AP517" s="151"/>
      <c r="AQ517" s="151"/>
      <c r="AR517" s="151"/>
      <c r="AS517" s="151"/>
      <c r="AT517" s="151"/>
      <c r="AU517" s="151"/>
      <c r="AW517" s="168" t="s">
        <v>746</v>
      </c>
    </row>
    <row r="518" spans="2:49" ht="22.5" customHeight="1">
      <c r="B518" s="122" t="s">
        <v>806</v>
      </c>
      <c r="C518" s="121">
        <v>4016958</v>
      </c>
      <c r="D518" s="164" t="s">
        <v>921</v>
      </c>
      <c r="E518" s="107" t="s">
        <v>922</v>
      </c>
      <c r="F518" s="165">
        <v>400</v>
      </c>
      <c r="G518" s="166"/>
      <c r="H518" s="166"/>
      <c r="I518" s="166"/>
      <c r="J518" s="166">
        <f>IF(VLOOKUP($C518,'ACESSÓRIOS REV'!$C:$AL,8,0)-'TRADE IN'!$F518=0,"",(VLOOKUP($C518,'ACESSÓRIOS REV'!$C:$AL,8,0)-'TRADE IN'!$F518))</f>
        <v>4599</v>
      </c>
      <c r="K518" s="166">
        <f>IF(VLOOKUP($C518,'ACESSÓRIOS REV'!$C:$AL,9,0)-'TRADE IN'!$F518=0,"",(VLOOKUP($C518,'ACESSÓRIOS REV'!$C:$AL,9,0)-'TRADE IN'!$F518))</f>
        <v>4599</v>
      </c>
      <c r="L518" s="166">
        <f>IF(VLOOKUP($C518,'ACESSÓRIOS REV'!$C:$AL,10,0)-'TRADE IN'!$F518=0,"",(VLOOKUP($C518,'ACESSÓRIOS REV'!$C:$AL,10,0)-'TRADE IN'!$F518))</f>
        <v>4599</v>
      </c>
      <c r="M518" s="166">
        <f>IF(VLOOKUP($C518,'ACESSÓRIOS REV'!$C:$AL,11,0)-'TRADE IN'!$F518=0,"",(VLOOKUP($C518,'ACESSÓRIOS REV'!$C:$AL,11,0)-'TRADE IN'!$F518))</f>
        <v>4599</v>
      </c>
      <c r="N518" s="166">
        <f>IF(VLOOKUP($C518,'ACESSÓRIOS REV'!$C:$AL,12,0)-'TRADE IN'!$F518=0,"",(VLOOKUP($C518,'ACESSÓRIOS REV'!$C:$AL,12,0)-'TRADE IN'!$F518))</f>
        <v>4599</v>
      </c>
      <c r="O518" s="166">
        <f>IF(VLOOKUP($C518,'ACESSÓRIOS REV'!$C:$AL,13,0)-'TRADE IN'!$F518=0,"",(VLOOKUP($C518,'ACESSÓRIOS REV'!$C:$AL,13,0)-'TRADE IN'!$F518))</f>
        <v>4599</v>
      </c>
      <c r="P518" s="166">
        <f>IF(VLOOKUP($C518,'ACESSÓRIOS REV'!$C:$AL,14,0)-'TRADE IN'!$F518=0,"",(VLOOKUP($C518,'ACESSÓRIOS REV'!$C:$AL,14,0)-'TRADE IN'!$F518))</f>
        <v>4599</v>
      </c>
      <c r="Q518" s="166">
        <f>IF(VLOOKUP($C518,'ACESSÓRIOS REV'!$C:$AL,15,0)-'TRADE IN'!$F518=0,"",(VLOOKUP($C518,'ACESSÓRIOS REV'!$C:$AL,15,0)-'TRADE IN'!$F518))</f>
        <v>3999</v>
      </c>
      <c r="R518" s="166">
        <f>IF(VLOOKUP($C518,'ACESSÓRIOS REV'!$C:$AL,16,0)-'TRADE IN'!$F518=0,"",(VLOOKUP($C518,'ACESSÓRIOS REV'!$C:$AL,16,0)-'TRADE IN'!$F518))</f>
        <v>4599</v>
      </c>
      <c r="S518" s="166">
        <f>IF(VLOOKUP($C518,'ACESSÓRIOS REV'!$C:$AL,17,0)-'TRADE IN'!$F518=0,"",(VLOOKUP($C518,'ACESSÓRIOS REV'!$C:$AL,17,0)-'TRADE IN'!$F518))</f>
        <v>4499</v>
      </c>
      <c r="T518" s="166">
        <f>IF(VLOOKUP($C518,'ACESSÓRIOS REV'!$C:$AL,18,0)-'TRADE IN'!$F518=0,"",(VLOOKUP($C518,'ACESSÓRIOS REV'!$C:$AL,18,0)-'TRADE IN'!$F518))</f>
        <v>4199</v>
      </c>
      <c r="U518" s="166">
        <f>IF(VLOOKUP($C518,'ACESSÓRIOS REV'!$C:$AL,19,0)-'TRADE IN'!$F518=0,"",(VLOOKUP($C518,'ACESSÓRIOS REV'!$C:$AL,19,0)-'TRADE IN'!$F518))</f>
        <v>3999</v>
      </c>
      <c r="V518" s="166">
        <f>IF(VLOOKUP($C518,'ACESSÓRIOS REV'!$C:$AL,20,0)-'TRADE IN'!$F518=0,"",(VLOOKUP($C518,'ACESSÓRIOS REV'!$C:$AL,20,0)-'TRADE IN'!$F518))</f>
        <v>3999</v>
      </c>
      <c r="W518" s="166">
        <f>IF(VLOOKUP($C518,'ACESSÓRIOS REV'!$C:$AL,21,0)-'TRADE IN'!$F518=0,"",(VLOOKUP($C518,'ACESSÓRIOS REV'!$C:$AL,21,0)-'TRADE IN'!$F518))</f>
        <v>3899</v>
      </c>
      <c r="X518" s="166">
        <f>IF(VLOOKUP($C518,'ACESSÓRIOS REV'!$C:$AL,22,0)-'TRADE IN'!$F518=0,"",(VLOOKUP($C518,'ACESSÓRIOS REV'!$C:$AL,22,0)-'TRADE IN'!$F518))</f>
        <v>3899</v>
      </c>
      <c r="Y518" s="166">
        <f>IF(VLOOKUP($C518,'ACESSÓRIOS REV'!$C:$AL,23,0)-'TRADE IN'!$F518=0,"",(VLOOKUP($C518,'ACESSÓRIOS REV'!$C:$AL,23,0)-'TRADE IN'!$F518))</f>
        <v>3476</v>
      </c>
      <c r="Z518" s="166">
        <f>IF(VLOOKUP($C518,'ACESSÓRIOS REV'!$C:$AL,24,0)-'TRADE IN'!$F518=0,"",(VLOOKUP($C518,'ACESSÓRIOS REV'!$C:$AL,24,0)-'TRADE IN'!$F518))</f>
        <v>3476</v>
      </c>
      <c r="AA518" s="166">
        <f>IF(VLOOKUP($C518,'ACESSÓRIOS REV'!$C:$AL,25,0)-'TRADE IN'!$F518=0,"",(VLOOKUP($C518,'ACESSÓRIOS REV'!$C:$AL,25,0)-'TRADE IN'!$F518))</f>
        <v>3476</v>
      </c>
      <c r="AB518" s="166">
        <f>IF(VLOOKUP($C518,'ACESSÓRIOS REV'!$C:$AL,27,0)-'TRADE IN'!$F518=0,"",(VLOOKUP($C518,'ACESSÓRIOS REV'!$C:$AL,27,0)-'TRADE IN'!$F518))</f>
        <v>4599</v>
      </c>
      <c r="AC518" s="166">
        <f>IF(VLOOKUP($C518,'ACESSÓRIOS REV'!$C:$AL,28,0)-'TRADE IN'!$F518=0,"",(VLOOKUP($C518,'ACESSÓRIOS REV'!$C:$AL,28,0)-'TRADE IN'!$F518))</f>
        <v>4599</v>
      </c>
      <c r="AD518" s="166">
        <f>IF(VLOOKUP($C518,'ACESSÓRIOS REV'!$C:$AL,29,0)-'TRADE IN'!$F518=0,"",(VLOOKUP($C518,'ACESSÓRIOS REV'!$C:$AL,29,0)-'TRADE IN'!$F518))</f>
        <v>4599</v>
      </c>
      <c r="AE518" s="166">
        <f>IF(VLOOKUP($C518,'ACESSÓRIOS REV'!$C:$AL,30,0)-'TRADE IN'!$F518=0,"",(VLOOKUP($C518,'ACESSÓRIOS REV'!$C:$AL,30,0)-'TRADE IN'!$F518))</f>
        <v>4599</v>
      </c>
      <c r="AF518" s="166">
        <f>IF(VLOOKUP($C518,'ACESSÓRIOS REV'!$C:$AL,31,0)-'TRADE IN'!$F518=0,"",(VLOOKUP($C518,'ACESSÓRIOS REV'!$C:$AL,31,0)-'TRADE IN'!$F518))</f>
        <v>4599</v>
      </c>
      <c r="AG518" s="166">
        <f>IF(VLOOKUP($C518,'ACESSÓRIOS REV'!$C:$AL,31,0)-'TRADE IN'!$F518=0,"",(VLOOKUP($C518,'ACESSÓRIOS REV'!$C:$AL,31,0)-'TRADE IN'!$F518))</f>
        <v>4599</v>
      </c>
      <c r="AH518" s="166">
        <f>IF(VLOOKUP($C518,'ACESSÓRIOS REV'!$C:$AL,32,0)-'TRADE IN'!$F518=0,"",(VLOOKUP($C518,'ACESSÓRIOS REV'!$C:$AL,32,0)-'TRADE IN'!$F518))</f>
        <v>4599</v>
      </c>
      <c r="AI518" s="166">
        <f>IF(VLOOKUP($C518,'ACESSÓRIOS REV'!$C:$AL,33,0)-'TRADE IN'!$F518=0,"",(VLOOKUP($C518,'ACESSÓRIOS REV'!$C:$AL,33,0)-'TRADE IN'!$F518))</f>
        <v>3999</v>
      </c>
      <c r="AJ518" s="166">
        <f>IF(VLOOKUP($C518,'ACESSÓRIOS REV'!$C:$AL,34,0)-'TRADE IN'!$F518=0,"",(VLOOKUP($C518,'ACESSÓRIOS REV'!$C:$AL,34,0)-'TRADE IN'!$F518))</f>
        <v>3999</v>
      </c>
      <c r="AK518" s="166">
        <f>IF(VLOOKUP($C518,'ACESSÓRIOS REV'!$C:$AL,35,0)-'TRADE IN'!$F518=0,"",(VLOOKUP($C518,'ACESSÓRIOS REV'!$C:$AL,35,0)-'TRADE IN'!$F518))</f>
        <v>3999</v>
      </c>
      <c r="AL518" s="166">
        <f>IF(VLOOKUP($C518,'ACESSÓRIOS REV'!$C:$AL,36,0)-'TRADE IN'!$F518=0,"",(VLOOKUP($C518,'ACESSÓRIOS REV'!$C:$AL,36,0)-'TRADE IN'!$F518))</f>
        <v>3476</v>
      </c>
      <c r="AM518" s="151"/>
      <c r="AN518" s="151"/>
      <c r="AO518" s="151"/>
      <c r="AP518" s="151"/>
      <c r="AQ518" s="151"/>
      <c r="AR518" s="151"/>
      <c r="AS518" s="151"/>
      <c r="AT518" s="151"/>
      <c r="AU518" s="151"/>
      <c r="AW518" s="168" t="s">
        <v>746</v>
      </c>
    </row>
    <row r="519" spans="2:49" ht="22.5" customHeight="1">
      <c r="B519" s="122" t="s">
        <v>747</v>
      </c>
      <c r="C519" s="121">
        <v>4017128</v>
      </c>
      <c r="D519" s="164" t="s">
        <v>923</v>
      </c>
      <c r="E519" s="107" t="s">
        <v>924</v>
      </c>
      <c r="F519" s="165">
        <v>400</v>
      </c>
      <c r="G519" s="166"/>
      <c r="H519" s="166"/>
      <c r="I519" s="166"/>
      <c r="J519" s="166">
        <f>IF(VLOOKUP($C519,'ACESSÓRIOS REV'!$C:$AL,8,0)-'TRADE IN'!$F519=0,"",(VLOOKUP($C519,'ACESSÓRIOS REV'!$C:$AL,8,0)-'TRADE IN'!$F519))</f>
        <v>4599</v>
      </c>
      <c r="K519" s="166">
        <f>IF(VLOOKUP($C519,'ACESSÓRIOS REV'!$C:$AL,9,0)-'TRADE IN'!$F519=0,"",(VLOOKUP($C519,'ACESSÓRIOS REV'!$C:$AL,9,0)-'TRADE IN'!$F519))</f>
        <v>4599</v>
      </c>
      <c r="L519" s="166">
        <f>IF(VLOOKUP($C519,'ACESSÓRIOS REV'!$C:$AL,10,0)-'TRADE IN'!$F519=0,"",(VLOOKUP($C519,'ACESSÓRIOS REV'!$C:$AL,10,0)-'TRADE IN'!$F519))</f>
        <v>4599</v>
      </c>
      <c r="M519" s="166">
        <f>IF(VLOOKUP($C519,'ACESSÓRIOS REV'!$C:$AL,11,0)-'TRADE IN'!$F519=0,"",(VLOOKUP($C519,'ACESSÓRIOS REV'!$C:$AL,11,0)-'TRADE IN'!$F519))</f>
        <v>4599</v>
      </c>
      <c r="N519" s="166">
        <f>IF(VLOOKUP($C519,'ACESSÓRIOS REV'!$C:$AL,12,0)-'TRADE IN'!$F519=0,"",(VLOOKUP($C519,'ACESSÓRIOS REV'!$C:$AL,12,0)-'TRADE IN'!$F519))</f>
        <v>4599</v>
      </c>
      <c r="O519" s="166">
        <f>IF(VLOOKUP($C519,'ACESSÓRIOS REV'!$C:$AL,13,0)-'TRADE IN'!$F519=0,"",(VLOOKUP($C519,'ACESSÓRIOS REV'!$C:$AL,13,0)-'TRADE IN'!$F519))</f>
        <v>4599</v>
      </c>
      <c r="P519" s="166">
        <f>IF(VLOOKUP($C519,'ACESSÓRIOS REV'!$C:$AL,14,0)-'TRADE IN'!$F519=0,"",(VLOOKUP($C519,'ACESSÓRIOS REV'!$C:$AL,14,0)-'TRADE IN'!$F519))</f>
        <v>4599</v>
      </c>
      <c r="Q519" s="166">
        <f>IF(VLOOKUP($C519,'ACESSÓRIOS REV'!$C:$AL,15,0)-'TRADE IN'!$F519=0,"",(VLOOKUP($C519,'ACESSÓRIOS REV'!$C:$AL,15,0)-'TRADE IN'!$F519))</f>
        <v>3999</v>
      </c>
      <c r="R519" s="166">
        <f>IF(VLOOKUP($C519,'ACESSÓRIOS REV'!$C:$AL,16,0)-'TRADE IN'!$F519=0,"",(VLOOKUP($C519,'ACESSÓRIOS REV'!$C:$AL,16,0)-'TRADE IN'!$F519))</f>
        <v>4599</v>
      </c>
      <c r="S519" s="166">
        <f>IF(VLOOKUP($C519,'ACESSÓRIOS REV'!$C:$AL,17,0)-'TRADE IN'!$F519=0,"",(VLOOKUP($C519,'ACESSÓRIOS REV'!$C:$AL,17,0)-'TRADE IN'!$F519))</f>
        <v>4499</v>
      </c>
      <c r="T519" s="166">
        <f>IF(VLOOKUP($C519,'ACESSÓRIOS REV'!$C:$AL,18,0)-'TRADE IN'!$F519=0,"",(VLOOKUP($C519,'ACESSÓRIOS REV'!$C:$AL,18,0)-'TRADE IN'!$F519))</f>
        <v>4199</v>
      </c>
      <c r="U519" s="166">
        <f>IF(VLOOKUP($C519,'ACESSÓRIOS REV'!$C:$AL,19,0)-'TRADE IN'!$F519=0,"",(VLOOKUP($C519,'ACESSÓRIOS REV'!$C:$AL,19,0)-'TRADE IN'!$F519))</f>
        <v>3999</v>
      </c>
      <c r="V519" s="166">
        <f>IF(VLOOKUP($C519,'ACESSÓRIOS REV'!$C:$AL,20,0)-'TRADE IN'!$F519=0,"",(VLOOKUP($C519,'ACESSÓRIOS REV'!$C:$AL,20,0)-'TRADE IN'!$F519))</f>
        <v>3999</v>
      </c>
      <c r="W519" s="166">
        <f>IF(VLOOKUP($C519,'ACESSÓRIOS REV'!$C:$AL,21,0)-'TRADE IN'!$F519=0,"",(VLOOKUP($C519,'ACESSÓRIOS REV'!$C:$AL,21,0)-'TRADE IN'!$F519))</f>
        <v>3899</v>
      </c>
      <c r="X519" s="166">
        <f>IF(VLOOKUP($C519,'ACESSÓRIOS REV'!$C:$AL,22,0)-'TRADE IN'!$F519=0,"",(VLOOKUP($C519,'ACESSÓRIOS REV'!$C:$AL,22,0)-'TRADE IN'!$F519))</f>
        <v>3899</v>
      </c>
      <c r="Y519" s="166">
        <f>IF(VLOOKUP($C519,'ACESSÓRIOS REV'!$C:$AL,23,0)-'TRADE IN'!$F519=0,"",(VLOOKUP($C519,'ACESSÓRIOS REV'!$C:$AL,23,0)-'TRADE IN'!$F519))</f>
        <v>3476</v>
      </c>
      <c r="Z519" s="166">
        <f>IF(VLOOKUP($C519,'ACESSÓRIOS REV'!$C:$AL,24,0)-'TRADE IN'!$F519=0,"",(VLOOKUP($C519,'ACESSÓRIOS REV'!$C:$AL,24,0)-'TRADE IN'!$F519))</f>
        <v>3476</v>
      </c>
      <c r="AA519" s="166">
        <f>IF(VLOOKUP($C519,'ACESSÓRIOS REV'!$C:$AL,25,0)-'TRADE IN'!$F519=0,"",(VLOOKUP($C519,'ACESSÓRIOS REV'!$C:$AL,25,0)-'TRADE IN'!$F519))</f>
        <v>3476</v>
      </c>
      <c r="AB519" s="166">
        <f>IF(VLOOKUP($C519,'ACESSÓRIOS REV'!$C:$AL,27,0)-'TRADE IN'!$F519=0,"",(VLOOKUP($C519,'ACESSÓRIOS REV'!$C:$AL,27,0)-'TRADE IN'!$F519))</f>
        <v>4599</v>
      </c>
      <c r="AC519" s="166">
        <f>IF(VLOOKUP($C519,'ACESSÓRIOS REV'!$C:$AL,28,0)-'TRADE IN'!$F519=0,"",(VLOOKUP($C519,'ACESSÓRIOS REV'!$C:$AL,28,0)-'TRADE IN'!$F519))</f>
        <v>4599</v>
      </c>
      <c r="AD519" s="166">
        <f>IF(VLOOKUP($C519,'ACESSÓRIOS REV'!$C:$AL,29,0)-'TRADE IN'!$F519=0,"",(VLOOKUP($C519,'ACESSÓRIOS REV'!$C:$AL,29,0)-'TRADE IN'!$F519))</f>
        <v>4599</v>
      </c>
      <c r="AE519" s="166">
        <f>IF(VLOOKUP($C519,'ACESSÓRIOS REV'!$C:$AL,30,0)-'TRADE IN'!$F519=0,"",(VLOOKUP($C519,'ACESSÓRIOS REV'!$C:$AL,30,0)-'TRADE IN'!$F519))</f>
        <v>4599</v>
      </c>
      <c r="AF519" s="166">
        <f>IF(VLOOKUP($C519,'ACESSÓRIOS REV'!$C:$AL,31,0)-'TRADE IN'!$F519=0,"",(VLOOKUP($C519,'ACESSÓRIOS REV'!$C:$AL,31,0)-'TRADE IN'!$F519))</f>
        <v>4599</v>
      </c>
      <c r="AG519" s="166">
        <f>IF(VLOOKUP($C519,'ACESSÓRIOS REV'!$C:$AL,31,0)-'TRADE IN'!$F519=0,"",(VLOOKUP($C519,'ACESSÓRIOS REV'!$C:$AL,31,0)-'TRADE IN'!$F519))</f>
        <v>4599</v>
      </c>
      <c r="AH519" s="166">
        <f>IF(VLOOKUP($C519,'ACESSÓRIOS REV'!$C:$AL,32,0)-'TRADE IN'!$F519=0,"",(VLOOKUP($C519,'ACESSÓRIOS REV'!$C:$AL,32,0)-'TRADE IN'!$F519))</f>
        <v>4599</v>
      </c>
      <c r="AI519" s="166">
        <f>IF(VLOOKUP($C519,'ACESSÓRIOS REV'!$C:$AL,33,0)-'TRADE IN'!$F519=0,"",(VLOOKUP($C519,'ACESSÓRIOS REV'!$C:$AL,33,0)-'TRADE IN'!$F519))</f>
        <v>3999</v>
      </c>
      <c r="AJ519" s="166">
        <f>IF(VLOOKUP($C519,'ACESSÓRIOS REV'!$C:$AL,34,0)-'TRADE IN'!$F519=0,"",(VLOOKUP($C519,'ACESSÓRIOS REV'!$C:$AL,34,0)-'TRADE IN'!$F519))</f>
        <v>3999</v>
      </c>
      <c r="AK519" s="166">
        <f>IF(VLOOKUP($C519,'ACESSÓRIOS REV'!$C:$AL,35,0)-'TRADE IN'!$F519=0,"",(VLOOKUP($C519,'ACESSÓRIOS REV'!$C:$AL,35,0)-'TRADE IN'!$F519))</f>
        <v>3999</v>
      </c>
      <c r="AL519" s="166">
        <f>IF(VLOOKUP($C519,'ACESSÓRIOS REV'!$C:$AL,36,0)-'TRADE IN'!$F519=0,"",(VLOOKUP($C519,'ACESSÓRIOS REV'!$C:$AL,36,0)-'TRADE IN'!$F519))</f>
        <v>3476</v>
      </c>
      <c r="AM519" s="151"/>
      <c r="AN519" s="151"/>
      <c r="AO519" s="151"/>
      <c r="AP519" s="151"/>
      <c r="AQ519" s="151"/>
      <c r="AR519" s="151"/>
      <c r="AS519" s="151"/>
      <c r="AT519" s="151"/>
      <c r="AU519" s="151"/>
      <c r="AW519" s="168" t="s">
        <v>746</v>
      </c>
    </row>
    <row r="520" spans="2:49" ht="22.5" customHeight="1">
      <c r="B520" s="122" t="s">
        <v>806</v>
      </c>
      <c r="C520" s="121">
        <v>4017326</v>
      </c>
      <c r="D520" s="164" t="s">
        <v>925</v>
      </c>
      <c r="E520" s="107" t="s">
        <v>926</v>
      </c>
      <c r="F520" s="165">
        <v>400</v>
      </c>
      <c r="G520" s="166"/>
      <c r="H520" s="166"/>
      <c r="I520" s="166"/>
      <c r="J520" s="166">
        <f>IF(VLOOKUP($C520,'ACESSÓRIOS REV'!$C:$AL,8,0)-'TRADE IN'!$F520=0,"",(VLOOKUP($C520,'ACESSÓRIOS REV'!$C:$AL,8,0)-'TRADE IN'!$F520))</f>
        <v>4599</v>
      </c>
      <c r="K520" s="166">
        <f>IF(VLOOKUP($C520,'ACESSÓRIOS REV'!$C:$AL,9,0)-'TRADE IN'!$F520=0,"",(VLOOKUP($C520,'ACESSÓRIOS REV'!$C:$AL,9,0)-'TRADE IN'!$F520))</f>
        <v>4599</v>
      </c>
      <c r="L520" s="166">
        <f>IF(VLOOKUP($C520,'ACESSÓRIOS REV'!$C:$AL,10,0)-'TRADE IN'!$F520=0,"",(VLOOKUP($C520,'ACESSÓRIOS REV'!$C:$AL,10,0)-'TRADE IN'!$F520))</f>
        <v>4599</v>
      </c>
      <c r="M520" s="166">
        <f>IF(VLOOKUP($C520,'ACESSÓRIOS REV'!$C:$AL,11,0)-'TRADE IN'!$F520=0,"",(VLOOKUP($C520,'ACESSÓRIOS REV'!$C:$AL,11,0)-'TRADE IN'!$F520))</f>
        <v>4599</v>
      </c>
      <c r="N520" s="166">
        <f>IF(VLOOKUP($C520,'ACESSÓRIOS REV'!$C:$AL,12,0)-'TRADE IN'!$F520=0,"",(VLOOKUP($C520,'ACESSÓRIOS REV'!$C:$AL,12,0)-'TRADE IN'!$F520))</f>
        <v>4599</v>
      </c>
      <c r="O520" s="166">
        <f>IF(VLOOKUP($C520,'ACESSÓRIOS REV'!$C:$AL,13,0)-'TRADE IN'!$F520=0,"",(VLOOKUP($C520,'ACESSÓRIOS REV'!$C:$AL,13,0)-'TRADE IN'!$F520))</f>
        <v>4599</v>
      </c>
      <c r="P520" s="166">
        <f>IF(VLOOKUP($C520,'ACESSÓRIOS REV'!$C:$AL,14,0)-'TRADE IN'!$F520=0,"",(VLOOKUP($C520,'ACESSÓRIOS REV'!$C:$AL,14,0)-'TRADE IN'!$F520))</f>
        <v>4599</v>
      </c>
      <c r="Q520" s="166">
        <f>IF(VLOOKUP($C520,'ACESSÓRIOS REV'!$C:$AL,15,0)-'TRADE IN'!$F520=0,"",(VLOOKUP($C520,'ACESSÓRIOS REV'!$C:$AL,15,0)-'TRADE IN'!$F520))</f>
        <v>3999</v>
      </c>
      <c r="R520" s="166">
        <f>IF(VLOOKUP($C520,'ACESSÓRIOS REV'!$C:$AL,16,0)-'TRADE IN'!$F520=0,"",(VLOOKUP($C520,'ACESSÓRIOS REV'!$C:$AL,16,0)-'TRADE IN'!$F520))</f>
        <v>4599</v>
      </c>
      <c r="S520" s="166">
        <f>IF(VLOOKUP($C520,'ACESSÓRIOS REV'!$C:$AL,17,0)-'TRADE IN'!$F520=0,"",(VLOOKUP($C520,'ACESSÓRIOS REV'!$C:$AL,17,0)-'TRADE IN'!$F520))</f>
        <v>4499</v>
      </c>
      <c r="T520" s="166">
        <f>IF(VLOOKUP($C520,'ACESSÓRIOS REV'!$C:$AL,18,0)-'TRADE IN'!$F520=0,"",(VLOOKUP($C520,'ACESSÓRIOS REV'!$C:$AL,18,0)-'TRADE IN'!$F520))</f>
        <v>4199</v>
      </c>
      <c r="U520" s="166">
        <f>IF(VLOOKUP($C520,'ACESSÓRIOS REV'!$C:$AL,19,0)-'TRADE IN'!$F520=0,"",(VLOOKUP($C520,'ACESSÓRIOS REV'!$C:$AL,19,0)-'TRADE IN'!$F520))</f>
        <v>3999</v>
      </c>
      <c r="V520" s="166">
        <f>IF(VLOOKUP($C520,'ACESSÓRIOS REV'!$C:$AL,20,0)-'TRADE IN'!$F520=0,"",(VLOOKUP($C520,'ACESSÓRIOS REV'!$C:$AL,20,0)-'TRADE IN'!$F520))</f>
        <v>3999</v>
      </c>
      <c r="W520" s="166">
        <f>IF(VLOOKUP($C520,'ACESSÓRIOS REV'!$C:$AL,21,0)-'TRADE IN'!$F520=0,"",(VLOOKUP($C520,'ACESSÓRIOS REV'!$C:$AL,21,0)-'TRADE IN'!$F520))</f>
        <v>3899</v>
      </c>
      <c r="X520" s="166">
        <f>IF(VLOOKUP($C520,'ACESSÓRIOS REV'!$C:$AL,22,0)-'TRADE IN'!$F520=0,"",(VLOOKUP($C520,'ACESSÓRIOS REV'!$C:$AL,22,0)-'TRADE IN'!$F520))</f>
        <v>3899</v>
      </c>
      <c r="Y520" s="166">
        <f>IF(VLOOKUP($C520,'ACESSÓRIOS REV'!$C:$AL,23,0)-'TRADE IN'!$F520=0,"",(VLOOKUP($C520,'ACESSÓRIOS REV'!$C:$AL,23,0)-'TRADE IN'!$F520))</f>
        <v>3476</v>
      </c>
      <c r="Z520" s="166">
        <f>IF(VLOOKUP($C520,'ACESSÓRIOS REV'!$C:$AL,24,0)-'TRADE IN'!$F520=0,"",(VLOOKUP($C520,'ACESSÓRIOS REV'!$C:$AL,24,0)-'TRADE IN'!$F520))</f>
        <v>3476</v>
      </c>
      <c r="AA520" s="166">
        <f>IF(VLOOKUP($C520,'ACESSÓRIOS REV'!$C:$AL,25,0)-'TRADE IN'!$F520=0,"",(VLOOKUP($C520,'ACESSÓRIOS REV'!$C:$AL,25,0)-'TRADE IN'!$F520))</f>
        <v>3476</v>
      </c>
      <c r="AB520" s="166">
        <f>IF(VLOOKUP($C520,'ACESSÓRIOS REV'!$C:$AL,27,0)-'TRADE IN'!$F520=0,"",(VLOOKUP($C520,'ACESSÓRIOS REV'!$C:$AL,27,0)-'TRADE IN'!$F520))</f>
        <v>4599</v>
      </c>
      <c r="AC520" s="166">
        <f>IF(VLOOKUP($C520,'ACESSÓRIOS REV'!$C:$AL,28,0)-'TRADE IN'!$F520=0,"",(VLOOKUP($C520,'ACESSÓRIOS REV'!$C:$AL,28,0)-'TRADE IN'!$F520))</f>
        <v>4599</v>
      </c>
      <c r="AD520" s="166">
        <f>IF(VLOOKUP($C520,'ACESSÓRIOS REV'!$C:$AL,29,0)-'TRADE IN'!$F520=0,"",(VLOOKUP($C520,'ACESSÓRIOS REV'!$C:$AL,29,0)-'TRADE IN'!$F520))</f>
        <v>4599</v>
      </c>
      <c r="AE520" s="166">
        <f>IF(VLOOKUP($C520,'ACESSÓRIOS REV'!$C:$AL,30,0)-'TRADE IN'!$F520=0,"",(VLOOKUP($C520,'ACESSÓRIOS REV'!$C:$AL,30,0)-'TRADE IN'!$F520))</f>
        <v>4599</v>
      </c>
      <c r="AF520" s="166">
        <f>IF(VLOOKUP($C520,'ACESSÓRIOS REV'!$C:$AL,31,0)-'TRADE IN'!$F520=0,"",(VLOOKUP($C520,'ACESSÓRIOS REV'!$C:$AL,31,0)-'TRADE IN'!$F520))</f>
        <v>4599</v>
      </c>
      <c r="AG520" s="166">
        <f>IF(VLOOKUP($C520,'ACESSÓRIOS REV'!$C:$AL,31,0)-'TRADE IN'!$F520=0,"",(VLOOKUP($C520,'ACESSÓRIOS REV'!$C:$AL,31,0)-'TRADE IN'!$F520))</f>
        <v>4599</v>
      </c>
      <c r="AH520" s="166">
        <f>IF(VLOOKUP($C520,'ACESSÓRIOS REV'!$C:$AL,32,0)-'TRADE IN'!$F520=0,"",(VLOOKUP($C520,'ACESSÓRIOS REV'!$C:$AL,32,0)-'TRADE IN'!$F520))</f>
        <v>4599</v>
      </c>
      <c r="AI520" s="166">
        <f>IF(VLOOKUP($C520,'ACESSÓRIOS REV'!$C:$AL,33,0)-'TRADE IN'!$F520=0,"",(VLOOKUP($C520,'ACESSÓRIOS REV'!$C:$AL,33,0)-'TRADE IN'!$F520))</f>
        <v>3999</v>
      </c>
      <c r="AJ520" s="166">
        <f>IF(VLOOKUP($C520,'ACESSÓRIOS REV'!$C:$AL,34,0)-'TRADE IN'!$F520=0,"",(VLOOKUP($C520,'ACESSÓRIOS REV'!$C:$AL,34,0)-'TRADE IN'!$F520))</f>
        <v>3999</v>
      </c>
      <c r="AK520" s="166">
        <f>IF(VLOOKUP($C520,'ACESSÓRIOS REV'!$C:$AL,35,0)-'TRADE IN'!$F520=0,"",(VLOOKUP($C520,'ACESSÓRIOS REV'!$C:$AL,35,0)-'TRADE IN'!$F520))</f>
        <v>3999</v>
      </c>
      <c r="AL520" s="166">
        <f>IF(VLOOKUP($C520,'ACESSÓRIOS REV'!$C:$AL,36,0)-'TRADE IN'!$F520=0,"",(VLOOKUP($C520,'ACESSÓRIOS REV'!$C:$AL,36,0)-'TRADE IN'!$F520))</f>
        <v>3476</v>
      </c>
      <c r="AM520" s="151"/>
      <c r="AN520" s="151"/>
      <c r="AO520" s="151"/>
      <c r="AP520" s="151"/>
      <c r="AQ520" s="151"/>
      <c r="AR520" s="151"/>
      <c r="AS520" s="151"/>
      <c r="AT520" s="151"/>
      <c r="AU520" s="151"/>
      <c r="AW520" s="168" t="s">
        <v>746</v>
      </c>
    </row>
    <row r="521" spans="2:49" ht="22.5" customHeight="1">
      <c r="B521" s="122" t="s">
        <v>820</v>
      </c>
      <c r="C521" s="121">
        <v>4017240</v>
      </c>
      <c r="D521" s="130" t="s">
        <v>960</v>
      </c>
      <c r="E521" s="107" t="s">
        <v>961</v>
      </c>
      <c r="F521" s="169"/>
      <c r="G521" s="166"/>
      <c r="H521" s="166"/>
      <c r="I521" s="166"/>
      <c r="J521" s="166">
        <f>IF(VLOOKUP($C521,'ACESSÓRIOS REV'!$C:$AL,8,0)-'TRADE IN'!$F521=0,"",(VLOOKUP($C521,'ACESSÓRIOS REV'!$C:$AL,8,0)-'TRADE IN'!$F521))</f>
        <v>1949</v>
      </c>
      <c r="K521" s="166">
        <f>IF(VLOOKUP($C521,'ACESSÓRIOS REV'!$C:$AL,9,0)-'TRADE IN'!$F521=0,"",(VLOOKUP($C521,'ACESSÓRIOS REV'!$C:$AL,9,0)-'TRADE IN'!$F521))</f>
        <v>1949</v>
      </c>
      <c r="L521" s="166">
        <f>IF(VLOOKUP($C521,'ACESSÓRIOS REV'!$C:$AL,10,0)-'TRADE IN'!$F521=0,"",(VLOOKUP($C521,'ACESSÓRIOS REV'!$C:$AL,10,0)-'TRADE IN'!$F521))</f>
        <v>1949</v>
      </c>
      <c r="M521" s="166">
        <f>IF(VLOOKUP($C521,'ACESSÓRIOS REV'!$C:$AL,11,0)-'TRADE IN'!$F521=0,"",(VLOOKUP($C521,'ACESSÓRIOS REV'!$C:$AL,11,0)-'TRADE IN'!$F521))</f>
        <v>1949</v>
      </c>
      <c r="N521" s="166">
        <f>IF(VLOOKUP($C521,'ACESSÓRIOS REV'!$C:$AL,12,0)-'TRADE IN'!$F521=0,"",(VLOOKUP($C521,'ACESSÓRIOS REV'!$C:$AL,12,0)-'TRADE IN'!$F521))</f>
        <v>1949</v>
      </c>
      <c r="O521" s="166">
        <f>IF(VLOOKUP($C521,'ACESSÓRIOS REV'!$C:$AL,13,0)-'TRADE IN'!$F521=0,"",(VLOOKUP($C521,'ACESSÓRIOS REV'!$C:$AL,13,0)-'TRADE IN'!$F521))</f>
        <v>1899</v>
      </c>
      <c r="P521" s="166">
        <f>IF(VLOOKUP($C521,'ACESSÓRIOS REV'!$C:$AL,14,0)-'TRADE IN'!$F521=0,"",(VLOOKUP($C521,'ACESSÓRIOS REV'!$C:$AL,14,0)-'TRADE IN'!$F521))</f>
        <v>1799</v>
      </c>
      <c r="Q521" s="166">
        <f>IF(VLOOKUP($C521,'ACESSÓRIOS REV'!$C:$AL,15,0)-'TRADE IN'!$F521=0,"",(VLOOKUP($C521,'ACESSÓRIOS REV'!$C:$AL,15,0)-'TRADE IN'!$F521))</f>
        <v>1599</v>
      </c>
      <c r="R521" s="166">
        <f>IF(VLOOKUP($C521,'ACESSÓRIOS REV'!$C:$AL,16,0)-'TRADE IN'!$F521=0,"",(VLOOKUP($C521,'ACESSÓRIOS REV'!$C:$AL,16,0)-'TRADE IN'!$F521))</f>
        <v>1899</v>
      </c>
      <c r="S521" s="166">
        <f>IF(VLOOKUP($C521,'ACESSÓRIOS REV'!$C:$AL,17,0)-'TRADE IN'!$F521=0,"",(VLOOKUP($C521,'ACESSÓRIOS REV'!$C:$AL,17,0)-'TRADE IN'!$F521))</f>
        <v>1799</v>
      </c>
      <c r="T521" s="166">
        <f>IF(VLOOKUP($C521,'ACESSÓRIOS REV'!$C:$AL,18,0)-'TRADE IN'!$F521=0,"",(VLOOKUP($C521,'ACESSÓRIOS REV'!$C:$AL,18,0)-'TRADE IN'!$F521))</f>
        <v>1599</v>
      </c>
      <c r="U521" s="166">
        <f>IF(VLOOKUP($C521,'ACESSÓRIOS REV'!$C:$AL,19,0)-'TRADE IN'!$F521=0,"",(VLOOKUP($C521,'ACESSÓRIOS REV'!$C:$AL,19,0)-'TRADE IN'!$F521))</f>
        <v>1599</v>
      </c>
      <c r="V521" s="166">
        <f>IF(VLOOKUP($C521,'ACESSÓRIOS REV'!$C:$AL,20,0)-'TRADE IN'!$F521=0,"",(VLOOKUP($C521,'ACESSÓRIOS REV'!$C:$AL,20,0)-'TRADE IN'!$F521))</f>
        <v>1599</v>
      </c>
      <c r="W521" s="166">
        <f>IF(VLOOKUP($C521,'ACESSÓRIOS REV'!$C:$AL,21,0)-'TRADE IN'!$F521=0,"",(VLOOKUP($C521,'ACESSÓRIOS REV'!$C:$AL,21,0)-'TRADE IN'!$F521))</f>
        <v>1599</v>
      </c>
      <c r="X521" s="166">
        <f>IF(VLOOKUP($C521,'ACESSÓRIOS REV'!$C:$AL,22,0)-'TRADE IN'!$F521=0,"",(VLOOKUP($C521,'ACESSÓRIOS REV'!$C:$AL,22,0)-'TRADE IN'!$F521))</f>
        <v>1499</v>
      </c>
      <c r="Y521" s="166">
        <f>IF(VLOOKUP($C521,'ACESSÓRIOS REV'!$C:$AL,23,0)-'TRADE IN'!$F521=0,"",(VLOOKUP($C521,'ACESSÓRIOS REV'!$C:$AL,23,0)-'TRADE IN'!$F521))</f>
        <v>999</v>
      </c>
      <c r="Z521" s="166">
        <f>IF(VLOOKUP($C521,'ACESSÓRIOS REV'!$C:$AL,24,0)-'TRADE IN'!$F521=0,"",(VLOOKUP($C521,'ACESSÓRIOS REV'!$C:$AL,24,0)-'TRADE IN'!$F521))</f>
        <v>999</v>
      </c>
      <c r="AA521" s="166">
        <f>IF(VLOOKUP($C521,'ACESSÓRIOS REV'!$C:$AL,25,0)-'TRADE IN'!$F521=0,"",(VLOOKUP($C521,'ACESSÓRIOS REV'!$C:$AL,25,0)-'TRADE IN'!$F521))</f>
        <v>999</v>
      </c>
      <c r="AB521" s="166" t="str">
        <f>IF(VLOOKUP($C521,'ACESSÓRIOS REV'!$C:$AL,27,0)-'TRADE IN'!$F521=0,"",(VLOOKUP($C521,'ACESSÓRIOS REV'!$C:$AL,27,0)-'TRADE IN'!$F521))</f>
        <v/>
      </c>
      <c r="AC521" s="166" t="str">
        <f>IF(VLOOKUP($C521,'ACESSÓRIOS REV'!$C:$AL,28,0)-'TRADE IN'!$F521=0,"",(VLOOKUP($C521,'ACESSÓRIOS REV'!$C:$AL,28,0)-'TRADE IN'!$F521))</f>
        <v/>
      </c>
      <c r="AD521" s="166" t="str">
        <f>IF(VLOOKUP($C521,'ACESSÓRIOS REV'!$C:$AL,29,0)-'TRADE IN'!$F521=0,"",(VLOOKUP($C521,'ACESSÓRIOS REV'!$C:$AL,29,0)-'TRADE IN'!$F521))</f>
        <v/>
      </c>
      <c r="AE521" s="166" t="str">
        <f>IF(VLOOKUP($C521,'ACESSÓRIOS REV'!$C:$AL,30,0)-'TRADE IN'!$F521=0,"",(VLOOKUP($C521,'ACESSÓRIOS REV'!$C:$AL,30,0)-'TRADE IN'!$F521))</f>
        <v/>
      </c>
      <c r="AF521" s="166" t="str">
        <f>IF(VLOOKUP($C521,'ACESSÓRIOS REV'!$C:$AL,31,0)-'TRADE IN'!$F521=0,"",(VLOOKUP($C521,'ACESSÓRIOS REV'!$C:$AL,31,0)-'TRADE IN'!$F521))</f>
        <v/>
      </c>
      <c r="AG521" s="166" t="str">
        <f>IF(VLOOKUP($C521,'ACESSÓRIOS REV'!$C:$AL,31,0)-'TRADE IN'!$F521=0,"",(VLOOKUP($C521,'ACESSÓRIOS REV'!$C:$AL,31,0)-'TRADE IN'!$F521))</f>
        <v/>
      </c>
      <c r="AH521" s="166" t="str">
        <f>IF(VLOOKUP($C521,'ACESSÓRIOS REV'!$C:$AL,32,0)-'TRADE IN'!$F521=0,"",(VLOOKUP($C521,'ACESSÓRIOS REV'!$C:$AL,32,0)-'TRADE IN'!$F521))</f>
        <v/>
      </c>
      <c r="AI521" s="166" t="str">
        <f>IF(VLOOKUP($C521,'ACESSÓRIOS REV'!$C:$AL,33,0)-'TRADE IN'!$F521=0,"",(VLOOKUP($C521,'ACESSÓRIOS REV'!$C:$AL,33,0)-'TRADE IN'!$F521))</f>
        <v/>
      </c>
      <c r="AJ521" s="166" t="str">
        <f>IF(VLOOKUP($C521,'ACESSÓRIOS REV'!$C:$AL,34,0)-'TRADE IN'!$F521=0,"",(VLOOKUP($C521,'ACESSÓRIOS REV'!$C:$AL,34,0)-'TRADE IN'!$F521))</f>
        <v/>
      </c>
      <c r="AK521" s="166" t="str">
        <f>IF(VLOOKUP($C521,'ACESSÓRIOS REV'!$C:$AL,35,0)-'TRADE IN'!$F521=0,"",(VLOOKUP($C521,'ACESSÓRIOS REV'!$C:$AL,35,0)-'TRADE IN'!$F521))</f>
        <v/>
      </c>
      <c r="AL521" s="166" t="str">
        <f>IF(VLOOKUP($C521,'ACESSÓRIOS REV'!$C:$AL,36,0)-'TRADE IN'!$F521=0,"",(VLOOKUP($C521,'ACESSÓRIOS REV'!$C:$AL,36,0)-'TRADE IN'!$F521))</f>
        <v/>
      </c>
      <c r="AM521" s="151"/>
      <c r="AN521" s="151"/>
      <c r="AO521" s="151"/>
      <c r="AP521" s="151"/>
      <c r="AQ521" s="151"/>
      <c r="AR521" s="151"/>
      <c r="AS521" s="151"/>
      <c r="AT521" s="151"/>
      <c r="AU521" s="151"/>
      <c r="AW521" s="168" t="s">
        <v>746</v>
      </c>
    </row>
    <row r="522" spans="2:49" ht="22.5" customHeight="1">
      <c r="B522" s="122" t="s">
        <v>820</v>
      </c>
      <c r="C522" s="121">
        <v>4017692</v>
      </c>
      <c r="D522" s="130" t="s">
        <v>958</v>
      </c>
      <c r="E522" s="107" t="s">
        <v>959</v>
      </c>
      <c r="F522" s="169">
        <v>300</v>
      </c>
      <c r="G522" s="166"/>
      <c r="H522" s="166"/>
      <c r="I522" s="166"/>
      <c r="J522" s="166">
        <f>IF(VLOOKUP($C522,'ACESSÓRIOS REV'!$C:$AL,8,0)-'TRADE IN'!$F522=0,"",(VLOOKUP($C522,'ACESSÓRIOS REV'!$C:$AL,8,0)-'TRADE IN'!$F522))</f>
        <v>1649</v>
      </c>
      <c r="K522" s="166">
        <f>IF(VLOOKUP($C522,'ACESSÓRIOS REV'!$C:$AL,9,0)-'TRADE IN'!$F522=0,"",(VLOOKUP($C522,'ACESSÓRIOS REV'!$C:$AL,9,0)-'TRADE IN'!$F522))</f>
        <v>1649</v>
      </c>
      <c r="L522" s="166">
        <f>IF(VLOOKUP($C522,'ACESSÓRIOS REV'!$C:$AL,10,0)-'TRADE IN'!$F522=0,"",(VLOOKUP($C522,'ACESSÓRIOS REV'!$C:$AL,10,0)-'TRADE IN'!$F522))</f>
        <v>1649</v>
      </c>
      <c r="M522" s="166">
        <f>IF(VLOOKUP($C522,'ACESSÓRIOS REV'!$C:$AL,11,0)-'TRADE IN'!$F522=0,"",(VLOOKUP($C522,'ACESSÓRIOS REV'!$C:$AL,11,0)-'TRADE IN'!$F522))</f>
        <v>1649</v>
      </c>
      <c r="N522" s="166">
        <f>IF(VLOOKUP($C522,'ACESSÓRIOS REV'!$C:$AL,12,0)-'TRADE IN'!$F522=0,"",(VLOOKUP($C522,'ACESSÓRIOS REV'!$C:$AL,12,0)-'TRADE IN'!$F522))</f>
        <v>1649</v>
      </c>
      <c r="O522" s="166">
        <f>IF(VLOOKUP($C522,'ACESSÓRIOS REV'!$C:$AL,13,0)-'TRADE IN'!$F522=0,"",(VLOOKUP($C522,'ACESSÓRIOS REV'!$C:$AL,13,0)-'TRADE IN'!$F522))</f>
        <v>1599</v>
      </c>
      <c r="P522" s="166">
        <f>IF(VLOOKUP($C522,'ACESSÓRIOS REV'!$C:$AL,14,0)-'TRADE IN'!$F522=0,"",(VLOOKUP($C522,'ACESSÓRIOS REV'!$C:$AL,14,0)-'TRADE IN'!$F522))</f>
        <v>1499</v>
      </c>
      <c r="Q522" s="166">
        <f>IF(VLOOKUP($C522,'ACESSÓRIOS REV'!$C:$AL,15,0)-'TRADE IN'!$F522=0,"",(VLOOKUP($C522,'ACESSÓRIOS REV'!$C:$AL,15,0)-'TRADE IN'!$F522))</f>
        <v>1299</v>
      </c>
      <c r="R522" s="166">
        <f>IF(VLOOKUP($C522,'ACESSÓRIOS REV'!$C:$AL,16,0)-'TRADE IN'!$F522=0,"",(VLOOKUP($C522,'ACESSÓRIOS REV'!$C:$AL,16,0)-'TRADE IN'!$F522))</f>
        <v>1599</v>
      </c>
      <c r="S522" s="166">
        <f>IF(VLOOKUP($C522,'ACESSÓRIOS REV'!$C:$AL,17,0)-'TRADE IN'!$F522=0,"",(VLOOKUP($C522,'ACESSÓRIOS REV'!$C:$AL,17,0)-'TRADE IN'!$F522))</f>
        <v>1499</v>
      </c>
      <c r="T522" s="166">
        <f>IF(VLOOKUP($C522,'ACESSÓRIOS REV'!$C:$AL,18,0)-'TRADE IN'!$F522=0,"",(VLOOKUP($C522,'ACESSÓRIOS REV'!$C:$AL,18,0)-'TRADE IN'!$F522))</f>
        <v>1299</v>
      </c>
      <c r="U522" s="166">
        <f>IF(VLOOKUP($C522,'ACESSÓRIOS REV'!$C:$AL,19,0)-'TRADE IN'!$F522=0,"",(VLOOKUP($C522,'ACESSÓRIOS REV'!$C:$AL,19,0)-'TRADE IN'!$F522))</f>
        <v>1299</v>
      </c>
      <c r="V522" s="166">
        <f>IF(VLOOKUP($C522,'ACESSÓRIOS REV'!$C:$AL,20,0)-'TRADE IN'!$F522=0,"",(VLOOKUP($C522,'ACESSÓRIOS REV'!$C:$AL,20,0)-'TRADE IN'!$F522))</f>
        <v>1299</v>
      </c>
      <c r="W522" s="166">
        <f>IF(VLOOKUP($C522,'ACESSÓRIOS REV'!$C:$AL,21,0)-'TRADE IN'!$F522=0,"",(VLOOKUP($C522,'ACESSÓRIOS REV'!$C:$AL,21,0)-'TRADE IN'!$F522))</f>
        <v>1299</v>
      </c>
      <c r="X522" s="166">
        <f>IF(VLOOKUP($C522,'ACESSÓRIOS REV'!$C:$AL,22,0)-'TRADE IN'!$F522=0,"",(VLOOKUP($C522,'ACESSÓRIOS REV'!$C:$AL,22,0)-'TRADE IN'!$F522))</f>
        <v>1199</v>
      </c>
      <c r="Y522" s="166">
        <f>IF(VLOOKUP($C522,'ACESSÓRIOS REV'!$C:$AL,23,0)-'TRADE IN'!$F522=0,"",(VLOOKUP($C522,'ACESSÓRIOS REV'!$C:$AL,23,0)-'TRADE IN'!$F522))</f>
        <v>899</v>
      </c>
      <c r="Z522" s="166">
        <f>IF(VLOOKUP($C522,'ACESSÓRIOS REV'!$C:$AL,24,0)-'TRADE IN'!$F522=0,"",(VLOOKUP($C522,'ACESSÓRIOS REV'!$C:$AL,24,0)-'TRADE IN'!$F522))</f>
        <v>899</v>
      </c>
      <c r="AA522" s="166">
        <f>IF(VLOOKUP($C522,'ACESSÓRIOS REV'!$C:$AL,25,0)-'TRADE IN'!$F522=0,"",(VLOOKUP($C522,'ACESSÓRIOS REV'!$C:$AL,25,0)-'TRADE IN'!$F522))</f>
        <v>849</v>
      </c>
      <c r="AB522" s="166">
        <f>IF(VLOOKUP($C522,'ACESSÓRIOS REV'!$C:$AL,27,0)-'TRADE IN'!$F522=0,"",(VLOOKUP($C522,'ACESSÓRIOS REV'!$C:$AL,27,0)-'TRADE IN'!$F522))</f>
        <v>-300</v>
      </c>
      <c r="AC522" s="166">
        <f>IF(VLOOKUP($C522,'ACESSÓRIOS REV'!$C:$AL,28,0)-'TRADE IN'!$F522=0,"",(VLOOKUP($C522,'ACESSÓRIOS REV'!$C:$AL,28,0)-'TRADE IN'!$F522))</f>
        <v>-300</v>
      </c>
      <c r="AD522" s="166">
        <f>IF(VLOOKUP($C522,'ACESSÓRIOS REV'!$C:$AL,29,0)-'TRADE IN'!$F522=0,"",(VLOOKUP($C522,'ACESSÓRIOS REV'!$C:$AL,29,0)-'TRADE IN'!$F522))</f>
        <v>-300</v>
      </c>
      <c r="AE522" s="166">
        <f>IF(VLOOKUP($C522,'ACESSÓRIOS REV'!$C:$AL,30,0)-'TRADE IN'!$F522=0,"",(VLOOKUP($C522,'ACESSÓRIOS REV'!$C:$AL,30,0)-'TRADE IN'!$F522))</f>
        <v>-300</v>
      </c>
      <c r="AF522" s="166">
        <f>IF(VLOOKUP($C522,'ACESSÓRIOS REV'!$C:$AL,31,0)-'TRADE IN'!$F522=0,"",(VLOOKUP($C522,'ACESSÓRIOS REV'!$C:$AL,31,0)-'TRADE IN'!$F522))</f>
        <v>-300</v>
      </c>
      <c r="AG522" s="166">
        <f>IF(VLOOKUP($C522,'ACESSÓRIOS REV'!$C:$AL,31,0)-'TRADE IN'!$F522=0,"",(VLOOKUP($C522,'ACESSÓRIOS REV'!$C:$AL,31,0)-'TRADE IN'!$F522))</f>
        <v>-300</v>
      </c>
      <c r="AH522" s="166">
        <f>IF(VLOOKUP($C522,'ACESSÓRIOS REV'!$C:$AL,32,0)-'TRADE IN'!$F522=0,"",(VLOOKUP($C522,'ACESSÓRIOS REV'!$C:$AL,32,0)-'TRADE IN'!$F522))</f>
        <v>-300</v>
      </c>
      <c r="AI522" s="166">
        <f>IF(VLOOKUP($C522,'ACESSÓRIOS REV'!$C:$AL,33,0)-'TRADE IN'!$F522=0,"",(VLOOKUP($C522,'ACESSÓRIOS REV'!$C:$AL,33,0)-'TRADE IN'!$F522))</f>
        <v>-300</v>
      </c>
      <c r="AJ522" s="166">
        <f>IF(VLOOKUP($C522,'ACESSÓRIOS REV'!$C:$AL,34,0)-'TRADE IN'!$F522=0,"",(VLOOKUP($C522,'ACESSÓRIOS REV'!$C:$AL,34,0)-'TRADE IN'!$F522))</f>
        <v>-300</v>
      </c>
      <c r="AK522" s="166">
        <f>IF(VLOOKUP($C522,'ACESSÓRIOS REV'!$C:$AL,35,0)-'TRADE IN'!$F522=0,"",(VLOOKUP($C522,'ACESSÓRIOS REV'!$C:$AL,35,0)-'TRADE IN'!$F522))</f>
        <v>-300</v>
      </c>
      <c r="AL522" s="166">
        <f>IF(VLOOKUP($C522,'ACESSÓRIOS REV'!$C:$AL,36,0)-'TRADE IN'!$F522=0,"",(VLOOKUP($C522,'ACESSÓRIOS REV'!$C:$AL,36,0)-'TRADE IN'!$F522))</f>
        <v>-300</v>
      </c>
      <c r="AM522" s="151"/>
      <c r="AN522" s="151"/>
      <c r="AO522" s="151"/>
      <c r="AP522" s="151"/>
      <c r="AQ522" s="151"/>
      <c r="AR522" s="151"/>
      <c r="AS522" s="151"/>
      <c r="AT522" s="151"/>
      <c r="AU522" s="151"/>
      <c r="AW522" s="168" t="s">
        <v>746</v>
      </c>
    </row>
    <row r="524" spans="2:49"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  <c r="AA524" s="170"/>
      <c r="AB524" s="170"/>
      <c r="AC524" s="170"/>
      <c r="AD524" s="170"/>
      <c r="AE524" s="170"/>
      <c r="AF524" s="170"/>
      <c r="AG524" s="170"/>
      <c r="AH524" s="170"/>
      <c r="AI524" s="170"/>
      <c r="AJ524" s="170"/>
      <c r="AK524" s="170"/>
      <c r="AL524" s="170"/>
    </row>
    <row r="526" spans="2:49"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  <c r="AA526" s="170"/>
      <c r="AB526" s="170"/>
      <c r="AC526" s="170"/>
      <c r="AD526" s="170"/>
      <c r="AE526" s="170"/>
      <c r="AF526" s="170"/>
      <c r="AG526" s="170"/>
      <c r="AH526" s="170"/>
      <c r="AI526" s="170"/>
      <c r="AJ526" s="170"/>
      <c r="AK526" s="170"/>
      <c r="AL526" s="170"/>
    </row>
  </sheetData>
  <autoFilter ref="A12:BJ522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506 G509">
    <cfRule type="cellIs" dxfId="29" priority="28" operator="equal">
      <formula>0</formula>
    </cfRule>
  </conditionalFormatting>
  <conditionalFormatting sqref="G506">
    <cfRule type="cellIs" dxfId="28" priority="29" operator="lessThan">
      <formula>F506</formula>
    </cfRule>
  </conditionalFormatting>
  <conditionalFormatting sqref="G509">
    <cfRule type="cellIs" dxfId="27" priority="30" operator="lessThan">
      <formula>F509</formula>
    </cfRule>
  </conditionalFormatting>
  <conditionalFormatting sqref="H13:I14">
    <cfRule type="cellIs" dxfId="26" priority="26" operator="lessThan">
      <formula>$G13</formula>
    </cfRule>
    <cfRule type="cellIs" dxfId="25" priority="27" operator="greaterThan">
      <formula>$G13</formula>
    </cfRule>
  </conditionalFormatting>
  <conditionalFormatting sqref="H297:I318 AV344:AV502 F503:F505">
    <cfRule type="expression" dxfId="24" priority="19" stopIfTrue="1">
      <formula>#REF!&lt;&gt;#REF!</formula>
    </cfRule>
  </conditionalFormatting>
  <conditionalFormatting sqref="H344:I411">
    <cfRule type="cellIs" dxfId="23" priority="23" operator="greaterThan">
      <formula>$G344</formula>
    </cfRule>
  </conditionalFormatting>
  <conditionalFormatting sqref="H344:I485 H13:AL97 H98:I160 J98:AL485 H486:AL487 H492:AL494">
    <cfRule type="cellIs" dxfId="22" priority="24" operator="equal">
      <formula>$G13</formula>
    </cfRule>
  </conditionalFormatting>
  <conditionalFormatting sqref="H351:I354">
    <cfRule type="cellIs" dxfId="21" priority="21" operator="equal">
      <formula>$G351</formula>
    </cfRule>
    <cfRule type="cellIs" dxfId="20" priority="22" operator="lessThan">
      <formula>$G351</formula>
    </cfRule>
  </conditionalFormatting>
  <conditionalFormatting sqref="H412:I420">
    <cfRule type="cellIs" dxfId="19" priority="25" operator="greaterThan">
      <formula>$G412</formula>
    </cfRule>
  </conditionalFormatting>
  <conditionalFormatting sqref="H488:I491">
    <cfRule type="cellIs" dxfId="18" priority="12" operator="lessThan">
      <formula>$G488</formula>
    </cfRule>
    <cfRule type="cellIs" dxfId="17" priority="13" operator="greaterThan">
      <formula>$G488</formula>
    </cfRule>
  </conditionalFormatting>
  <conditionalFormatting sqref="H495:I502">
    <cfRule type="cellIs" dxfId="16" priority="10" operator="lessThan">
      <formula>$G495</formula>
    </cfRule>
    <cfRule type="cellIs" dxfId="15" priority="11" operator="greaterThan">
      <formula>$G495</formula>
    </cfRule>
  </conditionalFormatting>
  <conditionalFormatting sqref="H13:AE90 AF13:AL96 J91:AE96 H91:I160 J97:AL485 H344:I485">
    <cfRule type="cellIs" dxfId="14" priority="14" operator="lessThan">
      <formula>$G13</formula>
    </cfRule>
  </conditionalFormatting>
  <conditionalFormatting sqref="H486:AL487 H492:AL494">
    <cfRule type="cellIs" dxfId="13" priority="18" operator="lessThan">
      <formula>$G486</formula>
    </cfRule>
  </conditionalFormatting>
  <conditionalFormatting sqref="H488:AL491">
    <cfRule type="cellIs" dxfId="12" priority="9" operator="equal">
      <formula>$G488</formula>
    </cfRule>
  </conditionalFormatting>
  <conditionalFormatting sqref="H495:AL502">
    <cfRule type="cellIs" dxfId="11" priority="6" operator="equal">
      <formula>$G495</formula>
    </cfRule>
  </conditionalFormatting>
  <conditionalFormatting sqref="I13:I14 J13:N487 H215:I223">
    <cfRule type="cellIs" dxfId="10" priority="15" operator="equal">
      <formula>$G13</formula>
    </cfRule>
    <cfRule type="cellIs" dxfId="9" priority="16" operator="lessThan">
      <formula>$G13</formula>
    </cfRule>
    <cfRule type="cellIs" dxfId="8" priority="17" operator="greaterThan">
      <formula>$G13</formula>
    </cfRule>
  </conditionalFormatting>
  <conditionalFormatting sqref="J488:N502">
    <cfRule type="cellIs" dxfId="7" priority="1" operator="equal">
      <formula>$G488</formula>
    </cfRule>
    <cfRule type="cellIs" dxfId="6" priority="2" operator="lessThan">
      <formula>$G488</formula>
    </cfRule>
    <cfRule type="cellIs" dxfId="5" priority="3" operator="greaterThan">
      <formula>$G488</formula>
    </cfRule>
  </conditionalFormatting>
  <conditionalFormatting sqref="J98:AL486 H421:I486 H487:AL487 H492:AL494 H13:AL97 H98:I160">
    <cfRule type="cellIs" dxfId="4" priority="20" operator="greaterThan">
      <formula>$G13</formula>
    </cfRule>
  </conditionalFormatting>
  <conditionalFormatting sqref="J488:AL491">
    <cfRule type="cellIs" dxfId="3" priority="7" operator="lessThan">
      <formula>$G488</formula>
    </cfRule>
    <cfRule type="cellIs" dxfId="2" priority="8" operator="greaterThan">
      <formula>$G488</formula>
    </cfRule>
  </conditionalFormatting>
  <conditionalFormatting sqref="J495:AL502">
    <cfRule type="cellIs" dxfId="1" priority="4" operator="lessThan">
      <formula>$G495</formula>
    </cfRule>
    <cfRule type="cellIs" dxfId="0" priority="5" operator="greaterThan">
      <formula>$G495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5286-F519-4F34-A546-807B532BFF4A}">
  <dimension ref="A1:AA3359"/>
  <sheetViews>
    <sheetView zoomScale="78" zoomScaleNormal="78" workbookViewId="0">
      <selection activeCell="F3" sqref="F3:F123"/>
    </sheetView>
  </sheetViews>
  <sheetFormatPr defaultRowHeight="14.5"/>
  <cols>
    <col min="1" max="1" width="14.81640625" bestFit="1" customWidth="1"/>
    <col min="2" max="2" width="10.6328125" style="189" bestFit="1" customWidth="1"/>
    <col min="3" max="3" width="35.81640625" style="189" bestFit="1" customWidth="1"/>
    <col min="4" max="4" width="44" style="189" bestFit="1" customWidth="1"/>
    <col min="5" max="5" width="11.26953125" style="189" bestFit="1" customWidth="1"/>
    <col min="6" max="6" width="10.453125" style="189" bestFit="1" customWidth="1"/>
    <col min="7" max="7" width="1.90625" bestFit="1" customWidth="1"/>
    <col min="8" max="16" width="11.26953125" style="189" bestFit="1" customWidth="1"/>
    <col min="17" max="22" width="12.26953125" style="189" bestFit="1" customWidth="1"/>
    <col min="23" max="23" width="1.90625" bestFit="1" customWidth="1"/>
    <col min="24" max="24" width="10.6328125" style="189" bestFit="1" customWidth="1"/>
    <col min="25" max="25" width="33" style="189" bestFit="1" customWidth="1"/>
    <col min="26" max="26" width="43.36328125" style="189" bestFit="1" customWidth="1"/>
    <col min="27" max="27" width="25.90625" style="151" bestFit="1" customWidth="1"/>
  </cols>
  <sheetData>
    <row r="1" spans="1:27" ht="15.65" customHeight="1">
      <c r="A1" s="219" t="s">
        <v>968</v>
      </c>
      <c r="B1" s="219"/>
      <c r="C1" s="219"/>
      <c r="D1" s="219"/>
      <c r="E1" s="219"/>
      <c r="F1" s="219"/>
      <c r="H1" s="219" t="s">
        <v>969</v>
      </c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X1" s="220" t="s">
        <v>970</v>
      </c>
      <c r="Y1" s="221"/>
      <c r="Z1" s="221"/>
      <c r="AA1" s="222"/>
    </row>
    <row r="2" spans="1:27" ht="14.9" customHeight="1">
      <c r="A2" s="171" t="s">
        <v>971</v>
      </c>
      <c r="B2" s="171" t="s">
        <v>972</v>
      </c>
      <c r="C2" s="171" t="s">
        <v>14</v>
      </c>
      <c r="D2" s="171" t="s">
        <v>15</v>
      </c>
      <c r="E2" s="171" t="s">
        <v>973</v>
      </c>
      <c r="F2" s="171" t="s">
        <v>1052</v>
      </c>
      <c r="H2" s="173" t="s">
        <v>974</v>
      </c>
      <c r="I2" s="173" t="s">
        <v>975</v>
      </c>
      <c r="J2" s="173" t="s">
        <v>976</v>
      </c>
      <c r="K2" s="173" t="s">
        <v>977</v>
      </c>
      <c r="L2" s="173" t="s">
        <v>978</v>
      </c>
      <c r="M2" s="173" t="s">
        <v>979</v>
      </c>
      <c r="N2" s="173" t="s">
        <v>980</v>
      </c>
      <c r="O2" s="173" t="s">
        <v>981</v>
      </c>
      <c r="P2" s="173" t="s">
        <v>982</v>
      </c>
      <c r="Q2" s="173" t="s">
        <v>983</v>
      </c>
      <c r="R2" s="173" t="s">
        <v>984</v>
      </c>
      <c r="S2" s="173" t="s">
        <v>985</v>
      </c>
      <c r="T2" s="173" t="s">
        <v>986</v>
      </c>
      <c r="U2" s="173" t="s">
        <v>987</v>
      </c>
      <c r="V2" s="173" t="s">
        <v>988</v>
      </c>
      <c r="X2" s="174" t="s">
        <v>972</v>
      </c>
      <c r="Y2" s="174" t="s">
        <v>14</v>
      </c>
      <c r="Z2" s="174" t="s">
        <v>15</v>
      </c>
      <c r="AA2" s="174" t="s">
        <v>989</v>
      </c>
    </row>
    <row r="3" spans="1:27" s="11" customFormat="1">
      <c r="A3" s="175" t="s">
        <v>990</v>
      </c>
      <c r="B3" s="176">
        <v>4017678</v>
      </c>
      <c r="C3" s="177" t="s">
        <v>649</v>
      </c>
      <c r="D3" s="177" t="s">
        <v>650</v>
      </c>
      <c r="E3" s="172">
        <v>46325</v>
      </c>
      <c r="F3" s="172">
        <v>46357</v>
      </c>
      <c r="H3" s="176">
        <v>4017227</v>
      </c>
      <c r="I3" s="176">
        <v>4017223</v>
      </c>
      <c r="J3" s="176">
        <v>4017785</v>
      </c>
      <c r="K3" s="176">
        <v>4017780</v>
      </c>
      <c r="L3" s="178">
        <v>4018151</v>
      </c>
      <c r="M3" s="178">
        <v>4018129</v>
      </c>
      <c r="N3" s="179"/>
      <c r="O3" s="180"/>
      <c r="P3" s="180"/>
      <c r="Q3" s="180"/>
      <c r="R3" s="180"/>
      <c r="S3" s="180"/>
      <c r="T3" s="180"/>
      <c r="U3" s="180"/>
      <c r="V3" s="180"/>
      <c r="X3" s="176">
        <v>4017339</v>
      </c>
      <c r="Y3" s="177" t="s">
        <v>991</v>
      </c>
      <c r="Z3" s="177" t="s">
        <v>992</v>
      </c>
      <c r="AA3" s="181">
        <v>99</v>
      </c>
    </row>
    <row r="4" spans="1:27" s="11" customFormat="1">
      <c r="A4" s="175" t="s">
        <v>990</v>
      </c>
      <c r="B4" s="176">
        <v>4017679</v>
      </c>
      <c r="C4" s="177" t="s">
        <v>649</v>
      </c>
      <c r="D4" s="177" t="s">
        <v>651</v>
      </c>
      <c r="E4" s="172">
        <v>46325</v>
      </c>
      <c r="F4" s="172">
        <v>46357</v>
      </c>
      <c r="H4" s="176">
        <v>4017227</v>
      </c>
      <c r="I4" s="176">
        <v>4017223</v>
      </c>
      <c r="J4" s="176">
        <v>4017785</v>
      </c>
      <c r="K4" s="176">
        <v>4017780</v>
      </c>
      <c r="L4" s="178">
        <v>4018151</v>
      </c>
      <c r="M4" s="178">
        <v>4018129</v>
      </c>
      <c r="N4" s="179"/>
      <c r="O4" s="180"/>
      <c r="P4" s="180"/>
      <c r="Q4" s="180"/>
      <c r="R4" s="180"/>
      <c r="S4" s="180"/>
      <c r="T4" s="180"/>
      <c r="U4" s="180"/>
      <c r="V4" s="180"/>
      <c r="X4" s="176">
        <v>4017398</v>
      </c>
      <c r="Y4" s="177" t="s">
        <v>991</v>
      </c>
      <c r="Z4" s="177" t="s">
        <v>993</v>
      </c>
      <c r="AA4" s="181">
        <v>99</v>
      </c>
    </row>
    <row r="5" spans="1:27" s="11" customFormat="1">
      <c r="A5" s="175" t="s">
        <v>990</v>
      </c>
      <c r="B5" s="176">
        <v>4017750</v>
      </c>
      <c r="C5" s="177" t="s">
        <v>649</v>
      </c>
      <c r="D5" s="177" t="s">
        <v>652</v>
      </c>
      <c r="E5" s="172">
        <v>46325</v>
      </c>
      <c r="F5" s="172">
        <v>46357</v>
      </c>
      <c r="H5" s="176">
        <v>4017227</v>
      </c>
      <c r="I5" s="176">
        <v>4017223</v>
      </c>
      <c r="J5" s="176">
        <v>4017785</v>
      </c>
      <c r="K5" s="176">
        <v>4017780</v>
      </c>
      <c r="L5" s="178">
        <v>4018151</v>
      </c>
      <c r="M5" s="178">
        <v>4018129</v>
      </c>
      <c r="N5" s="179"/>
      <c r="O5" s="180"/>
      <c r="P5" s="180"/>
      <c r="Q5" s="180"/>
      <c r="R5" s="180"/>
      <c r="S5" s="180"/>
      <c r="T5" s="180"/>
      <c r="U5" s="180"/>
      <c r="V5" s="180"/>
      <c r="X5" s="176">
        <v>4015924</v>
      </c>
      <c r="Y5" s="177" t="s">
        <v>929</v>
      </c>
      <c r="Z5" s="177" t="s">
        <v>930</v>
      </c>
      <c r="AA5" s="181">
        <v>99</v>
      </c>
    </row>
    <row r="6" spans="1:27" s="11" customFormat="1">
      <c r="A6" s="175" t="s">
        <v>990</v>
      </c>
      <c r="B6" s="176">
        <v>4017751</v>
      </c>
      <c r="C6" s="177" t="s">
        <v>649</v>
      </c>
      <c r="D6" s="177" t="s">
        <v>653</v>
      </c>
      <c r="E6" s="172">
        <v>46325</v>
      </c>
      <c r="F6" s="172">
        <v>46357</v>
      </c>
      <c r="H6" s="176">
        <v>4017227</v>
      </c>
      <c r="I6" s="176">
        <v>4017223</v>
      </c>
      <c r="J6" s="176">
        <v>4017785</v>
      </c>
      <c r="K6" s="176">
        <v>4017780</v>
      </c>
      <c r="L6" s="178">
        <v>4018151</v>
      </c>
      <c r="M6" s="178">
        <v>4018129</v>
      </c>
      <c r="N6" s="179"/>
      <c r="O6" s="180"/>
      <c r="P6" s="180"/>
      <c r="Q6" s="180"/>
      <c r="R6" s="180"/>
      <c r="S6" s="180"/>
      <c r="T6" s="180"/>
      <c r="U6" s="180"/>
      <c r="V6" s="180"/>
      <c r="X6" s="176">
        <v>4015922</v>
      </c>
      <c r="Y6" s="177" t="s">
        <v>929</v>
      </c>
      <c r="Z6" s="177" t="s">
        <v>931</v>
      </c>
      <c r="AA6" s="181">
        <v>99</v>
      </c>
    </row>
    <row r="7" spans="1:27" s="11" customFormat="1">
      <c r="A7" s="175" t="s">
        <v>990</v>
      </c>
      <c r="B7" s="176">
        <v>4017756</v>
      </c>
      <c r="C7" s="177" t="s">
        <v>649</v>
      </c>
      <c r="D7" s="177" t="s">
        <v>654</v>
      </c>
      <c r="E7" s="172">
        <v>46325</v>
      </c>
      <c r="F7" s="172">
        <v>46357</v>
      </c>
      <c r="H7" s="176">
        <v>4017227</v>
      </c>
      <c r="I7" s="176">
        <v>4017223</v>
      </c>
      <c r="J7" s="176">
        <v>4017785</v>
      </c>
      <c r="K7" s="176">
        <v>4017780</v>
      </c>
      <c r="L7" s="178">
        <v>4018151</v>
      </c>
      <c r="M7" s="178">
        <v>4018129</v>
      </c>
      <c r="N7" s="179"/>
      <c r="O7" s="180"/>
      <c r="P7" s="180"/>
      <c r="Q7" s="180"/>
      <c r="R7" s="180"/>
      <c r="S7" s="180"/>
      <c r="T7" s="180"/>
      <c r="U7" s="180"/>
      <c r="V7" s="180"/>
      <c r="X7" s="176">
        <v>4017424</v>
      </c>
      <c r="Y7" s="177" t="s">
        <v>932</v>
      </c>
      <c r="Z7" s="177" t="s">
        <v>994</v>
      </c>
      <c r="AA7" s="181">
        <v>99</v>
      </c>
    </row>
    <row r="8" spans="1:27" s="11" customFormat="1">
      <c r="A8" s="175" t="s">
        <v>990</v>
      </c>
      <c r="B8" s="176">
        <v>4017757</v>
      </c>
      <c r="C8" s="177" t="s">
        <v>649</v>
      </c>
      <c r="D8" s="177" t="s">
        <v>655</v>
      </c>
      <c r="E8" s="172">
        <v>46325</v>
      </c>
      <c r="F8" s="172">
        <v>46357</v>
      </c>
      <c r="H8" s="176">
        <v>4017227</v>
      </c>
      <c r="I8" s="176">
        <v>4017223</v>
      </c>
      <c r="J8" s="176">
        <v>4017785</v>
      </c>
      <c r="K8" s="176">
        <v>4017780</v>
      </c>
      <c r="L8" s="178">
        <v>4018151</v>
      </c>
      <c r="M8" s="178">
        <v>4018129</v>
      </c>
      <c r="N8" s="179"/>
      <c r="O8" s="180"/>
      <c r="P8" s="180"/>
      <c r="Q8" s="180"/>
      <c r="R8" s="180"/>
      <c r="S8" s="180"/>
      <c r="T8" s="180"/>
      <c r="U8" s="180"/>
      <c r="V8" s="180"/>
      <c r="X8" s="176">
        <v>4017419</v>
      </c>
      <c r="Y8" s="177" t="s">
        <v>932</v>
      </c>
      <c r="Z8" s="177" t="s">
        <v>933</v>
      </c>
      <c r="AA8" s="181">
        <v>99</v>
      </c>
    </row>
    <row r="9" spans="1:27" s="11" customFormat="1">
      <c r="A9" s="175" t="s">
        <v>990</v>
      </c>
      <c r="B9" s="176">
        <v>4017746</v>
      </c>
      <c r="C9" s="177" t="s">
        <v>656</v>
      </c>
      <c r="D9" s="177" t="s">
        <v>657</v>
      </c>
      <c r="E9" s="172">
        <v>46325</v>
      </c>
      <c r="F9" s="172">
        <v>46357</v>
      </c>
      <c r="H9" s="176">
        <v>4017227</v>
      </c>
      <c r="I9" s="176">
        <v>4017223</v>
      </c>
      <c r="J9" s="176">
        <v>4017785</v>
      </c>
      <c r="K9" s="176">
        <v>4017780</v>
      </c>
      <c r="L9" s="178">
        <v>4018151</v>
      </c>
      <c r="M9" s="178">
        <v>4018129</v>
      </c>
      <c r="N9" s="179"/>
      <c r="O9" s="180"/>
      <c r="P9" s="180"/>
      <c r="Q9" s="180"/>
      <c r="R9" s="180"/>
      <c r="S9" s="180"/>
      <c r="T9" s="180"/>
      <c r="U9" s="180"/>
      <c r="V9" s="180"/>
      <c r="X9" s="176">
        <v>4017414</v>
      </c>
      <c r="Y9" s="177" t="s">
        <v>932</v>
      </c>
      <c r="Z9" s="177" t="s">
        <v>934</v>
      </c>
      <c r="AA9" s="181">
        <v>99</v>
      </c>
    </row>
    <row r="10" spans="1:27" s="11" customFormat="1">
      <c r="A10" s="175" t="s">
        <v>990</v>
      </c>
      <c r="B10" s="176">
        <v>4017748</v>
      </c>
      <c r="C10" s="177" t="s">
        <v>656</v>
      </c>
      <c r="D10" s="177" t="s">
        <v>658</v>
      </c>
      <c r="E10" s="172">
        <v>46325</v>
      </c>
      <c r="F10" s="172">
        <v>46357</v>
      </c>
      <c r="H10" s="176">
        <v>4017227</v>
      </c>
      <c r="I10" s="176">
        <v>4017223</v>
      </c>
      <c r="J10" s="176">
        <v>4017785</v>
      </c>
      <c r="K10" s="176">
        <v>4017780</v>
      </c>
      <c r="L10" s="178">
        <v>4018151</v>
      </c>
      <c r="M10" s="178">
        <v>4018129</v>
      </c>
      <c r="N10" s="179"/>
      <c r="O10" s="180"/>
      <c r="P10" s="180"/>
      <c r="Q10" s="180"/>
      <c r="R10" s="180"/>
      <c r="S10" s="180"/>
      <c r="T10" s="180"/>
      <c r="U10" s="180"/>
      <c r="V10" s="180"/>
      <c r="X10" s="182">
        <v>4017227</v>
      </c>
      <c r="Y10" s="183" t="s">
        <v>946</v>
      </c>
      <c r="Z10" s="183" t="s">
        <v>947</v>
      </c>
      <c r="AA10" s="184">
        <v>499</v>
      </c>
    </row>
    <row r="11" spans="1:27" s="11" customFormat="1">
      <c r="A11" s="175" t="s">
        <v>990</v>
      </c>
      <c r="B11" s="176">
        <v>4017752</v>
      </c>
      <c r="C11" s="177" t="s">
        <v>656</v>
      </c>
      <c r="D11" s="177" t="s">
        <v>659</v>
      </c>
      <c r="E11" s="172">
        <v>46325</v>
      </c>
      <c r="F11" s="172">
        <v>46357</v>
      </c>
      <c r="H11" s="176">
        <v>4017227</v>
      </c>
      <c r="I11" s="176">
        <v>4017223</v>
      </c>
      <c r="J11" s="176">
        <v>4017785</v>
      </c>
      <c r="K11" s="176">
        <v>4017780</v>
      </c>
      <c r="L11" s="178">
        <v>4018151</v>
      </c>
      <c r="M11" s="178">
        <v>4018129</v>
      </c>
      <c r="N11" s="179"/>
      <c r="O11" s="180"/>
      <c r="P11" s="180"/>
      <c r="Q11" s="180"/>
      <c r="R11" s="180"/>
      <c r="S11" s="180"/>
      <c r="T11" s="180"/>
      <c r="U11" s="180"/>
      <c r="V11" s="180"/>
      <c r="X11" s="182">
        <v>4017223</v>
      </c>
      <c r="Y11" s="183" t="s">
        <v>948</v>
      </c>
      <c r="Z11" s="183" t="s">
        <v>949</v>
      </c>
      <c r="AA11" s="184">
        <v>499</v>
      </c>
    </row>
    <row r="12" spans="1:27" s="11" customFormat="1">
      <c r="A12" s="175" t="s">
        <v>990</v>
      </c>
      <c r="B12" s="176">
        <v>4017754</v>
      </c>
      <c r="C12" s="177" t="s">
        <v>656</v>
      </c>
      <c r="D12" s="177" t="s">
        <v>660</v>
      </c>
      <c r="E12" s="172">
        <v>46325</v>
      </c>
      <c r="F12" s="172">
        <v>46357</v>
      </c>
      <c r="H12" s="176">
        <v>4017227</v>
      </c>
      <c r="I12" s="176">
        <v>4017223</v>
      </c>
      <c r="J12" s="176">
        <v>4017785</v>
      </c>
      <c r="K12" s="176">
        <v>4017780</v>
      </c>
      <c r="L12" s="178">
        <v>4018151</v>
      </c>
      <c r="M12" s="178">
        <v>4018129</v>
      </c>
      <c r="N12" s="179"/>
      <c r="O12" s="180"/>
      <c r="P12" s="180"/>
      <c r="Q12" s="180"/>
      <c r="R12" s="180"/>
      <c r="S12" s="180"/>
      <c r="T12" s="180"/>
      <c r="U12" s="180"/>
      <c r="V12" s="180"/>
      <c r="X12" s="176">
        <v>4017785</v>
      </c>
      <c r="Y12" s="177" t="s">
        <v>849</v>
      </c>
      <c r="Z12" s="177" t="s">
        <v>850</v>
      </c>
      <c r="AA12" s="185">
        <v>499</v>
      </c>
    </row>
    <row r="13" spans="1:27" s="11" customFormat="1">
      <c r="A13" s="175" t="s">
        <v>990</v>
      </c>
      <c r="B13" s="176">
        <v>4017675</v>
      </c>
      <c r="C13" s="177" t="s">
        <v>656</v>
      </c>
      <c r="D13" s="177" t="s">
        <v>661</v>
      </c>
      <c r="E13" s="172">
        <v>46325</v>
      </c>
      <c r="F13" s="172">
        <v>46357</v>
      </c>
      <c r="H13" s="176">
        <v>4017227</v>
      </c>
      <c r="I13" s="176">
        <v>4017223</v>
      </c>
      <c r="J13" s="176">
        <v>4017785</v>
      </c>
      <c r="K13" s="176">
        <v>4017780</v>
      </c>
      <c r="L13" s="178">
        <v>4018151</v>
      </c>
      <c r="M13" s="178">
        <v>4018129</v>
      </c>
      <c r="N13" s="179"/>
      <c r="O13" s="180"/>
      <c r="P13" s="180"/>
      <c r="Q13" s="180"/>
      <c r="R13" s="180"/>
      <c r="S13" s="180"/>
      <c r="T13" s="180"/>
      <c r="U13" s="180"/>
      <c r="V13" s="180"/>
      <c r="X13" s="182">
        <v>4017780</v>
      </c>
      <c r="Y13" s="183" t="s">
        <v>851</v>
      </c>
      <c r="Z13" s="183" t="s">
        <v>852</v>
      </c>
      <c r="AA13" s="186">
        <v>799</v>
      </c>
    </row>
    <row r="14" spans="1:27" s="11" customFormat="1">
      <c r="A14" s="175" t="s">
        <v>990</v>
      </c>
      <c r="B14" s="176">
        <v>4017676</v>
      </c>
      <c r="C14" s="177" t="s">
        <v>656</v>
      </c>
      <c r="D14" s="177" t="s">
        <v>662</v>
      </c>
      <c r="E14" s="172">
        <v>46325</v>
      </c>
      <c r="F14" s="172">
        <v>46357</v>
      </c>
      <c r="H14" s="176">
        <v>4017227</v>
      </c>
      <c r="I14" s="176">
        <v>4017223</v>
      </c>
      <c r="J14" s="176">
        <v>4017785</v>
      </c>
      <c r="K14" s="176">
        <v>4017780</v>
      </c>
      <c r="L14" s="178">
        <v>4018151</v>
      </c>
      <c r="M14" s="178">
        <v>4018129</v>
      </c>
      <c r="N14" s="179"/>
      <c r="O14" s="180"/>
      <c r="P14" s="180"/>
      <c r="Q14" s="180"/>
      <c r="R14" s="180"/>
      <c r="S14" s="180"/>
      <c r="T14" s="180"/>
      <c r="U14" s="180"/>
      <c r="V14" s="180"/>
      <c r="X14" s="182">
        <v>4018151</v>
      </c>
      <c r="Y14" s="183" t="s">
        <v>995</v>
      </c>
      <c r="Z14" s="183" t="s">
        <v>950</v>
      </c>
      <c r="AA14" s="186">
        <v>699</v>
      </c>
    </row>
    <row r="15" spans="1:27" s="11" customFormat="1">
      <c r="A15" s="175" t="s">
        <v>990</v>
      </c>
      <c r="B15" s="176">
        <v>4017762</v>
      </c>
      <c r="C15" s="177" t="s">
        <v>663</v>
      </c>
      <c r="D15" s="177" t="s">
        <v>664</v>
      </c>
      <c r="E15" s="172">
        <v>46325</v>
      </c>
      <c r="F15" s="172">
        <v>46357</v>
      </c>
      <c r="H15" s="176">
        <v>4017227</v>
      </c>
      <c r="I15" s="176">
        <v>4017223</v>
      </c>
      <c r="J15" s="176">
        <v>4017785</v>
      </c>
      <c r="K15" s="176">
        <v>4017780</v>
      </c>
      <c r="L15" s="178">
        <v>4018151</v>
      </c>
      <c r="M15" s="178">
        <v>4018129</v>
      </c>
      <c r="N15" s="179"/>
      <c r="O15" s="180"/>
      <c r="P15" s="180"/>
      <c r="Q15" s="180"/>
      <c r="R15" s="180"/>
      <c r="S15" s="180"/>
      <c r="T15" s="180"/>
      <c r="U15" s="180"/>
      <c r="V15" s="180"/>
      <c r="X15" s="182">
        <v>4018129</v>
      </c>
      <c r="Y15" s="183" t="s">
        <v>996</v>
      </c>
      <c r="Z15" s="183" t="s">
        <v>951</v>
      </c>
      <c r="AA15" s="186">
        <v>699</v>
      </c>
    </row>
    <row r="16" spans="1:27" s="11" customFormat="1">
      <c r="A16" s="175" t="s">
        <v>990</v>
      </c>
      <c r="B16" s="176">
        <v>4017763</v>
      </c>
      <c r="C16" s="177" t="s">
        <v>663</v>
      </c>
      <c r="D16" s="177" t="s">
        <v>665</v>
      </c>
      <c r="E16" s="172">
        <v>46325</v>
      </c>
      <c r="F16" s="172">
        <v>46357</v>
      </c>
      <c r="H16" s="176">
        <v>4017227</v>
      </c>
      <c r="I16" s="176">
        <v>4017223</v>
      </c>
      <c r="J16" s="176">
        <v>4017785</v>
      </c>
      <c r="K16" s="176">
        <v>4017780</v>
      </c>
      <c r="L16" s="178">
        <v>4018151</v>
      </c>
      <c r="M16" s="178">
        <v>4018129</v>
      </c>
      <c r="N16" s="179"/>
      <c r="O16" s="187"/>
      <c r="P16" s="187"/>
      <c r="Q16" s="187"/>
      <c r="R16" s="187"/>
      <c r="S16" s="176"/>
      <c r="T16" s="176"/>
      <c r="U16" s="180"/>
      <c r="V16" s="180"/>
      <c r="X16" s="176"/>
      <c r="Y16" s="177"/>
      <c r="Z16" s="177"/>
      <c r="AA16" s="185"/>
    </row>
    <row r="17" spans="1:27" s="11" customFormat="1">
      <c r="A17" s="175" t="s">
        <v>990</v>
      </c>
      <c r="B17" s="176">
        <v>4017766</v>
      </c>
      <c r="C17" s="177" t="s">
        <v>663</v>
      </c>
      <c r="D17" s="177" t="s">
        <v>666</v>
      </c>
      <c r="E17" s="172">
        <v>46325</v>
      </c>
      <c r="F17" s="172">
        <v>46357</v>
      </c>
      <c r="H17" s="176">
        <v>4017227</v>
      </c>
      <c r="I17" s="176">
        <v>4017223</v>
      </c>
      <c r="J17" s="176">
        <v>4017785</v>
      </c>
      <c r="K17" s="176">
        <v>4017780</v>
      </c>
      <c r="L17" s="178">
        <v>4018151</v>
      </c>
      <c r="M17" s="178">
        <v>4018129</v>
      </c>
      <c r="N17" s="179"/>
      <c r="O17" s="187"/>
      <c r="P17" s="187"/>
      <c r="Q17" s="187"/>
      <c r="R17" s="187"/>
      <c r="S17" s="176"/>
      <c r="T17" s="176"/>
      <c r="U17" s="180"/>
      <c r="V17" s="180"/>
      <c r="X17" s="176"/>
      <c r="Y17" s="177"/>
      <c r="Z17" s="177"/>
      <c r="AA17" s="185"/>
    </row>
    <row r="18" spans="1:27" s="11" customFormat="1">
      <c r="A18" s="175" t="s">
        <v>990</v>
      </c>
      <c r="B18" s="176">
        <v>4017769</v>
      </c>
      <c r="C18" s="177" t="s">
        <v>663</v>
      </c>
      <c r="D18" s="177" t="s">
        <v>667</v>
      </c>
      <c r="E18" s="172">
        <v>46325</v>
      </c>
      <c r="F18" s="172">
        <v>46357</v>
      </c>
      <c r="H18" s="176">
        <v>4017227</v>
      </c>
      <c r="I18" s="176">
        <v>4017223</v>
      </c>
      <c r="J18" s="176">
        <v>4017785</v>
      </c>
      <c r="K18" s="176">
        <v>4017780</v>
      </c>
      <c r="L18" s="178">
        <v>4018151</v>
      </c>
      <c r="M18" s="178">
        <v>4018129</v>
      </c>
      <c r="N18" s="179"/>
      <c r="O18" s="187"/>
      <c r="P18" s="187"/>
      <c r="Q18" s="187"/>
      <c r="R18" s="187"/>
      <c r="S18" s="176"/>
      <c r="T18" s="176"/>
      <c r="U18" s="180"/>
      <c r="V18" s="180"/>
      <c r="X18" s="176"/>
      <c r="Y18" s="177"/>
      <c r="Z18" s="177"/>
      <c r="AA18" s="185"/>
    </row>
    <row r="19" spans="1:27" s="11" customFormat="1">
      <c r="A19" s="175" t="s">
        <v>990</v>
      </c>
      <c r="B19" s="176">
        <v>4017764</v>
      </c>
      <c r="C19" s="177" t="s">
        <v>668</v>
      </c>
      <c r="D19" s="177" t="s">
        <v>669</v>
      </c>
      <c r="E19" s="172">
        <v>46325</v>
      </c>
      <c r="F19" s="172">
        <v>46357</v>
      </c>
      <c r="H19" s="176">
        <v>4017227</v>
      </c>
      <c r="I19" s="176">
        <v>4017223</v>
      </c>
      <c r="J19" s="176">
        <v>4017785</v>
      </c>
      <c r="K19" s="176">
        <v>4017780</v>
      </c>
      <c r="L19" s="178">
        <v>4018151</v>
      </c>
      <c r="M19" s="178">
        <v>4018129</v>
      </c>
      <c r="N19" s="179"/>
      <c r="O19" s="187"/>
      <c r="P19" s="187"/>
      <c r="Q19" s="187"/>
      <c r="R19" s="187"/>
      <c r="S19" s="176"/>
      <c r="T19" s="176"/>
      <c r="U19" s="180"/>
      <c r="V19" s="180"/>
      <c r="X19" s="176"/>
      <c r="Y19" s="177"/>
      <c r="Z19" s="177"/>
      <c r="AA19" s="185"/>
    </row>
    <row r="20" spans="1:27" s="11" customFormat="1">
      <c r="A20" s="175" t="s">
        <v>990</v>
      </c>
      <c r="B20" s="176">
        <v>4017765</v>
      </c>
      <c r="C20" s="177" t="s">
        <v>668</v>
      </c>
      <c r="D20" s="177" t="s">
        <v>670</v>
      </c>
      <c r="E20" s="172">
        <v>46325</v>
      </c>
      <c r="F20" s="172">
        <v>46357</v>
      </c>
      <c r="H20" s="176">
        <v>4017227</v>
      </c>
      <c r="I20" s="176">
        <v>4017223</v>
      </c>
      <c r="J20" s="176">
        <v>4017785</v>
      </c>
      <c r="K20" s="176">
        <v>4017780</v>
      </c>
      <c r="L20" s="178">
        <v>4018151</v>
      </c>
      <c r="M20" s="178">
        <v>4018129</v>
      </c>
      <c r="N20" s="179"/>
      <c r="O20" s="187"/>
      <c r="P20" s="187"/>
      <c r="Q20" s="187"/>
      <c r="R20" s="187"/>
      <c r="S20" s="176"/>
      <c r="T20" s="176"/>
      <c r="U20" s="180"/>
      <c r="V20" s="180"/>
      <c r="X20" s="176"/>
      <c r="Y20" s="177"/>
      <c r="Z20" s="177"/>
      <c r="AA20" s="185"/>
    </row>
    <row r="21" spans="1:27" s="11" customFormat="1">
      <c r="A21" s="175" t="s">
        <v>990</v>
      </c>
      <c r="B21" s="176">
        <v>4017767</v>
      </c>
      <c r="C21" s="177" t="s">
        <v>668</v>
      </c>
      <c r="D21" s="177" t="s">
        <v>671</v>
      </c>
      <c r="E21" s="172">
        <v>46325</v>
      </c>
      <c r="F21" s="172">
        <v>46357</v>
      </c>
      <c r="H21" s="176">
        <v>4017227</v>
      </c>
      <c r="I21" s="176">
        <v>4017223</v>
      </c>
      <c r="J21" s="176">
        <v>4017785</v>
      </c>
      <c r="K21" s="176">
        <v>4017780</v>
      </c>
      <c r="L21" s="178">
        <v>4018151</v>
      </c>
      <c r="M21" s="178">
        <v>4018129</v>
      </c>
      <c r="N21" s="179"/>
      <c r="O21" s="187"/>
      <c r="P21" s="187"/>
      <c r="Q21" s="187"/>
      <c r="R21" s="187"/>
      <c r="S21" s="176"/>
      <c r="T21" s="176"/>
      <c r="U21" s="180"/>
      <c r="V21" s="180"/>
      <c r="X21" s="176"/>
      <c r="Y21" s="177"/>
      <c r="Z21" s="177"/>
      <c r="AA21" s="185"/>
    </row>
    <row r="22" spans="1:27" s="11" customFormat="1">
      <c r="A22" s="175" t="s">
        <v>990</v>
      </c>
      <c r="B22" s="176">
        <v>4017768</v>
      </c>
      <c r="C22" s="177" t="s">
        <v>668</v>
      </c>
      <c r="D22" s="177" t="s">
        <v>672</v>
      </c>
      <c r="E22" s="172">
        <v>46325</v>
      </c>
      <c r="F22" s="172">
        <v>46357</v>
      </c>
      <c r="H22" s="176">
        <v>4017227</v>
      </c>
      <c r="I22" s="176">
        <v>4017223</v>
      </c>
      <c r="J22" s="176">
        <v>4017785</v>
      </c>
      <c r="K22" s="176">
        <v>4017780</v>
      </c>
      <c r="L22" s="178">
        <v>4018151</v>
      </c>
      <c r="M22" s="178">
        <v>4018129</v>
      </c>
      <c r="N22" s="179"/>
      <c r="O22" s="180"/>
      <c r="P22" s="180"/>
      <c r="Q22" s="180"/>
      <c r="R22" s="180"/>
      <c r="S22" s="180"/>
      <c r="T22" s="180"/>
      <c r="U22" s="180"/>
      <c r="V22" s="180"/>
      <c r="X22" s="176"/>
      <c r="Y22" s="177"/>
      <c r="Z22" s="177"/>
      <c r="AA22" s="185"/>
    </row>
    <row r="23" spans="1:27" s="11" customFormat="1">
      <c r="A23" s="175" t="s">
        <v>990</v>
      </c>
      <c r="B23" s="176">
        <v>4017614</v>
      </c>
      <c r="C23" s="177" t="s">
        <v>673</v>
      </c>
      <c r="D23" s="177" t="s">
        <v>674</v>
      </c>
      <c r="E23" s="172">
        <v>46325</v>
      </c>
      <c r="F23" s="172">
        <v>46357</v>
      </c>
      <c r="H23" s="176">
        <v>4017227</v>
      </c>
      <c r="I23" s="176">
        <v>4017223</v>
      </c>
      <c r="J23" s="176">
        <v>4017785</v>
      </c>
      <c r="K23" s="176">
        <v>4017780</v>
      </c>
      <c r="L23" s="178">
        <v>4018151</v>
      </c>
      <c r="M23" s="178">
        <v>4018129</v>
      </c>
      <c r="N23" s="179"/>
      <c r="O23" s="180"/>
      <c r="P23" s="180"/>
      <c r="Q23" s="180"/>
      <c r="R23" s="180"/>
      <c r="S23" s="180"/>
      <c r="T23" s="180"/>
      <c r="U23" s="180"/>
      <c r="V23" s="180"/>
      <c r="X23" s="176"/>
      <c r="Y23" s="177"/>
      <c r="Z23" s="177"/>
      <c r="AA23" s="185"/>
    </row>
    <row r="24" spans="1:27" s="11" customFormat="1">
      <c r="A24" s="175" t="s">
        <v>990</v>
      </c>
      <c r="B24" s="176">
        <v>4017616</v>
      </c>
      <c r="C24" s="177" t="s">
        <v>673</v>
      </c>
      <c r="D24" s="177" t="s">
        <v>675</v>
      </c>
      <c r="E24" s="172">
        <v>46325</v>
      </c>
      <c r="F24" s="172">
        <v>46357</v>
      </c>
      <c r="H24" s="176">
        <v>4017227</v>
      </c>
      <c r="I24" s="176">
        <v>4017223</v>
      </c>
      <c r="J24" s="176">
        <v>4017785</v>
      </c>
      <c r="K24" s="176">
        <v>4017780</v>
      </c>
      <c r="L24" s="178">
        <v>4018151</v>
      </c>
      <c r="M24" s="178">
        <v>4018129</v>
      </c>
      <c r="N24" s="179"/>
      <c r="O24" s="180"/>
      <c r="P24" s="180"/>
      <c r="Q24" s="180"/>
      <c r="R24" s="180"/>
      <c r="S24" s="180"/>
      <c r="T24" s="180"/>
      <c r="U24" s="180"/>
      <c r="V24" s="180"/>
      <c r="X24" s="176"/>
      <c r="Y24" s="177"/>
      <c r="Z24" s="177"/>
      <c r="AA24" s="185"/>
    </row>
    <row r="25" spans="1:27" s="11" customFormat="1">
      <c r="A25" s="175" t="s">
        <v>990</v>
      </c>
      <c r="B25" s="176">
        <v>4017725</v>
      </c>
      <c r="C25" s="177" t="s">
        <v>673</v>
      </c>
      <c r="D25" s="177" t="s">
        <v>676</v>
      </c>
      <c r="E25" s="172">
        <v>46325</v>
      </c>
      <c r="F25" s="172">
        <v>46357</v>
      </c>
      <c r="H25" s="176">
        <v>4017227</v>
      </c>
      <c r="I25" s="176">
        <v>4017223</v>
      </c>
      <c r="J25" s="176">
        <v>4017785</v>
      </c>
      <c r="K25" s="176">
        <v>4017780</v>
      </c>
      <c r="L25" s="178">
        <v>4018151</v>
      </c>
      <c r="M25" s="178">
        <v>4018129</v>
      </c>
      <c r="N25" s="179"/>
      <c r="O25" s="180"/>
      <c r="P25" s="180"/>
      <c r="Q25" s="180"/>
      <c r="R25" s="180"/>
      <c r="S25" s="180"/>
      <c r="T25" s="180"/>
      <c r="U25" s="180"/>
      <c r="V25" s="180"/>
      <c r="X25" s="176"/>
      <c r="Y25" s="177"/>
      <c r="Z25" s="177"/>
      <c r="AA25" s="185"/>
    </row>
    <row r="26" spans="1:27" s="11" customFormat="1">
      <c r="A26" s="175" t="s">
        <v>990</v>
      </c>
      <c r="B26" s="176">
        <v>4017731</v>
      </c>
      <c r="C26" s="177" t="s">
        <v>673</v>
      </c>
      <c r="D26" s="177" t="s">
        <v>677</v>
      </c>
      <c r="E26" s="172">
        <v>46325</v>
      </c>
      <c r="F26" s="172">
        <v>46357</v>
      </c>
      <c r="H26" s="176">
        <v>4017227</v>
      </c>
      <c r="I26" s="176">
        <v>4017223</v>
      </c>
      <c r="J26" s="176">
        <v>4017785</v>
      </c>
      <c r="K26" s="176">
        <v>4017780</v>
      </c>
      <c r="L26" s="178">
        <v>4018151</v>
      </c>
      <c r="M26" s="178">
        <v>4018129</v>
      </c>
      <c r="N26" s="179"/>
      <c r="O26" s="180"/>
      <c r="P26" s="180"/>
      <c r="Q26" s="180"/>
      <c r="R26" s="180"/>
      <c r="S26" s="180"/>
      <c r="T26" s="180"/>
      <c r="U26" s="180"/>
      <c r="V26" s="180"/>
      <c r="X26" s="176"/>
      <c r="Y26" s="177"/>
      <c r="Z26" s="177"/>
      <c r="AA26" s="185"/>
    </row>
    <row r="27" spans="1:27" s="11" customFormat="1">
      <c r="A27" s="175" t="s">
        <v>990</v>
      </c>
      <c r="B27" s="176">
        <v>4017734</v>
      </c>
      <c r="C27" s="177" t="s">
        <v>673</v>
      </c>
      <c r="D27" s="177" t="s">
        <v>678</v>
      </c>
      <c r="E27" s="172">
        <v>46325</v>
      </c>
      <c r="F27" s="172">
        <v>46357</v>
      </c>
      <c r="H27" s="176">
        <v>4017227</v>
      </c>
      <c r="I27" s="176">
        <v>4017223</v>
      </c>
      <c r="J27" s="176">
        <v>4017785</v>
      </c>
      <c r="K27" s="176">
        <v>4017780</v>
      </c>
      <c r="L27" s="178">
        <v>4018151</v>
      </c>
      <c r="M27" s="178">
        <v>4018129</v>
      </c>
      <c r="N27" s="179"/>
      <c r="O27" s="180"/>
      <c r="P27" s="180"/>
      <c r="Q27" s="180"/>
      <c r="R27" s="180"/>
      <c r="S27" s="180"/>
      <c r="T27" s="180"/>
      <c r="U27" s="180"/>
      <c r="V27" s="180"/>
      <c r="X27" s="176"/>
      <c r="Y27" s="177"/>
      <c r="Z27" s="177"/>
      <c r="AA27" s="185"/>
    </row>
    <row r="28" spans="1:27" s="11" customFormat="1">
      <c r="A28" s="175" t="s">
        <v>990</v>
      </c>
      <c r="B28" s="176">
        <v>4017728</v>
      </c>
      <c r="C28" s="177" t="s">
        <v>673</v>
      </c>
      <c r="D28" s="177" t="s">
        <v>679</v>
      </c>
      <c r="E28" s="172">
        <v>46325</v>
      </c>
      <c r="F28" s="172">
        <v>46357</v>
      </c>
      <c r="H28" s="176">
        <v>4017227</v>
      </c>
      <c r="I28" s="176">
        <v>4017223</v>
      </c>
      <c r="J28" s="176">
        <v>4017785</v>
      </c>
      <c r="K28" s="176">
        <v>4017780</v>
      </c>
      <c r="L28" s="178">
        <v>4018151</v>
      </c>
      <c r="M28" s="178">
        <v>4018129</v>
      </c>
      <c r="N28" s="179"/>
      <c r="O28" s="180"/>
      <c r="P28" s="180"/>
      <c r="Q28" s="180"/>
      <c r="R28" s="180"/>
      <c r="S28" s="180"/>
      <c r="T28" s="180"/>
      <c r="U28" s="180"/>
      <c r="V28" s="180"/>
      <c r="X28" s="176"/>
      <c r="Y28" s="177"/>
      <c r="Z28" s="177"/>
      <c r="AA28" s="185"/>
    </row>
    <row r="29" spans="1:27" s="11" customFormat="1">
      <c r="A29" s="175" t="s">
        <v>990</v>
      </c>
      <c r="B29" s="176">
        <v>4017611</v>
      </c>
      <c r="C29" s="177" t="s">
        <v>680</v>
      </c>
      <c r="D29" s="177" t="s">
        <v>681</v>
      </c>
      <c r="E29" s="172">
        <v>46325</v>
      </c>
      <c r="F29" s="172">
        <v>46357</v>
      </c>
      <c r="H29" s="176">
        <v>4017227</v>
      </c>
      <c r="I29" s="176">
        <v>4017223</v>
      </c>
      <c r="J29" s="176">
        <v>4017785</v>
      </c>
      <c r="K29" s="176">
        <v>4017780</v>
      </c>
      <c r="L29" s="178">
        <v>4018151</v>
      </c>
      <c r="M29" s="178">
        <v>4018129</v>
      </c>
      <c r="N29" s="179"/>
      <c r="O29" s="180"/>
      <c r="P29" s="180"/>
      <c r="Q29" s="180"/>
      <c r="R29" s="180"/>
      <c r="S29" s="180"/>
      <c r="T29" s="180"/>
      <c r="U29" s="180"/>
      <c r="V29" s="180"/>
      <c r="X29" s="176"/>
      <c r="Y29" s="177"/>
      <c r="Z29" s="177"/>
      <c r="AA29" s="185"/>
    </row>
    <row r="30" spans="1:27" s="11" customFormat="1">
      <c r="A30" s="175" t="s">
        <v>990</v>
      </c>
      <c r="B30" s="176">
        <v>4017613</v>
      </c>
      <c r="C30" s="177" t="s">
        <v>680</v>
      </c>
      <c r="D30" s="177" t="s">
        <v>682</v>
      </c>
      <c r="E30" s="172">
        <v>46325</v>
      </c>
      <c r="F30" s="172">
        <v>46357</v>
      </c>
      <c r="H30" s="176">
        <v>4017227</v>
      </c>
      <c r="I30" s="176">
        <v>4017223</v>
      </c>
      <c r="J30" s="176">
        <v>4017785</v>
      </c>
      <c r="K30" s="176">
        <v>4017780</v>
      </c>
      <c r="L30" s="178">
        <v>4018151</v>
      </c>
      <c r="M30" s="178">
        <v>4018129</v>
      </c>
      <c r="N30" s="179"/>
      <c r="O30" s="180"/>
      <c r="P30" s="180"/>
      <c r="Q30" s="180"/>
      <c r="R30" s="180"/>
      <c r="S30" s="180"/>
      <c r="T30" s="180"/>
      <c r="U30" s="180"/>
      <c r="V30" s="180"/>
      <c r="X30" s="176"/>
      <c r="Y30" s="177"/>
      <c r="Z30" s="177"/>
      <c r="AA30" s="177"/>
    </row>
    <row r="31" spans="1:27" s="11" customFormat="1">
      <c r="A31" s="175" t="s">
        <v>990</v>
      </c>
      <c r="B31" s="176">
        <v>4017723</v>
      </c>
      <c r="C31" s="177" t="s">
        <v>680</v>
      </c>
      <c r="D31" s="177" t="s">
        <v>683</v>
      </c>
      <c r="E31" s="172">
        <v>46325</v>
      </c>
      <c r="F31" s="172">
        <v>46357</v>
      </c>
      <c r="H31" s="176">
        <v>4017227</v>
      </c>
      <c r="I31" s="176">
        <v>4017223</v>
      </c>
      <c r="J31" s="176">
        <v>4017785</v>
      </c>
      <c r="K31" s="176">
        <v>4017780</v>
      </c>
      <c r="L31" s="178">
        <v>4018151</v>
      </c>
      <c r="M31" s="178">
        <v>4018129</v>
      </c>
      <c r="N31" s="179"/>
      <c r="O31" s="180"/>
      <c r="P31" s="180"/>
      <c r="Q31" s="180"/>
      <c r="R31" s="180"/>
      <c r="S31" s="180"/>
      <c r="T31" s="180"/>
      <c r="U31" s="180"/>
      <c r="V31" s="180"/>
      <c r="X31" s="176"/>
      <c r="Y31" s="177"/>
      <c r="Z31" s="177"/>
      <c r="AA31" s="177"/>
    </row>
    <row r="32" spans="1:27" s="11" customFormat="1">
      <c r="A32" s="175" t="s">
        <v>990</v>
      </c>
      <c r="B32" s="176">
        <v>4017726</v>
      </c>
      <c r="C32" s="177" t="s">
        <v>680</v>
      </c>
      <c r="D32" s="177" t="s">
        <v>684</v>
      </c>
      <c r="E32" s="172">
        <v>46325</v>
      </c>
      <c r="F32" s="172">
        <v>46357</v>
      </c>
      <c r="H32" s="176">
        <v>4017227</v>
      </c>
      <c r="I32" s="176">
        <v>4017223</v>
      </c>
      <c r="J32" s="176">
        <v>4017785</v>
      </c>
      <c r="K32" s="176">
        <v>4017780</v>
      </c>
      <c r="L32" s="178">
        <v>4018151</v>
      </c>
      <c r="M32" s="178">
        <v>4018129</v>
      </c>
      <c r="N32" s="179"/>
      <c r="O32" s="180"/>
      <c r="P32" s="180"/>
      <c r="Q32" s="180"/>
      <c r="R32" s="180"/>
      <c r="S32" s="180"/>
      <c r="T32" s="180"/>
      <c r="U32" s="180"/>
      <c r="V32" s="180"/>
      <c r="X32" s="176"/>
      <c r="Y32" s="177"/>
      <c r="Z32" s="177"/>
      <c r="AA32" s="177"/>
    </row>
    <row r="33" spans="1:27" s="11" customFormat="1">
      <c r="A33" s="175" t="s">
        <v>990</v>
      </c>
      <c r="B33" s="176">
        <v>4017730</v>
      </c>
      <c r="C33" s="177" t="s">
        <v>680</v>
      </c>
      <c r="D33" s="177" t="s">
        <v>685</v>
      </c>
      <c r="E33" s="172">
        <v>46325</v>
      </c>
      <c r="F33" s="172">
        <v>46357</v>
      </c>
      <c r="H33" s="176">
        <v>4017227</v>
      </c>
      <c r="I33" s="176">
        <v>4017223</v>
      </c>
      <c r="J33" s="176">
        <v>4017785</v>
      </c>
      <c r="K33" s="176">
        <v>4017780</v>
      </c>
      <c r="L33" s="178">
        <v>4018151</v>
      </c>
      <c r="M33" s="178">
        <v>4018129</v>
      </c>
      <c r="N33" s="179"/>
      <c r="O33" s="180"/>
      <c r="P33" s="180"/>
      <c r="Q33" s="180"/>
      <c r="R33" s="180"/>
      <c r="S33" s="180"/>
      <c r="T33" s="180"/>
      <c r="U33" s="180"/>
      <c r="V33" s="180"/>
      <c r="X33" s="176"/>
      <c r="Y33" s="177"/>
      <c r="Z33" s="177"/>
      <c r="AA33" s="177"/>
    </row>
    <row r="34" spans="1:27" s="11" customFormat="1">
      <c r="A34" s="175" t="s">
        <v>990</v>
      </c>
      <c r="B34" s="176">
        <v>4017732</v>
      </c>
      <c r="C34" s="177" t="s">
        <v>680</v>
      </c>
      <c r="D34" s="177" t="s">
        <v>686</v>
      </c>
      <c r="E34" s="172">
        <v>46325</v>
      </c>
      <c r="F34" s="172">
        <v>46357</v>
      </c>
      <c r="H34" s="176">
        <v>4017227</v>
      </c>
      <c r="I34" s="176">
        <v>4017223</v>
      </c>
      <c r="J34" s="176">
        <v>4017785</v>
      </c>
      <c r="K34" s="176">
        <v>4017780</v>
      </c>
      <c r="L34" s="178">
        <v>4018151</v>
      </c>
      <c r="M34" s="178">
        <v>4018129</v>
      </c>
      <c r="N34" s="179"/>
      <c r="O34" s="180"/>
      <c r="P34" s="180"/>
      <c r="Q34" s="180"/>
      <c r="R34" s="180"/>
      <c r="S34" s="180"/>
      <c r="T34" s="180"/>
      <c r="U34" s="180"/>
      <c r="V34" s="180"/>
      <c r="X34" s="176"/>
      <c r="Y34" s="177"/>
      <c r="Z34" s="177"/>
      <c r="AA34" s="177"/>
    </row>
    <row r="35" spans="1:27" s="11" customFormat="1">
      <c r="A35" s="178" t="s">
        <v>997</v>
      </c>
      <c r="B35" s="176">
        <v>4017357</v>
      </c>
      <c r="C35" s="177" t="s">
        <v>438</v>
      </c>
      <c r="D35" s="177" t="s">
        <v>439</v>
      </c>
      <c r="E35" s="172">
        <v>46211</v>
      </c>
      <c r="F35" s="172">
        <v>46357</v>
      </c>
      <c r="H35" s="176">
        <v>4017339</v>
      </c>
      <c r="I35" s="176">
        <v>4017398</v>
      </c>
      <c r="J35" s="176"/>
      <c r="K35" s="176"/>
      <c r="L35" s="176"/>
      <c r="M35" s="176"/>
      <c r="N35" s="179"/>
      <c r="O35" s="180"/>
      <c r="P35" s="180"/>
      <c r="Q35" s="180"/>
      <c r="R35" s="180"/>
      <c r="S35" s="180"/>
      <c r="T35" s="180"/>
      <c r="U35" s="180"/>
      <c r="V35" s="180"/>
      <c r="X35" s="176"/>
      <c r="Y35" s="177"/>
      <c r="Z35" s="177"/>
      <c r="AA35" s="177"/>
    </row>
    <row r="36" spans="1:27" s="11" customFormat="1">
      <c r="A36" s="178" t="s">
        <v>997</v>
      </c>
      <c r="B36" s="176">
        <v>4017377</v>
      </c>
      <c r="C36" s="177" t="s">
        <v>438</v>
      </c>
      <c r="D36" s="177" t="s">
        <v>440</v>
      </c>
      <c r="E36" s="172">
        <v>46211</v>
      </c>
      <c r="F36" s="172">
        <v>46357</v>
      </c>
      <c r="H36" s="176">
        <v>4017339</v>
      </c>
      <c r="I36" s="176">
        <v>4017398</v>
      </c>
      <c r="J36" s="176"/>
      <c r="K36" s="176"/>
      <c r="L36" s="176"/>
      <c r="M36" s="176"/>
      <c r="N36" s="179"/>
      <c r="O36" s="180"/>
      <c r="P36" s="180"/>
      <c r="Q36" s="180"/>
      <c r="R36" s="180"/>
      <c r="S36" s="180"/>
      <c r="T36" s="180"/>
      <c r="U36" s="180"/>
      <c r="V36" s="180"/>
      <c r="X36" s="176"/>
      <c r="Y36" s="177"/>
      <c r="Z36" s="177"/>
      <c r="AA36" s="177"/>
    </row>
    <row r="37" spans="1:27" s="11" customFormat="1">
      <c r="A37" s="178" t="s">
        <v>997</v>
      </c>
      <c r="B37" s="176">
        <v>4017363</v>
      </c>
      <c r="C37" s="177" t="s">
        <v>438</v>
      </c>
      <c r="D37" s="177" t="s">
        <v>441</v>
      </c>
      <c r="E37" s="172">
        <v>46211</v>
      </c>
      <c r="F37" s="172">
        <v>46357</v>
      </c>
      <c r="H37" s="176">
        <v>4017339</v>
      </c>
      <c r="I37" s="176">
        <v>4017398</v>
      </c>
      <c r="J37" s="176"/>
      <c r="K37" s="176"/>
      <c r="L37" s="176"/>
      <c r="M37" s="176"/>
      <c r="N37" s="179"/>
      <c r="O37" s="180"/>
      <c r="P37" s="180"/>
      <c r="Q37" s="180"/>
      <c r="R37" s="180"/>
      <c r="S37" s="180"/>
      <c r="T37" s="180"/>
      <c r="U37" s="180"/>
      <c r="V37" s="180"/>
      <c r="X37" s="176"/>
      <c r="Y37" s="177"/>
      <c r="Z37" s="177"/>
      <c r="AA37" s="177"/>
    </row>
    <row r="38" spans="1:27" s="11" customFormat="1">
      <c r="A38" s="178" t="s">
        <v>997</v>
      </c>
      <c r="B38" s="176">
        <v>4017383</v>
      </c>
      <c r="C38" s="177" t="s">
        <v>438</v>
      </c>
      <c r="D38" s="177" t="s">
        <v>442</v>
      </c>
      <c r="E38" s="172">
        <v>46211</v>
      </c>
      <c r="F38" s="172">
        <v>46357</v>
      </c>
      <c r="H38" s="176">
        <v>4017339</v>
      </c>
      <c r="I38" s="176">
        <v>4017398</v>
      </c>
      <c r="J38" s="176"/>
      <c r="K38" s="176"/>
      <c r="L38" s="176"/>
      <c r="M38" s="176"/>
      <c r="N38" s="179"/>
      <c r="O38" s="180"/>
      <c r="P38" s="180"/>
      <c r="Q38" s="180"/>
      <c r="R38" s="180"/>
      <c r="S38" s="180"/>
      <c r="T38" s="180"/>
      <c r="U38" s="180"/>
      <c r="V38" s="180"/>
      <c r="X38" s="176"/>
      <c r="Y38" s="177"/>
      <c r="Z38" s="177"/>
      <c r="AA38" s="177"/>
    </row>
    <row r="39" spans="1:27" s="11" customFormat="1">
      <c r="A39" s="178" t="s">
        <v>997</v>
      </c>
      <c r="B39" s="176">
        <v>4017358</v>
      </c>
      <c r="C39" s="177" t="s">
        <v>443</v>
      </c>
      <c r="D39" s="177" t="s">
        <v>444</v>
      </c>
      <c r="E39" s="172">
        <v>46211</v>
      </c>
      <c r="F39" s="172">
        <v>46357</v>
      </c>
      <c r="H39" s="176">
        <v>4017339</v>
      </c>
      <c r="I39" s="176">
        <v>4017398</v>
      </c>
      <c r="J39" s="176"/>
      <c r="K39" s="176"/>
      <c r="L39" s="176"/>
      <c r="M39" s="176"/>
      <c r="N39" s="179"/>
      <c r="O39" s="180"/>
      <c r="P39" s="180"/>
      <c r="Q39" s="180"/>
      <c r="R39" s="180"/>
      <c r="S39" s="180"/>
      <c r="T39" s="180"/>
      <c r="U39" s="180"/>
      <c r="V39" s="180"/>
      <c r="X39" s="176"/>
      <c r="Y39" s="177"/>
      <c r="Z39" s="177"/>
      <c r="AA39" s="177"/>
    </row>
    <row r="40" spans="1:27" s="11" customFormat="1">
      <c r="A40" s="178" t="s">
        <v>997</v>
      </c>
      <c r="B40" s="176">
        <v>4017365</v>
      </c>
      <c r="C40" s="177" t="s">
        <v>443</v>
      </c>
      <c r="D40" s="177" t="s">
        <v>445</v>
      </c>
      <c r="E40" s="172">
        <v>46211</v>
      </c>
      <c r="F40" s="172">
        <v>46357</v>
      </c>
      <c r="H40" s="176">
        <v>4017339</v>
      </c>
      <c r="I40" s="176">
        <v>4017398</v>
      </c>
      <c r="J40" s="176"/>
      <c r="K40" s="176"/>
      <c r="L40" s="176"/>
      <c r="M40" s="176"/>
      <c r="N40" s="179"/>
      <c r="O40" s="180"/>
      <c r="P40" s="180"/>
      <c r="Q40" s="180"/>
      <c r="R40" s="180"/>
      <c r="S40" s="180"/>
      <c r="T40" s="180"/>
      <c r="U40" s="180"/>
      <c r="V40" s="180"/>
      <c r="X40" s="176"/>
      <c r="Y40" s="177"/>
      <c r="Z40" s="177"/>
      <c r="AA40" s="177"/>
    </row>
    <row r="41" spans="1:27" s="11" customFormat="1">
      <c r="A41" s="178" t="s">
        <v>997</v>
      </c>
      <c r="B41" s="176">
        <v>4017378</v>
      </c>
      <c r="C41" s="177" t="s">
        <v>443</v>
      </c>
      <c r="D41" s="177" t="s">
        <v>446</v>
      </c>
      <c r="E41" s="172">
        <v>46211</v>
      </c>
      <c r="F41" s="172">
        <v>46357</v>
      </c>
      <c r="H41" s="176">
        <v>4017339</v>
      </c>
      <c r="I41" s="176">
        <v>4017398</v>
      </c>
      <c r="J41" s="176"/>
      <c r="K41" s="176"/>
      <c r="L41" s="176"/>
      <c r="M41" s="176"/>
      <c r="N41" s="179"/>
      <c r="O41" s="180"/>
      <c r="P41" s="180"/>
      <c r="Q41" s="180"/>
      <c r="R41" s="180"/>
      <c r="S41" s="180"/>
      <c r="T41" s="180"/>
      <c r="U41" s="180"/>
      <c r="V41" s="180"/>
      <c r="X41" s="176"/>
      <c r="Y41" s="177"/>
      <c r="Z41" s="177"/>
      <c r="AA41" s="177"/>
    </row>
    <row r="42" spans="1:27" s="11" customFormat="1">
      <c r="A42" s="178" t="s">
        <v>997</v>
      </c>
      <c r="B42" s="176">
        <v>4017384</v>
      </c>
      <c r="C42" s="177" t="s">
        <v>443</v>
      </c>
      <c r="D42" s="177" t="s">
        <v>447</v>
      </c>
      <c r="E42" s="172">
        <v>46211</v>
      </c>
      <c r="F42" s="172">
        <v>46357</v>
      </c>
      <c r="H42" s="176">
        <v>4017339</v>
      </c>
      <c r="I42" s="176">
        <v>4017398</v>
      </c>
      <c r="J42" s="176"/>
      <c r="K42" s="176"/>
      <c r="L42" s="176"/>
      <c r="M42" s="176"/>
      <c r="N42" s="180"/>
      <c r="O42" s="180"/>
      <c r="P42" s="180"/>
      <c r="Q42" s="180"/>
      <c r="R42" s="180"/>
      <c r="S42" s="180"/>
      <c r="T42" s="180"/>
      <c r="U42" s="180"/>
      <c r="V42" s="180"/>
      <c r="X42" s="176"/>
      <c r="Y42" s="176"/>
      <c r="Z42" s="176"/>
      <c r="AA42" s="177"/>
    </row>
    <row r="43" spans="1:27" s="11" customFormat="1">
      <c r="A43" s="178" t="s">
        <v>997</v>
      </c>
      <c r="B43" s="176">
        <v>4017371</v>
      </c>
      <c r="C43" s="177" t="s">
        <v>443</v>
      </c>
      <c r="D43" s="177" t="s">
        <v>448</v>
      </c>
      <c r="E43" s="172">
        <v>46211</v>
      </c>
      <c r="F43" s="172">
        <v>46357</v>
      </c>
      <c r="H43" s="176">
        <v>4017339</v>
      </c>
      <c r="I43" s="176">
        <v>4017398</v>
      </c>
      <c r="J43" s="176"/>
      <c r="K43" s="176"/>
      <c r="L43" s="176"/>
      <c r="M43" s="176"/>
      <c r="N43" s="180"/>
      <c r="O43" s="180"/>
      <c r="P43" s="180"/>
      <c r="Q43" s="180"/>
      <c r="R43" s="180"/>
      <c r="S43" s="180"/>
      <c r="T43" s="180"/>
      <c r="U43" s="180"/>
      <c r="V43" s="180"/>
      <c r="X43" s="176"/>
      <c r="Y43" s="176"/>
      <c r="Z43" s="176"/>
      <c r="AA43" s="177"/>
    </row>
    <row r="44" spans="1:27" s="11" customFormat="1">
      <c r="A44" s="178" t="s">
        <v>997</v>
      </c>
      <c r="B44" s="176">
        <v>4017350</v>
      </c>
      <c r="C44" s="177" t="s">
        <v>443</v>
      </c>
      <c r="D44" s="177" t="s">
        <v>449</v>
      </c>
      <c r="E44" s="172">
        <v>46211</v>
      </c>
      <c r="F44" s="172">
        <v>46357</v>
      </c>
      <c r="H44" s="176">
        <v>4017339</v>
      </c>
      <c r="I44" s="176">
        <v>4017398</v>
      </c>
      <c r="J44" s="176"/>
      <c r="K44" s="176"/>
      <c r="L44" s="176"/>
      <c r="M44" s="176"/>
      <c r="N44" s="180"/>
      <c r="O44" s="180"/>
      <c r="P44" s="180"/>
      <c r="Q44" s="180"/>
      <c r="R44" s="180"/>
      <c r="S44" s="180"/>
      <c r="T44" s="180"/>
      <c r="U44" s="180"/>
      <c r="V44" s="180"/>
      <c r="X44" s="176"/>
      <c r="Y44" s="176"/>
      <c r="Z44" s="176"/>
      <c r="AA44" s="177"/>
    </row>
    <row r="45" spans="1:27" s="11" customFormat="1">
      <c r="A45" s="178" t="s">
        <v>997</v>
      </c>
      <c r="B45" s="176">
        <v>4017360</v>
      </c>
      <c r="C45" s="177" t="s">
        <v>443</v>
      </c>
      <c r="D45" s="177" t="s">
        <v>450</v>
      </c>
      <c r="E45" s="172">
        <v>46211</v>
      </c>
      <c r="F45" s="172">
        <v>46357</v>
      </c>
      <c r="H45" s="176">
        <v>4017339</v>
      </c>
      <c r="I45" s="176">
        <v>4017398</v>
      </c>
      <c r="J45" s="176"/>
      <c r="K45" s="176"/>
      <c r="L45" s="176"/>
      <c r="M45" s="176"/>
      <c r="N45" s="180"/>
      <c r="O45" s="180"/>
      <c r="P45" s="180"/>
      <c r="Q45" s="180"/>
      <c r="R45" s="180"/>
      <c r="S45" s="180"/>
      <c r="T45" s="180"/>
      <c r="U45" s="180"/>
      <c r="V45" s="180"/>
      <c r="X45" s="176"/>
      <c r="Y45" s="176"/>
      <c r="Z45" s="176"/>
      <c r="AA45" s="177"/>
    </row>
    <row r="46" spans="1:27" s="11" customFormat="1">
      <c r="A46" s="178" t="s">
        <v>997</v>
      </c>
      <c r="B46" s="176">
        <v>4017352</v>
      </c>
      <c r="C46" s="177" t="s">
        <v>443</v>
      </c>
      <c r="D46" s="177" t="s">
        <v>451</v>
      </c>
      <c r="E46" s="172">
        <v>46211</v>
      </c>
      <c r="F46" s="172">
        <v>46357</v>
      </c>
      <c r="H46" s="176">
        <v>4017339</v>
      </c>
      <c r="I46" s="176">
        <v>4017398</v>
      </c>
      <c r="J46" s="176"/>
      <c r="K46" s="176"/>
      <c r="L46" s="176"/>
      <c r="M46" s="176"/>
      <c r="N46" s="180"/>
      <c r="O46" s="180"/>
      <c r="P46" s="180"/>
      <c r="Q46" s="180"/>
      <c r="R46" s="180"/>
      <c r="S46" s="180"/>
      <c r="T46" s="180"/>
      <c r="U46" s="180"/>
      <c r="V46" s="180"/>
      <c r="X46" s="176"/>
      <c r="Y46" s="176"/>
      <c r="Z46" s="176"/>
      <c r="AA46" s="177"/>
    </row>
    <row r="47" spans="1:27" s="11" customFormat="1">
      <c r="A47" s="178" t="s">
        <v>997</v>
      </c>
      <c r="B47" s="176">
        <v>4017359</v>
      </c>
      <c r="C47" s="177" t="s">
        <v>452</v>
      </c>
      <c r="D47" s="177" t="s">
        <v>453</v>
      </c>
      <c r="E47" s="172">
        <v>46211</v>
      </c>
      <c r="F47" s="172">
        <v>46357</v>
      </c>
      <c r="H47" s="176">
        <v>4017339</v>
      </c>
      <c r="I47" s="176">
        <v>4017398</v>
      </c>
      <c r="J47" s="176"/>
      <c r="K47" s="176"/>
      <c r="L47" s="176"/>
      <c r="M47" s="176"/>
      <c r="N47" s="180"/>
      <c r="O47" s="180"/>
      <c r="P47" s="180"/>
      <c r="Q47" s="180"/>
      <c r="R47" s="180"/>
      <c r="S47" s="180"/>
      <c r="T47" s="180"/>
      <c r="U47" s="180"/>
      <c r="V47" s="180"/>
      <c r="X47" s="176"/>
      <c r="Y47" s="176"/>
      <c r="Z47" s="176"/>
      <c r="AA47" s="177"/>
    </row>
    <row r="48" spans="1:27" s="11" customFormat="1">
      <c r="A48" s="178" t="s">
        <v>997</v>
      </c>
      <c r="B48" s="176">
        <v>4017366</v>
      </c>
      <c r="C48" s="177" t="s">
        <v>452</v>
      </c>
      <c r="D48" s="177" t="s">
        <v>454</v>
      </c>
      <c r="E48" s="172">
        <v>46211</v>
      </c>
      <c r="F48" s="172">
        <v>46357</v>
      </c>
      <c r="H48" s="176">
        <v>4017339</v>
      </c>
      <c r="I48" s="176">
        <v>4017398</v>
      </c>
      <c r="J48" s="176"/>
      <c r="K48" s="176"/>
      <c r="L48" s="176"/>
      <c r="M48" s="176"/>
      <c r="N48" s="180"/>
      <c r="O48" s="180"/>
      <c r="P48" s="180"/>
      <c r="Q48" s="180"/>
      <c r="R48" s="180"/>
      <c r="S48" s="180"/>
      <c r="T48" s="180"/>
      <c r="U48" s="180"/>
      <c r="V48" s="180"/>
      <c r="X48" s="176"/>
      <c r="Y48" s="176"/>
      <c r="Z48" s="176"/>
      <c r="AA48" s="177"/>
    </row>
    <row r="49" spans="1:27" s="11" customFormat="1">
      <c r="A49" s="178" t="s">
        <v>997</v>
      </c>
      <c r="B49" s="176">
        <v>4017379</v>
      </c>
      <c r="C49" s="177" t="s">
        <v>452</v>
      </c>
      <c r="D49" s="177" t="s">
        <v>455</v>
      </c>
      <c r="E49" s="172">
        <v>46211</v>
      </c>
      <c r="F49" s="172">
        <v>46357</v>
      </c>
      <c r="H49" s="176">
        <v>4017339</v>
      </c>
      <c r="I49" s="176">
        <v>4017398</v>
      </c>
      <c r="J49" s="176"/>
      <c r="K49" s="176"/>
      <c r="L49" s="176"/>
      <c r="M49" s="176"/>
      <c r="N49" s="180"/>
      <c r="O49" s="180"/>
      <c r="P49" s="180"/>
      <c r="Q49" s="180"/>
      <c r="R49" s="180"/>
      <c r="S49" s="180"/>
      <c r="T49" s="180"/>
      <c r="U49" s="180"/>
      <c r="V49" s="180"/>
      <c r="X49" s="176"/>
      <c r="Y49" s="176"/>
      <c r="Z49" s="176"/>
      <c r="AA49" s="177"/>
    </row>
    <row r="50" spans="1:27" s="11" customFormat="1">
      <c r="A50" s="178" t="s">
        <v>997</v>
      </c>
      <c r="B50" s="176">
        <v>4017385</v>
      </c>
      <c r="C50" s="177" t="s">
        <v>452</v>
      </c>
      <c r="D50" s="177" t="s">
        <v>456</v>
      </c>
      <c r="E50" s="172">
        <v>46211</v>
      </c>
      <c r="F50" s="172">
        <v>46357</v>
      </c>
      <c r="H50" s="176">
        <v>4017339</v>
      </c>
      <c r="I50" s="176">
        <v>4017398</v>
      </c>
      <c r="J50" s="176"/>
      <c r="K50" s="176"/>
      <c r="L50" s="176"/>
      <c r="M50" s="176"/>
      <c r="N50" s="180"/>
      <c r="O50" s="180"/>
      <c r="P50" s="180"/>
      <c r="Q50" s="180"/>
      <c r="R50" s="180"/>
      <c r="S50" s="180"/>
      <c r="T50" s="180"/>
      <c r="U50" s="180"/>
      <c r="V50" s="180"/>
      <c r="X50" s="176"/>
      <c r="Y50" s="176"/>
      <c r="Z50" s="176"/>
      <c r="AA50" s="177"/>
    </row>
    <row r="51" spans="1:27" s="11" customFormat="1">
      <c r="A51" s="178" t="s">
        <v>997</v>
      </c>
      <c r="B51" s="176">
        <v>4017372</v>
      </c>
      <c r="C51" s="177" t="s">
        <v>452</v>
      </c>
      <c r="D51" s="177" t="s">
        <v>457</v>
      </c>
      <c r="E51" s="172">
        <v>46211</v>
      </c>
      <c r="F51" s="172">
        <v>46357</v>
      </c>
      <c r="H51" s="176">
        <v>4017339</v>
      </c>
      <c r="I51" s="176">
        <v>4017398</v>
      </c>
      <c r="J51" s="176"/>
      <c r="K51" s="176"/>
      <c r="L51" s="176"/>
      <c r="M51" s="176"/>
      <c r="N51" s="180"/>
      <c r="O51" s="180"/>
      <c r="P51" s="180"/>
      <c r="Q51" s="180"/>
      <c r="R51" s="180"/>
      <c r="S51" s="180"/>
      <c r="T51" s="180"/>
      <c r="U51" s="180"/>
      <c r="V51" s="180"/>
      <c r="X51" s="176"/>
      <c r="Y51" s="176"/>
      <c r="Z51" s="176"/>
      <c r="AA51" s="177"/>
    </row>
    <row r="52" spans="1:27" s="11" customFormat="1">
      <c r="A52" s="175" t="s">
        <v>998</v>
      </c>
      <c r="B52" s="176">
        <v>4017856</v>
      </c>
      <c r="C52" s="177" t="s">
        <v>486</v>
      </c>
      <c r="D52" s="177" t="s">
        <v>487</v>
      </c>
      <c r="E52" s="172">
        <v>46325</v>
      </c>
      <c r="F52" s="172">
        <v>46357</v>
      </c>
      <c r="H52" s="176">
        <v>4017227</v>
      </c>
      <c r="I52" s="176">
        <v>4017223</v>
      </c>
      <c r="J52" s="176">
        <v>4017339</v>
      </c>
      <c r="K52" s="176">
        <v>4017398</v>
      </c>
      <c r="L52" s="176">
        <v>4015924</v>
      </c>
      <c r="M52" s="176">
        <v>4015922</v>
      </c>
      <c r="N52" s="176">
        <v>4017424</v>
      </c>
      <c r="O52" s="176">
        <v>4017419</v>
      </c>
      <c r="P52" s="176">
        <v>4017414</v>
      </c>
      <c r="Q52" s="178">
        <v>4018151</v>
      </c>
      <c r="R52" s="178">
        <v>4018129</v>
      </c>
      <c r="S52" s="180"/>
      <c r="T52" s="180"/>
      <c r="U52" s="180"/>
      <c r="V52" s="180"/>
      <c r="X52" s="176"/>
      <c r="Y52" s="176"/>
      <c r="Z52" s="176"/>
      <c r="AA52" s="177"/>
    </row>
    <row r="53" spans="1:27" s="11" customFormat="1">
      <c r="A53" s="175" t="s">
        <v>998</v>
      </c>
      <c r="B53" s="176">
        <v>4017873</v>
      </c>
      <c r="C53" s="177" t="s">
        <v>486</v>
      </c>
      <c r="D53" s="177" t="s">
        <v>488</v>
      </c>
      <c r="E53" s="172">
        <v>46325</v>
      </c>
      <c r="F53" s="172">
        <v>46357</v>
      </c>
      <c r="H53" s="176">
        <v>4017227</v>
      </c>
      <c r="I53" s="176">
        <v>4017223</v>
      </c>
      <c r="J53" s="176">
        <v>4017339</v>
      </c>
      <c r="K53" s="176">
        <v>4017398</v>
      </c>
      <c r="L53" s="176">
        <v>4015924</v>
      </c>
      <c r="M53" s="176">
        <v>4015922</v>
      </c>
      <c r="N53" s="176">
        <v>4017424</v>
      </c>
      <c r="O53" s="176">
        <v>4017419</v>
      </c>
      <c r="P53" s="176">
        <v>4017414</v>
      </c>
      <c r="Q53" s="178">
        <v>4018151</v>
      </c>
      <c r="R53" s="178">
        <v>4018129</v>
      </c>
      <c r="S53" s="180"/>
      <c r="T53" s="180"/>
      <c r="U53" s="180"/>
      <c r="V53" s="180"/>
      <c r="X53" s="176"/>
      <c r="Y53" s="176"/>
      <c r="Z53" s="176"/>
      <c r="AA53" s="177"/>
    </row>
    <row r="54" spans="1:27" s="11" customFormat="1">
      <c r="A54" s="175" t="s">
        <v>998</v>
      </c>
      <c r="B54" s="176">
        <v>4017838</v>
      </c>
      <c r="C54" s="177" t="s">
        <v>486</v>
      </c>
      <c r="D54" s="177" t="s">
        <v>489</v>
      </c>
      <c r="E54" s="172">
        <v>46325</v>
      </c>
      <c r="F54" s="172">
        <v>46357</v>
      </c>
      <c r="H54" s="176">
        <v>4017227</v>
      </c>
      <c r="I54" s="176">
        <v>4017223</v>
      </c>
      <c r="J54" s="176">
        <v>4017339</v>
      </c>
      <c r="K54" s="176">
        <v>4017398</v>
      </c>
      <c r="L54" s="176">
        <v>4015924</v>
      </c>
      <c r="M54" s="176">
        <v>4015922</v>
      </c>
      <c r="N54" s="176">
        <v>4017424</v>
      </c>
      <c r="O54" s="176">
        <v>4017419</v>
      </c>
      <c r="P54" s="176">
        <v>4017414</v>
      </c>
      <c r="Q54" s="178">
        <v>4018151</v>
      </c>
      <c r="R54" s="178">
        <v>4018129</v>
      </c>
      <c r="S54" s="180"/>
      <c r="T54" s="180"/>
      <c r="U54" s="180"/>
      <c r="V54" s="180"/>
      <c r="X54" s="176"/>
      <c r="Y54" s="176"/>
      <c r="Z54" s="176"/>
      <c r="AA54" s="177"/>
    </row>
    <row r="55" spans="1:27" s="11" customFormat="1">
      <c r="A55" s="175" t="s">
        <v>998</v>
      </c>
      <c r="B55" s="176">
        <v>4017854</v>
      </c>
      <c r="C55" s="177" t="s">
        <v>486</v>
      </c>
      <c r="D55" s="177" t="s">
        <v>490</v>
      </c>
      <c r="E55" s="172">
        <v>46325</v>
      </c>
      <c r="F55" s="172">
        <v>46357</v>
      </c>
      <c r="H55" s="176">
        <v>4017227</v>
      </c>
      <c r="I55" s="176">
        <v>4017223</v>
      </c>
      <c r="J55" s="176">
        <v>4017339</v>
      </c>
      <c r="K55" s="176">
        <v>4017398</v>
      </c>
      <c r="L55" s="176">
        <v>4015924</v>
      </c>
      <c r="M55" s="176">
        <v>4015922</v>
      </c>
      <c r="N55" s="176">
        <v>4017424</v>
      </c>
      <c r="O55" s="176">
        <v>4017419</v>
      </c>
      <c r="P55" s="176">
        <v>4017414</v>
      </c>
      <c r="Q55" s="178">
        <v>4018151</v>
      </c>
      <c r="R55" s="178">
        <v>4018129</v>
      </c>
      <c r="S55" s="180"/>
      <c r="T55" s="180"/>
      <c r="U55" s="180"/>
      <c r="V55" s="180"/>
      <c r="X55" s="176"/>
      <c r="Y55" s="176"/>
      <c r="Z55" s="176"/>
      <c r="AA55" s="177"/>
    </row>
    <row r="56" spans="1:27" s="11" customFormat="1">
      <c r="A56" s="175" t="s">
        <v>998</v>
      </c>
      <c r="B56" s="176">
        <v>4017850</v>
      </c>
      <c r="C56" s="177" t="s">
        <v>486</v>
      </c>
      <c r="D56" s="177" t="s">
        <v>491</v>
      </c>
      <c r="E56" s="172">
        <v>46325</v>
      </c>
      <c r="F56" s="172">
        <v>46357</v>
      </c>
      <c r="H56" s="176">
        <v>4017227</v>
      </c>
      <c r="I56" s="176">
        <v>4017223</v>
      </c>
      <c r="J56" s="176">
        <v>4017339</v>
      </c>
      <c r="K56" s="176">
        <v>4017398</v>
      </c>
      <c r="L56" s="176">
        <v>4015924</v>
      </c>
      <c r="M56" s="176">
        <v>4015922</v>
      </c>
      <c r="N56" s="176">
        <v>4017424</v>
      </c>
      <c r="O56" s="176">
        <v>4017419</v>
      </c>
      <c r="P56" s="176">
        <v>4017414</v>
      </c>
      <c r="Q56" s="178">
        <v>4018151</v>
      </c>
      <c r="R56" s="178">
        <v>4018129</v>
      </c>
      <c r="S56" s="180"/>
      <c r="T56" s="180"/>
      <c r="U56" s="180"/>
      <c r="V56" s="180"/>
      <c r="X56" s="176"/>
      <c r="Y56" s="176"/>
      <c r="Z56" s="176"/>
      <c r="AA56" s="177"/>
    </row>
    <row r="57" spans="1:27" s="11" customFormat="1">
      <c r="A57" s="175" t="s">
        <v>998</v>
      </c>
      <c r="B57" s="176">
        <v>4017869</v>
      </c>
      <c r="C57" s="177" t="s">
        <v>486</v>
      </c>
      <c r="D57" s="177" t="s">
        <v>492</v>
      </c>
      <c r="E57" s="172">
        <v>46325</v>
      </c>
      <c r="F57" s="172">
        <v>46357</v>
      </c>
      <c r="H57" s="176">
        <v>4017227</v>
      </c>
      <c r="I57" s="176">
        <v>4017223</v>
      </c>
      <c r="J57" s="176">
        <v>4017339</v>
      </c>
      <c r="K57" s="176">
        <v>4017398</v>
      </c>
      <c r="L57" s="176">
        <v>4015924</v>
      </c>
      <c r="M57" s="176">
        <v>4015922</v>
      </c>
      <c r="N57" s="176">
        <v>4017424</v>
      </c>
      <c r="O57" s="176">
        <v>4017419</v>
      </c>
      <c r="P57" s="176">
        <v>4017414</v>
      </c>
      <c r="Q57" s="178">
        <v>4018151</v>
      </c>
      <c r="R57" s="178">
        <v>4018129</v>
      </c>
      <c r="S57" s="180"/>
      <c r="T57" s="180"/>
      <c r="U57" s="180"/>
      <c r="V57" s="180"/>
      <c r="X57" s="176"/>
      <c r="Y57" s="176"/>
      <c r="Z57" s="176"/>
      <c r="AA57" s="177"/>
    </row>
    <row r="58" spans="1:27" s="11" customFormat="1">
      <c r="A58" s="175" t="s">
        <v>998</v>
      </c>
      <c r="B58" s="176">
        <v>4017855</v>
      </c>
      <c r="C58" s="177" t="s">
        <v>515</v>
      </c>
      <c r="D58" s="177" t="s">
        <v>516</v>
      </c>
      <c r="E58" s="172">
        <v>46325</v>
      </c>
      <c r="F58" s="172">
        <v>46357</v>
      </c>
      <c r="H58" s="176">
        <v>4017227</v>
      </c>
      <c r="I58" s="176">
        <v>4017223</v>
      </c>
      <c r="J58" s="176">
        <v>4017339</v>
      </c>
      <c r="K58" s="176">
        <v>4017398</v>
      </c>
      <c r="L58" s="176">
        <v>4015924</v>
      </c>
      <c r="M58" s="176">
        <v>4015922</v>
      </c>
      <c r="N58" s="176">
        <v>4017424</v>
      </c>
      <c r="O58" s="176">
        <v>4017419</v>
      </c>
      <c r="P58" s="176">
        <v>4017414</v>
      </c>
      <c r="Q58" s="178">
        <v>4018151</v>
      </c>
      <c r="R58" s="178">
        <v>4018129</v>
      </c>
      <c r="S58" s="180"/>
      <c r="T58" s="180"/>
      <c r="U58" s="180"/>
      <c r="V58" s="180"/>
      <c r="X58" s="176"/>
      <c r="Y58" s="176"/>
      <c r="Z58" s="176"/>
      <c r="AA58" s="177"/>
    </row>
    <row r="59" spans="1:27" s="11" customFormat="1">
      <c r="A59" s="175" t="s">
        <v>998</v>
      </c>
      <c r="B59" s="176">
        <v>4017860</v>
      </c>
      <c r="C59" s="177" t="s">
        <v>515</v>
      </c>
      <c r="D59" s="177" t="s">
        <v>518</v>
      </c>
      <c r="E59" s="172">
        <v>46325</v>
      </c>
      <c r="F59" s="172">
        <v>46357</v>
      </c>
      <c r="H59" s="176">
        <v>4017227</v>
      </c>
      <c r="I59" s="176">
        <v>4017223</v>
      </c>
      <c r="J59" s="176">
        <v>4017339</v>
      </c>
      <c r="K59" s="176">
        <v>4017398</v>
      </c>
      <c r="L59" s="176">
        <v>4015924</v>
      </c>
      <c r="M59" s="176">
        <v>4015922</v>
      </c>
      <c r="N59" s="176">
        <v>4017424</v>
      </c>
      <c r="O59" s="176">
        <v>4017419</v>
      </c>
      <c r="P59" s="176">
        <v>4017414</v>
      </c>
      <c r="Q59" s="178">
        <v>4018151</v>
      </c>
      <c r="R59" s="178">
        <v>4018129</v>
      </c>
      <c r="S59" s="180"/>
      <c r="T59" s="180"/>
      <c r="U59" s="180"/>
      <c r="V59" s="180"/>
      <c r="X59" s="176"/>
      <c r="Y59" s="176"/>
      <c r="Z59" s="176"/>
      <c r="AA59" s="177"/>
    </row>
    <row r="60" spans="1:27" s="11" customFormat="1">
      <c r="A60" s="175" t="s">
        <v>998</v>
      </c>
      <c r="B60" s="176">
        <v>4017872</v>
      </c>
      <c r="C60" s="177" t="s">
        <v>515</v>
      </c>
      <c r="D60" s="177" t="s">
        <v>517</v>
      </c>
      <c r="E60" s="172">
        <v>46325</v>
      </c>
      <c r="F60" s="172">
        <v>46357</v>
      </c>
      <c r="H60" s="176">
        <v>4017227</v>
      </c>
      <c r="I60" s="176">
        <v>4017223</v>
      </c>
      <c r="J60" s="176">
        <v>4017339</v>
      </c>
      <c r="K60" s="176">
        <v>4017398</v>
      </c>
      <c r="L60" s="176">
        <v>4015924</v>
      </c>
      <c r="M60" s="176">
        <v>4015922</v>
      </c>
      <c r="N60" s="176">
        <v>4017424</v>
      </c>
      <c r="O60" s="176">
        <v>4017419</v>
      </c>
      <c r="P60" s="176">
        <v>4017414</v>
      </c>
      <c r="Q60" s="178">
        <v>4018151</v>
      </c>
      <c r="R60" s="178">
        <v>4018129</v>
      </c>
      <c r="S60" s="180"/>
      <c r="T60" s="180"/>
      <c r="U60" s="180"/>
      <c r="V60" s="180"/>
      <c r="X60" s="176"/>
      <c r="Y60" s="176"/>
      <c r="Z60" s="176"/>
      <c r="AA60" s="177"/>
    </row>
    <row r="61" spans="1:27" s="11" customFormat="1">
      <c r="A61" s="175" t="s">
        <v>998</v>
      </c>
      <c r="B61" s="176">
        <v>4017876</v>
      </c>
      <c r="C61" s="177" t="s">
        <v>515</v>
      </c>
      <c r="D61" s="177" t="s">
        <v>519</v>
      </c>
      <c r="E61" s="172">
        <v>46325</v>
      </c>
      <c r="F61" s="172">
        <v>46357</v>
      </c>
      <c r="H61" s="176">
        <v>4017227</v>
      </c>
      <c r="I61" s="176">
        <v>4017223</v>
      </c>
      <c r="J61" s="176">
        <v>4017339</v>
      </c>
      <c r="K61" s="176">
        <v>4017398</v>
      </c>
      <c r="L61" s="176">
        <v>4015924</v>
      </c>
      <c r="M61" s="176">
        <v>4015922</v>
      </c>
      <c r="N61" s="176">
        <v>4017424</v>
      </c>
      <c r="O61" s="176">
        <v>4017419</v>
      </c>
      <c r="P61" s="176">
        <v>4017414</v>
      </c>
      <c r="Q61" s="178">
        <v>4018151</v>
      </c>
      <c r="R61" s="178">
        <v>4018129</v>
      </c>
      <c r="S61" s="180"/>
      <c r="T61" s="180"/>
      <c r="U61" s="180"/>
      <c r="V61" s="180"/>
      <c r="X61" s="176"/>
      <c r="Y61" s="176"/>
      <c r="Z61" s="176"/>
      <c r="AA61" s="177"/>
    </row>
    <row r="62" spans="1:27" s="11" customFormat="1">
      <c r="A62" s="175" t="s">
        <v>998</v>
      </c>
      <c r="B62" s="176">
        <v>4017852</v>
      </c>
      <c r="C62" s="177" t="s">
        <v>515</v>
      </c>
      <c r="D62" s="177" t="s">
        <v>520</v>
      </c>
      <c r="E62" s="172">
        <v>46325</v>
      </c>
      <c r="F62" s="172">
        <v>46357</v>
      </c>
      <c r="H62" s="176">
        <v>4017227</v>
      </c>
      <c r="I62" s="176">
        <v>4017223</v>
      </c>
      <c r="J62" s="176">
        <v>4017339</v>
      </c>
      <c r="K62" s="176">
        <v>4017398</v>
      </c>
      <c r="L62" s="176">
        <v>4015924</v>
      </c>
      <c r="M62" s="176">
        <v>4015922</v>
      </c>
      <c r="N62" s="176">
        <v>4017424</v>
      </c>
      <c r="O62" s="176">
        <v>4017419</v>
      </c>
      <c r="P62" s="176">
        <v>4017414</v>
      </c>
      <c r="Q62" s="178">
        <v>4018151</v>
      </c>
      <c r="R62" s="178">
        <v>4018129</v>
      </c>
      <c r="S62" s="180"/>
      <c r="T62" s="180"/>
      <c r="U62" s="180"/>
      <c r="V62" s="180"/>
      <c r="X62" s="176"/>
      <c r="Y62" s="176"/>
      <c r="Z62" s="176"/>
      <c r="AA62" s="177"/>
    </row>
    <row r="63" spans="1:27" s="11" customFormat="1">
      <c r="A63" s="175" t="s">
        <v>998</v>
      </c>
      <c r="B63" s="176">
        <v>4017857</v>
      </c>
      <c r="C63" s="177" t="s">
        <v>515</v>
      </c>
      <c r="D63" s="177" t="s">
        <v>521</v>
      </c>
      <c r="E63" s="172">
        <v>46325</v>
      </c>
      <c r="F63" s="172">
        <v>46357</v>
      </c>
      <c r="H63" s="176">
        <v>4017227</v>
      </c>
      <c r="I63" s="176">
        <v>4017223</v>
      </c>
      <c r="J63" s="176">
        <v>4017339</v>
      </c>
      <c r="K63" s="176">
        <v>4017398</v>
      </c>
      <c r="L63" s="176">
        <v>4015924</v>
      </c>
      <c r="M63" s="176">
        <v>4015922</v>
      </c>
      <c r="N63" s="176">
        <v>4017424</v>
      </c>
      <c r="O63" s="176">
        <v>4017419</v>
      </c>
      <c r="P63" s="176">
        <v>4017414</v>
      </c>
      <c r="Q63" s="178">
        <v>4018151</v>
      </c>
      <c r="R63" s="178">
        <v>4018129</v>
      </c>
      <c r="S63" s="180"/>
      <c r="T63" s="180"/>
      <c r="U63" s="180"/>
      <c r="V63" s="180"/>
      <c r="X63" s="176"/>
      <c r="Y63" s="176"/>
      <c r="Z63" s="176"/>
      <c r="AA63" s="177"/>
    </row>
    <row r="64" spans="1:27" s="11" customFormat="1">
      <c r="A64" s="188" t="s">
        <v>999</v>
      </c>
      <c r="B64" s="176">
        <v>4016985</v>
      </c>
      <c r="C64" s="177" t="s">
        <v>508</v>
      </c>
      <c r="D64" s="177" t="s">
        <v>509</v>
      </c>
      <c r="E64" s="172">
        <v>46211</v>
      </c>
      <c r="F64" s="172">
        <v>46357</v>
      </c>
      <c r="H64" s="176">
        <v>4017339</v>
      </c>
      <c r="I64" s="176">
        <v>4017398</v>
      </c>
      <c r="J64" s="176">
        <v>4015924</v>
      </c>
      <c r="K64" s="176">
        <v>4015922</v>
      </c>
      <c r="L64" s="176">
        <v>4017424</v>
      </c>
      <c r="M64" s="176">
        <v>4017419</v>
      </c>
      <c r="N64" s="176">
        <v>4017414</v>
      </c>
      <c r="O64" s="180"/>
      <c r="P64" s="180"/>
      <c r="Q64" s="180"/>
      <c r="R64" s="180"/>
      <c r="S64" s="180"/>
      <c r="T64" s="180"/>
      <c r="U64" s="180"/>
      <c r="V64" s="180"/>
      <c r="X64" s="176"/>
      <c r="Y64" s="176"/>
      <c r="Z64" s="176"/>
      <c r="AA64" s="177"/>
    </row>
    <row r="65" spans="1:27" s="11" customFormat="1">
      <c r="A65" s="178" t="s">
        <v>999</v>
      </c>
      <c r="B65" s="176">
        <v>4016999</v>
      </c>
      <c r="C65" s="177" t="s">
        <v>508</v>
      </c>
      <c r="D65" s="177" t="s">
        <v>510</v>
      </c>
      <c r="E65" s="172">
        <v>46211</v>
      </c>
      <c r="F65" s="172">
        <v>46357</v>
      </c>
      <c r="H65" s="176">
        <v>4017339</v>
      </c>
      <c r="I65" s="176">
        <v>4017398</v>
      </c>
      <c r="J65" s="176">
        <v>4015924</v>
      </c>
      <c r="K65" s="176">
        <v>4015922</v>
      </c>
      <c r="L65" s="176">
        <v>4017424</v>
      </c>
      <c r="M65" s="176">
        <v>4017419</v>
      </c>
      <c r="N65" s="176">
        <v>4017414</v>
      </c>
      <c r="O65" s="180"/>
      <c r="P65" s="180"/>
      <c r="Q65" s="180"/>
      <c r="R65" s="180"/>
      <c r="S65" s="180"/>
      <c r="T65" s="180"/>
      <c r="U65" s="180"/>
      <c r="V65" s="180"/>
      <c r="X65" s="176"/>
      <c r="Y65" s="176"/>
      <c r="Z65" s="176"/>
      <c r="AA65" s="177"/>
    </row>
    <row r="66" spans="1:27" s="11" customFormat="1">
      <c r="A66" s="178" t="s">
        <v>999</v>
      </c>
      <c r="B66" s="176">
        <v>4017065</v>
      </c>
      <c r="C66" s="177" t="s">
        <v>508</v>
      </c>
      <c r="D66" s="177" t="s">
        <v>511</v>
      </c>
      <c r="E66" s="172">
        <v>46211</v>
      </c>
      <c r="F66" s="172">
        <v>46357</v>
      </c>
      <c r="H66" s="176">
        <v>4017339</v>
      </c>
      <c r="I66" s="176">
        <v>4017398</v>
      </c>
      <c r="J66" s="176">
        <v>4015924</v>
      </c>
      <c r="K66" s="176">
        <v>4015922</v>
      </c>
      <c r="L66" s="176">
        <v>4017424</v>
      </c>
      <c r="M66" s="176">
        <v>4017419</v>
      </c>
      <c r="N66" s="176">
        <v>4017414</v>
      </c>
      <c r="O66" s="180"/>
      <c r="P66" s="180"/>
      <c r="Q66" s="180"/>
      <c r="R66" s="180"/>
      <c r="S66" s="180"/>
      <c r="T66" s="180"/>
      <c r="U66" s="180"/>
      <c r="V66" s="180"/>
      <c r="X66" s="176"/>
      <c r="Y66" s="176"/>
      <c r="Z66" s="176"/>
      <c r="AA66" s="177"/>
    </row>
    <row r="67" spans="1:27" s="11" customFormat="1">
      <c r="A67" s="178" t="s">
        <v>999</v>
      </c>
      <c r="B67" s="176">
        <v>4016977</v>
      </c>
      <c r="C67" s="177" t="s">
        <v>508</v>
      </c>
      <c r="D67" s="177" t="s">
        <v>512</v>
      </c>
      <c r="E67" s="172">
        <v>46211</v>
      </c>
      <c r="F67" s="172">
        <v>46357</v>
      </c>
      <c r="H67" s="176">
        <v>4017339</v>
      </c>
      <c r="I67" s="176">
        <v>4017398</v>
      </c>
      <c r="J67" s="176">
        <v>4015924</v>
      </c>
      <c r="K67" s="176">
        <v>4015922</v>
      </c>
      <c r="L67" s="176">
        <v>4017424</v>
      </c>
      <c r="M67" s="176">
        <v>4017419</v>
      </c>
      <c r="N67" s="176">
        <v>4017414</v>
      </c>
      <c r="O67" s="180"/>
      <c r="P67" s="180"/>
      <c r="Q67" s="180"/>
      <c r="R67" s="180"/>
      <c r="S67" s="180"/>
      <c r="T67" s="180"/>
      <c r="U67" s="180"/>
      <c r="V67" s="180"/>
      <c r="X67" s="176"/>
      <c r="Y67" s="176"/>
      <c r="Z67" s="176"/>
      <c r="AA67" s="177"/>
    </row>
    <row r="68" spans="1:27" s="11" customFormat="1">
      <c r="A68" s="178" t="s">
        <v>999</v>
      </c>
      <c r="B68" s="176">
        <v>4016993</v>
      </c>
      <c r="C68" s="177" t="s">
        <v>508</v>
      </c>
      <c r="D68" s="177" t="s">
        <v>513</v>
      </c>
      <c r="E68" s="172">
        <v>46211</v>
      </c>
      <c r="F68" s="172">
        <v>46357</v>
      </c>
      <c r="H68" s="176">
        <v>4017339</v>
      </c>
      <c r="I68" s="176">
        <v>4017398</v>
      </c>
      <c r="J68" s="176">
        <v>4015924</v>
      </c>
      <c r="K68" s="176">
        <v>4015922</v>
      </c>
      <c r="L68" s="176">
        <v>4017424</v>
      </c>
      <c r="M68" s="176">
        <v>4017419</v>
      </c>
      <c r="N68" s="176">
        <v>4017414</v>
      </c>
      <c r="O68" s="180"/>
      <c r="P68" s="180"/>
      <c r="Q68" s="180"/>
      <c r="R68" s="180"/>
      <c r="S68" s="180"/>
      <c r="T68" s="180"/>
      <c r="U68" s="180"/>
      <c r="V68" s="180"/>
      <c r="X68" s="176"/>
      <c r="Y68" s="176"/>
      <c r="Z68" s="176"/>
      <c r="AA68" s="177"/>
    </row>
    <row r="69" spans="1:27" s="11" customFormat="1">
      <c r="A69" s="178" t="s">
        <v>999</v>
      </c>
      <c r="B69" s="176">
        <v>4017064</v>
      </c>
      <c r="C69" s="177" t="s">
        <v>508</v>
      </c>
      <c r="D69" s="177" t="s">
        <v>514</v>
      </c>
      <c r="E69" s="172">
        <v>46211</v>
      </c>
      <c r="F69" s="172">
        <v>46357</v>
      </c>
      <c r="H69" s="176">
        <v>4017339</v>
      </c>
      <c r="I69" s="176">
        <v>4017398</v>
      </c>
      <c r="J69" s="176">
        <v>4015924</v>
      </c>
      <c r="K69" s="176">
        <v>4015922</v>
      </c>
      <c r="L69" s="176">
        <v>4017424</v>
      </c>
      <c r="M69" s="176">
        <v>4017419</v>
      </c>
      <c r="N69" s="176">
        <v>4017414</v>
      </c>
      <c r="O69" s="180"/>
      <c r="P69" s="180"/>
      <c r="Q69" s="180"/>
      <c r="R69" s="180"/>
      <c r="S69" s="180"/>
      <c r="T69" s="180"/>
      <c r="U69" s="180"/>
      <c r="V69" s="180"/>
      <c r="X69" s="176"/>
      <c r="Y69" s="176"/>
      <c r="Z69" s="176"/>
      <c r="AA69" s="177"/>
    </row>
    <row r="70" spans="1:27" s="11" customFormat="1">
      <c r="A70" s="175" t="s">
        <v>1000</v>
      </c>
      <c r="B70" s="176">
        <v>4016839</v>
      </c>
      <c r="C70" s="177" t="s">
        <v>607</v>
      </c>
      <c r="D70" s="177" t="s">
        <v>608</v>
      </c>
      <c r="E70" s="172">
        <v>46325</v>
      </c>
      <c r="F70" s="172">
        <v>46357</v>
      </c>
      <c r="H70" s="176">
        <v>4017785</v>
      </c>
      <c r="I70" s="176">
        <v>4017780</v>
      </c>
      <c r="J70" s="176">
        <v>4017227</v>
      </c>
      <c r="K70" s="176">
        <v>4017223</v>
      </c>
      <c r="L70" s="178">
        <v>4018151</v>
      </c>
      <c r="M70" s="178">
        <v>4018129</v>
      </c>
      <c r="N70" s="187"/>
      <c r="O70" s="187"/>
      <c r="P70" s="187"/>
      <c r="Q70" s="187"/>
      <c r="R70" s="180"/>
      <c r="S70" s="180"/>
      <c r="T70" s="180"/>
      <c r="U70" s="180"/>
      <c r="V70" s="180"/>
      <c r="X70" s="176"/>
      <c r="Y70" s="176"/>
      <c r="Z70" s="176"/>
      <c r="AA70" s="177"/>
    </row>
    <row r="71" spans="1:27" s="11" customFormat="1">
      <c r="A71" s="175" t="s">
        <v>1000</v>
      </c>
      <c r="B71" s="176">
        <v>4016872</v>
      </c>
      <c r="C71" s="177" t="s">
        <v>607</v>
      </c>
      <c r="D71" s="177" t="s">
        <v>609</v>
      </c>
      <c r="E71" s="172">
        <v>46325</v>
      </c>
      <c r="F71" s="172">
        <v>46357</v>
      </c>
      <c r="H71" s="176">
        <v>4017785</v>
      </c>
      <c r="I71" s="176">
        <v>4017780</v>
      </c>
      <c r="J71" s="176">
        <v>4017227</v>
      </c>
      <c r="K71" s="176">
        <v>4017223</v>
      </c>
      <c r="L71" s="178">
        <v>4018151</v>
      </c>
      <c r="M71" s="178">
        <v>4018129</v>
      </c>
      <c r="N71" s="187"/>
      <c r="O71" s="187"/>
      <c r="P71" s="187"/>
      <c r="Q71" s="187"/>
      <c r="R71" s="180"/>
      <c r="S71" s="180"/>
      <c r="T71" s="180"/>
      <c r="U71" s="180"/>
      <c r="V71" s="180"/>
      <c r="X71" s="176"/>
      <c r="Y71" s="176"/>
      <c r="Z71" s="176"/>
      <c r="AA71" s="177"/>
    </row>
    <row r="72" spans="1:27" s="11" customFormat="1">
      <c r="A72" s="175" t="s">
        <v>1000</v>
      </c>
      <c r="B72" s="176">
        <v>4016858</v>
      </c>
      <c r="C72" s="177" t="s">
        <v>607</v>
      </c>
      <c r="D72" s="177" t="s">
        <v>610</v>
      </c>
      <c r="E72" s="172">
        <v>46325</v>
      </c>
      <c r="F72" s="172">
        <v>46357</v>
      </c>
      <c r="H72" s="176">
        <v>4017785</v>
      </c>
      <c r="I72" s="176">
        <v>4017780</v>
      </c>
      <c r="J72" s="176">
        <v>4017227</v>
      </c>
      <c r="K72" s="176">
        <v>4017223</v>
      </c>
      <c r="L72" s="178">
        <v>4018151</v>
      </c>
      <c r="M72" s="178">
        <v>4018129</v>
      </c>
      <c r="N72" s="187"/>
      <c r="O72" s="187"/>
      <c r="P72" s="187"/>
      <c r="Q72" s="187"/>
      <c r="R72" s="180"/>
      <c r="S72" s="180"/>
      <c r="T72" s="180"/>
      <c r="U72" s="180"/>
      <c r="V72" s="180"/>
      <c r="X72" s="176"/>
      <c r="Y72" s="176"/>
      <c r="Z72" s="176"/>
      <c r="AA72" s="177"/>
    </row>
    <row r="73" spans="1:27" s="11" customFormat="1">
      <c r="A73" s="175" t="s">
        <v>1000</v>
      </c>
      <c r="B73" s="176">
        <v>4016863</v>
      </c>
      <c r="C73" s="177" t="s">
        <v>607</v>
      </c>
      <c r="D73" s="177" t="s">
        <v>611</v>
      </c>
      <c r="E73" s="172">
        <v>46325</v>
      </c>
      <c r="F73" s="172">
        <v>46357</v>
      </c>
      <c r="H73" s="176">
        <v>4017785</v>
      </c>
      <c r="I73" s="176">
        <v>4017780</v>
      </c>
      <c r="J73" s="176">
        <v>4017227</v>
      </c>
      <c r="K73" s="176">
        <v>4017223</v>
      </c>
      <c r="L73" s="178">
        <v>4018151</v>
      </c>
      <c r="M73" s="178">
        <v>4018129</v>
      </c>
      <c r="N73" s="187"/>
      <c r="O73" s="187"/>
      <c r="P73" s="187"/>
      <c r="Q73" s="187"/>
      <c r="R73" s="180"/>
      <c r="S73" s="180"/>
      <c r="T73" s="180"/>
      <c r="U73" s="180"/>
      <c r="V73" s="180"/>
      <c r="X73" s="176"/>
      <c r="Y73" s="176"/>
      <c r="Z73" s="176"/>
      <c r="AA73" s="177"/>
    </row>
    <row r="74" spans="1:27" s="11" customFormat="1">
      <c r="A74" s="175" t="s">
        <v>1000</v>
      </c>
      <c r="B74" s="176">
        <v>4016886</v>
      </c>
      <c r="C74" s="177" t="s">
        <v>607</v>
      </c>
      <c r="D74" s="177" t="s">
        <v>612</v>
      </c>
      <c r="E74" s="172">
        <v>46325</v>
      </c>
      <c r="F74" s="172">
        <v>46357</v>
      </c>
      <c r="H74" s="176">
        <v>4017785</v>
      </c>
      <c r="I74" s="176">
        <v>4017780</v>
      </c>
      <c r="J74" s="176">
        <v>4017227</v>
      </c>
      <c r="K74" s="176">
        <v>4017223</v>
      </c>
      <c r="L74" s="178">
        <v>4018151</v>
      </c>
      <c r="M74" s="178">
        <v>4018129</v>
      </c>
      <c r="N74" s="187"/>
      <c r="O74" s="187"/>
      <c r="P74" s="180"/>
      <c r="Q74" s="180"/>
      <c r="R74" s="180"/>
      <c r="S74" s="180"/>
      <c r="T74" s="180"/>
      <c r="U74" s="180"/>
      <c r="V74" s="180"/>
      <c r="X74" s="176"/>
      <c r="Y74" s="176"/>
      <c r="Z74" s="176"/>
      <c r="AA74" s="177"/>
    </row>
    <row r="75" spans="1:27" s="11" customFormat="1">
      <c r="A75" s="175" t="s">
        <v>1000</v>
      </c>
      <c r="B75" s="176">
        <v>4016901</v>
      </c>
      <c r="C75" s="177" t="s">
        <v>607</v>
      </c>
      <c r="D75" s="177" t="s">
        <v>613</v>
      </c>
      <c r="E75" s="172">
        <v>46325</v>
      </c>
      <c r="F75" s="172">
        <v>46357</v>
      </c>
      <c r="H75" s="176">
        <v>4017785</v>
      </c>
      <c r="I75" s="176">
        <v>4017780</v>
      </c>
      <c r="J75" s="176">
        <v>4017227</v>
      </c>
      <c r="K75" s="176">
        <v>4017223</v>
      </c>
      <c r="L75" s="178">
        <v>4018151</v>
      </c>
      <c r="M75" s="178">
        <v>4018129</v>
      </c>
      <c r="N75" s="187"/>
      <c r="O75" s="187"/>
      <c r="P75" s="180"/>
      <c r="Q75" s="180"/>
      <c r="R75" s="180"/>
      <c r="S75" s="180"/>
      <c r="T75" s="180"/>
      <c r="U75" s="180"/>
      <c r="V75" s="180"/>
      <c r="X75" s="176"/>
      <c r="Y75" s="176"/>
      <c r="Z75" s="176"/>
      <c r="AA75" s="177"/>
    </row>
    <row r="76" spans="1:27" s="11" customFormat="1">
      <c r="A76" s="175" t="s">
        <v>1000</v>
      </c>
      <c r="B76" s="176">
        <v>4016895</v>
      </c>
      <c r="C76" s="177" t="s">
        <v>607</v>
      </c>
      <c r="D76" s="177" t="s">
        <v>614</v>
      </c>
      <c r="E76" s="172">
        <v>46325</v>
      </c>
      <c r="F76" s="172">
        <v>46357</v>
      </c>
      <c r="H76" s="176">
        <v>4017785</v>
      </c>
      <c r="I76" s="176">
        <v>4017780</v>
      </c>
      <c r="J76" s="176">
        <v>4017227</v>
      </c>
      <c r="K76" s="176">
        <v>4017223</v>
      </c>
      <c r="L76" s="178">
        <v>4018151</v>
      </c>
      <c r="M76" s="178">
        <v>4018129</v>
      </c>
      <c r="N76" s="187"/>
      <c r="O76" s="187"/>
      <c r="P76" s="180"/>
      <c r="Q76" s="180"/>
      <c r="R76" s="180"/>
      <c r="S76" s="180"/>
      <c r="T76" s="180"/>
      <c r="U76" s="180"/>
      <c r="V76" s="180"/>
      <c r="X76" s="176"/>
      <c r="Y76" s="176"/>
      <c r="Z76" s="176"/>
      <c r="AA76" s="177"/>
    </row>
    <row r="77" spans="1:27" s="11" customFormat="1">
      <c r="A77" s="175" t="s">
        <v>1000</v>
      </c>
      <c r="B77" s="176">
        <v>4016880</v>
      </c>
      <c r="C77" s="177" t="s">
        <v>607</v>
      </c>
      <c r="D77" s="177" t="s">
        <v>615</v>
      </c>
      <c r="E77" s="172">
        <v>46325</v>
      </c>
      <c r="F77" s="172">
        <v>46357</v>
      </c>
      <c r="H77" s="176">
        <v>4017785</v>
      </c>
      <c r="I77" s="176">
        <v>4017780</v>
      </c>
      <c r="J77" s="176">
        <v>4017227</v>
      </c>
      <c r="K77" s="176">
        <v>4017223</v>
      </c>
      <c r="L77" s="178">
        <v>4018151</v>
      </c>
      <c r="M77" s="178">
        <v>4018129</v>
      </c>
      <c r="N77" s="187"/>
      <c r="O77" s="187"/>
      <c r="P77" s="180"/>
      <c r="Q77" s="180"/>
      <c r="R77" s="180"/>
      <c r="S77" s="180"/>
      <c r="T77" s="180"/>
      <c r="U77" s="180"/>
      <c r="V77" s="180"/>
      <c r="X77" s="176"/>
      <c r="Y77" s="176"/>
      <c r="Z77" s="176"/>
      <c r="AA77" s="177"/>
    </row>
    <row r="78" spans="1:27" s="11" customFormat="1">
      <c r="A78" s="175" t="s">
        <v>1000</v>
      </c>
      <c r="B78" s="176">
        <v>4016871</v>
      </c>
      <c r="C78" s="177" t="s">
        <v>616</v>
      </c>
      <c r="D78" s="177" t="s">
        <v>617</v>
      </c>
      <c r="E78" s="172">
        <v>46325</v>
      </c>
      <c r="F78" s="172">
        <v>46357</v>
      </c>
      <c r="H78" s="176">
        <v>4017227</v>
      </c>
      <c r="I78" s="176">
        <v>4017223</v>
      </c>
      <c r="J78" s="176">
        <v>4017785</v>
      </c>
      <c r="K78" s="176">
        <v>4017780</v>
      </c>
      <c r="L78" s="178">
        <v>4018151</v>
      </c>
      <c r="M78" s="178">
        <v>4018129</v>
      </c>
      <c r="N78" s="187"/>
      <c r="O78" s="187"/>
      <c r="P78" s="180"/>
      <c r="Q78" s="180"/>
      <c r="R78" s="180"/>
      <c r="S78" s="180"/>
      <c r="T78" s="180"/>
      <c r="U78" s="180"/>
      <c r="V78" s="180"/>
      <c r="X78" s="176"/>
      <c r="Y78" s="176"/>
      <c r="Z78" s="176"/>
      <c r="AA78" s="177"/>
    </row>
    <row r="79" spans="1:27" s="11" customFormat="1">
      <c r="A79" s="175" t="s">
        <v>1000</v>
      </c>
      <c r="B79" s="176">
        <v>4016851</v>
      </c>
      <c r="C79" s="177" t="s">
        <v>616</v>
      </c>
      <c r="D79" s="177" t="s">
        <v>618</v>
      </c>
      <c r="E79" s="172">
        <v>46325</v>
      </c>
      <c r="F79" s="172">
        <v>46357</v>
      </c>
      <c r="H79" s="176">
        <v>4017227</v>
      </c>
      <c r="I79" s="176">
        <v>4017223</v>
      </c>
      <c r="J79" s="176">
        <v>4017785</v>
      </c>
      <c r="K79" s="176">
        <v>4017780</v>
      </c>
      <c r="L79" s="178">
        <v>4018151</v>
      </c>
      <c r="M79" s="178">
        <v>4018129</v>
      </c>
      <c r="N79" s="187"/>
      <c r="O79" s="187"/>
      <c r="P79" s="180"/>
      <c r="Q79" s="180"/>
      <c r="R79" s="180"/>
      <c r="S79" s="180"/>
      <c r="T79" s="180"/>
      <c r="U79" s="180"/>
      <c r="V79" s="180"/>
      <c r="X79" s="176"/>
      <c r="Y79" s="176"/>
      <c r="Z79" s="176"/>
      <c r="AA79" s="177"/>
    </row>
    <row r="80" spans="1:27" s="11" customFormat="1">
      <c r="A80" s="175" t="s">
        <v>1000</v>
      </c>
      <c r="B80" s="176">
        <v>4016864</v>
      </c>
      <c r="C80" s="177" t="s">
        <v>616</v>
      </c>
      <c r="D80" s="177" t="s">
        <v>619</v>
      </c>
      <c r="E80" s="172">
        <v>46325</v>
      </c>
      <c r="F80" s="172">
        <v>46357</v>
      </c>
      <c r="H80" s="176">
        <v>4017227</v>
      </c>
      <c r="I80" s="176">
        <v>4017223</v>
      </c>
      <c r="J80" s="176">
        <v>4017785</v>
      </c>
      <c r="K80" s="176">
        <v>4017780</v>
      </c>
      <c r="L80" s="178">
        <v>4018151</v>
      </c>
      <c r="M80" s="178">
        <v>4018129</v>
      </c>
      <c r="N80" s="187"/>
      <c r="O80" s="187"/>
      <c r="P80" s="180"/>
      <c r="Q80" s="180"/>
      <c r="R80" s="180"/>
      <c r="S80" s="180"/>
      <c r="T80" s="180"/>
      <c r="U80" s="180"/>
      <c r="V80" s="180"/>
      <c r="X80" s="176"/>
      <c r="Y80" s="176"/>
      <c r="Z80" s="176"/>
      <c r="AA80" s="177"/>
    </row>
    <row r="81" spans="1:27" s="11" customFormat="1">
      <c r="A81" s="175" t="s">
        <v>1000</v>
      </c>
      <c r="B81" s="176">
        <v>4016900</v>
      </c>
      <c r="C81" s="177" t="s">
        <v>616</v>
      </c>
      <c r="D81" s="177" t="s">
        <v>620</v>
      </c>
      <c r="E81" s="172">
        <v>46325</v>
      </c>
      <c r="F81" s="172">
        <v>46357</v>
      </c>
      <c r="H81" s="176">
        <v>4017227</v>
      </c>
      <c r="I81" s="176">
        <v>4017223</v>
      </c>
      <c r="J81" s="176">
        <v>4017785</v>
      </c>
      <c r="K81" s="176">
        <v>4017780</v>
      </c>
      <c r="L81" s="178">
        <v>4018151</v>
      </c>
      <c r="M81" s="178">
        <v>4018129</v>
      </c>
      <c r="N81" s="187"/>
      <c r="O81" s="187"/>
      <c r="P81" s="180"/>
      <c r="Q81" s="180"/>
      <c r="R81" s="180"/>
      <c r="S81" s="180"/>
      <c r="T81" s="180"/>
      <c r="U81" s="180"/>
      <c r="V81" s="180"/>
      <c r="X81" s="176"/>
      <c r="Y81" s="176"/>
      <c r="Z81" s="176"/>
      <c r="AA81" s="177"/>
    </row>
    <row r="82" spans="1:27" s="11" customFormat="1">
      <c r="A82" s="175" t="s">
        <v>1000</v>
      </c>
      <c r="B82" s="176">
        <v>4016893</v>
      </c>
      <c r="C82" s="177" t="s">
        <v>616</v>
      </c>
      <c r="D82" s="177" t="s">
        <v>621</v>
      </c>
      <c r="E82" s="172">
        <v>46325</v>
      </c>
      <c r="F82" s="172">
        <v>46357</v>
      </c>
      <c r="H82" s="176">
        <v>4017227</v>
      </c>
      <c r="I82" s="176">
        <v>4017223</v>
      </c>
      <c r="J82" s="176">
        <v>4017785</v>
      </c>
      <c r="K82" s="176">
        <v>4017780</v>
      </c>
      <c r="L82" s="178">
        <v>4018151</v>
      </c>
      <c r="M82" s="178">
        <v>4018129</v>
      </c>
      <c r="N82" s="187"/>
      <c r="O82" s="187"/>
      <c r="P82" s="180"/>
      <c r="Q82" s="180"/>
      <c r="R82" s="180"/>
      <c r="S82" s="180"/>
      <c r="T82" s="180"/>
      <c r="U82" s="180"/>
      <c r="V82" s="180"/>
      <c r="X82" s="176"/>
      <c r="Y82" s="176"/>
      <c r="Z82" s="176"/>
      <c r="AA82" s="177"/>
    </row>
    <row r="83" spans="1:27" s="11" customFormat="1">
      <c r="A83" s="175" t="s">
        <v>1000</v>
      </c>
      <c r="B83" s="176">
        <v>4016879</v>
      </c>
      <c r="C83" s="177" t="s">
        <v>616</v>
      </c>
      <c r="D83" s="177" t="s">
        <v>622</v>
      </c>
      <c r="E83" s="172">
        <v>46325</v>
      </c>
      <c r="F83" s="172">
        <v>46357</v>
      </c>
      <c r="H83" s="176">
        <v>4017227</v>
      </c>
      <c r="I83" s="176">
        <v>4017223</v>
      </c>
      <c r="J83" s="176">
        <v>4017785</v>
      </c>
      <c r="K83" s="176">
        <v>4017780</v>
      </c>
      <c r="L83" s="178">
        <v>4018151</v>
      </c>
      <c r="M83" s="178">
        <v>4018129</v>
      </c>
      <c r="N83" s="187"/>
      <c r="O83" s="187"/>
      <c r="P83" s="180"/>
      <c r="Q83" s="180"/>
      <c r="R83" s="180"/>
      <c r="S83" s="180"/>
      <c r="T83" s="180"/>
      <c r="U83" s="180"/>
      <c r="V83" s="180"/>
      <c r="X83" s="176"/>
      <c r="Y83" s="176"/>
      <c r="Z83" s="176"/>
      <c r="AA83" s="177"/>
    </row>
    <row r="84" spans="1:27" s="11" customFormat="1">
      <c r="A84" s="175" t="s">
        <v>1000</v>
      </c>
      <c r="B84" s="176">
        <v>4016902</v>
      </c>
      <c r="C84" s="177" t="s">
        <v>623</v>
      </c>
      <c r="D84" s="177" t="s">
        <v>624</v>
      </c>
      <c r="E84" s="172">
        <v>46325</v>
      </c>
      <c r="F84" s="172">
        <v>46357</v>
      </c>
      <c r="H84" s="176">
        <v>4017227</v>
      </c>
      <c r="I84" s="176">
        <v>4017223</v>
      </c>
      <c r="J84" s="176">
        <v>4017785</v>
      </c>
      <c r="K84" s="176">
        <v>4017780</v>
      </c>
      <c r="L84" s="178">
        <v>4018151</v>
      </c>
      <c r="M84" s="178">
        <v>4018129</v>
      </c>
      <c r="N84" s="187"/>
      <c r="O84" s="187"/>
      <c r="P84" s="180"/>
      <c r="Q84" s="180"/>
      <c r="R84" s="180"/>
      <c r="S84" s="180"/>
      <c r="T84" s="180"/>
      <c r="U84" s="180"/>
      <c r="V84" s="180"/>
      <c r="X84" s="176"/>
      <c r="Y84" s="176"/>
      <c r="Z84" s="176"/>
      <c r="AA84" s="177"/>
    </row>
    <row r="85" spans="1:27" s="11" customFormat="1">
      <c r="A85" s="175" t="s">
        <v>1000</v>
      </c>
      <c r="B85" s="176">
        <v>4016881</v>
      </c>
      <c r="C85" s="177" t="s">
        <v>623</v>
      </c>
      <c r="D85" s="177" t="s">
        <v>625</v>
      </c>
      <c r="E85" s="172">
        <v>46325</v>
      </c>
      <c r="F85" s="172">
        <v>46357</v>
      </c>
      <c r="H85" s="176">
        <v>4017227</v>
      </c>
      <c r="I85" s="176">
        <v>4017223</v>
      </c>
      <c r="J85" s="176">
        <v>4017785</v>
      </c>
      <c r="K85" s="176">
        <v>4017780</v>
      </c>
      <c r="L85" s="178">
        <v>4018151</v>
      </c>
      <c r="M85" s="178">
        <v>4018129</v>
      </c>
      <c r="N85" s="187"/>
      <c r="O85" s="187"/>
      <c r="P85" s="180"/>
      <c r="Q85" s="180"/>
      <c r="R85" s="180"/>
      <c r="S85" s="180"/>
      <c r="T85" s="180"/>
      <c r="U85" s="180"/>
      <c r="V85" s="180"/>
      <c r="X85" s="176"/>
      <c r="Y85" s="176"/>
      <c r="Z85" s="176"/>
      <c r="AA85" s="177"/>
    </row>
    <row r="86" spans="1:27" s="11" customFormat="1">
      <c r="A86" s="175" t="s">
        <v>1000</v>
      </c>
      <c r="B86" s="176">
        <v>4016894</v>
      </c>
      <c r="C86" s="177" t="s">
        <v>623</v>
      </c>
      <c r="D86" s="177" t="s">
        <v>626</v>
      </c>
      <c r="E86" s="172">
        <v>46325</v>
      </c>
      <c r="F86" s="172">
        <v>46357</v>
      </c>
      <c r="H86" s="176">
        <v>4017227</v>
      </c>
      <c r="I86" s="176">
        <v>4017223</v>
      </c>
      <c r="J86" s="176">
        <v>4017785</v>
      </c>
      <c r="K86" s="176">
        <v>4017780</v>
      </c>
      <c r="L86" s="178">
        <v>4018151</v>
      </c>
      <c r="M86" s="178">
        <v>4018129</v>
      </c>
      <c r="N86" s="187"/>
      <c r="O86" s="187"/>
      <c r="P86" s="180"/>
      <c r="Q86" s="180"/>
      <c r="R86" s="180"/>
      <c r="S86" s="180"/>
      <c r="T86" s="180"/>
      <c r="U86" s="180"/>
      <c r="V86" s="180"/>
      <c r="X86" s="176"/>
      <c r="Y86" s="176"/>
      <c r="Z86" s="176"/>
      <c r="AA86" s="177"/>
    </row>
    <row r="87" spans="1:27" s="11" customFormat="1">
      <c r="A87" s="175" t="s">
        <v>1000</v>
      </c>
      <c r="B87" s="176">
        <v>4016875</v>
      </c>
      <c r="C87" s="177" t="s">
        <v>627</v>
      </c>
      <c r="D87" s="177" t="s">
        <v>628</v>
      </c>
      <c r="E87" s="172">
        <v>46325</v>
      </c>
      <c r="F87" s="172">
        <v>46357</v>
      </c>
      <c r="H87" s="176">
        <v>4017227</v>
      </c>
      <c r="I87" s="176">
        <v>4017223</v>
      </c>
      <c r="J87" s="176">
        <v>4017785</v>
      </c>
      <c r="K87" s="176">
        <v>4017780</v>
      </c>
      <c r="L87" s="178">
        <v>4018151</v>
      </c>
      <c r="M87" s="178">
        <v>4018129</v>
      </c>
      <c r="N87" s="187"/>
      <c r="O87" s="187"/>
      <c r="P87" s="180"/>
      <c r="Q87" s="180"/>
      <c r="R87" s="180"/>
      <c r="S87" s="180"/>
      <c r="T87" s="180"/>
      <c r="U87" s="180"/>
      <c r="V87" s="180"/>
      <c r="X87" s="176"/>
      <c r="Y87" s="176"/>
      <c r="Z87" s="176"/>
      <c r="AA87" s="177"/>
    </row>
    <row r="88" spans="1:27" s="11" customFormat="1">
      <c r="A88" s="175" t="s">
        <v>1000</v>
      </c>
      <c r="B88" s="176">
        <v>4016859</v>
      </c>
      <c r="C88" s="177" t="s">
        <v>627</v>
      </c>
      <c r="D88" s="177" t="s">
        <v>629</v>
      </c>
      <c r="E88" s="172">
        <v>46325</v>
      </c>
      <c r="F88" s="172">
        <v>46357</v>
      </c>
      <c r="H88" s="176">
        <v>4017227</v>
      </c>
      <c r="I88" s="176">
        <v>4017223</v>
      </c>
      <c r="J88" s="176">
        <v>4017785</v>
      </c>
      <c r="K88" s="176">
        <v>4017780</v>
      </c>
      <c r="L88" s="178">
        <v>4018151</v>
      </c>
      <c r="M88" s="178">
        <v>4018129</v>
      </c>
      <c r="N88" s="187"/>
      <c r="O88" s="187"/>
      <c r="P88" s="180"/>
      <c r="Q88" s="180"/>
      <c r="R88" s="180"/>
      <c r="S88" s="180"/>
      <c r="T88" s="180"/>
      <c r="U88" s="180"/>
      <c r="V88" s="180"/>
      <c r="X88" s="176"/>
      <c r="Y88" s="176"/>
      <c r="Z88" s="176"/>
      <c r="AA88" s="177"/>
    </row>
    <row r="89" spans="1:27" s="11" customFormat="1">
      <c r="A89" s="175" t="s">
        <v>1000</v>
      </c>
      <c r="B89" s="176">
        <v>4016852</v>
      </c>
      <c r="C89" s="177" t="s">
        <v>627</v>
      </c>
      <c r="D89" s="177" t="s">
        <v>630</v>
      </c>
      <c r="E89" s="172">
        <v>46325</v>
      </c>
      <c r="F89" s="172">
        <v>46357</v>
      </c>
      <c r="H89" s="176">
        <v>4017227</v>
      </c>
      <c r="I89" s="176">
        <v>4017223</v>
      </c>
      <c r="J89" s="176">
        <v>4017785</v>
      </c>
      <c r="K89" s="176">
        <v>4017780</v>
      </c>
      <c r="L89" s="178">
        <v>4018151</v>
      </c>
      <c r="M89" s="178">
        <v>4018129</v>
      </c>
      <c r="N89" s="187"/>
      <c r="O89" s="187"/>
      <c r="P89" s="180"/>
      <c r="Q89" s="180"/>
      <c r="R89" s="180"/>
      <c r="S89" s="180"/>
      <c r="T89" s="180"/>
      <c r="U89" s="180"/>
      <c r="V89" s="180"/>
      <c r="X89" s="176"/>
      <c r="Y89" s="176"/>
      <c r="Z89" s="176"/>
      <c r="AA89" s="177"/>
    </row>
    <row r="90" spans="1:27" s="11" customFormat="1">
      <c r="A90" s="175" t="s">
        <v>1000</v>
      </c>
      <c r="B90" s="176">
        <v>4016905</v>
      </c>
      <c r="C90" s="177" t="s">
        <v>627</v>
      </c>
      <c r="D90" s="177" t="s">
        <v>631</v>
      </c>
      <c r="E90" s="172">
        <v>46325</v>
      </c>
      <c r="F90" s="172">
        <v>46357</v>
      </c>
      <c r="H90" s="176">
        <v>4017227</v>
      </c>
      <c r="I90" s="176">
        <v>4017223</v>
      </c>
      <c r="J90" s="176">
        <v>4017785</v>
      </c>
      <c r="K90" s="176">
        <v>4017780</v>
      </c>
      <c r="L90" s="178">
        <v>4018151</v>
      </c>
      <c r="M90" s="178">
        <v>4018129</v>
      </c>
      <c r="N90" s="187"/>
      <c r="O90" s="187"/>
      <c r="P90" s="180"/>
      <c r="Q90" s="180"/>
      <c r="R90" s="180"/>
      <c r="S90" s="180"/>
      <c r="T90" s="180"/>
      <c r="U90" s="180"/>
      <c r="V90" s="180"/>
      <c r="X90" s="176"/>
      <c r="Y90" s="176"/>
      <c r="Z90" s="176"/>
      <c r="AA90" s="177"/>
    </row>
    <row r="91" spans="1:27" s="11" customFormat="1">
      <c r="A91" s="175" t="s">
        <v>1000</v>
      </c>
      <c r="B91" s="176">
        <v>4016890</v>
      </c>
      <c r="C91" s="177" t="s">
        <v>627</v>
      </c>
      <c r="D91" s="177" t="s">
        <v>632</v>
      </c>
      <c r="E91" s="172">
        <v>46325</v>
      </c>
      <c r="F91" s="172">
        <v>46357</v>
      </c>
      <c r="H91" s="176">
        <v>4017227</v>
      </c>
      <c r="I91" s="176">
        <v>4017223</v>
      </c>
      <c r="J91" s="176">
        <v>4017785</v>
      </c>
      <c r="K91" s="176">
        <v>4017780</v>
      </c>
      <c r="L91" s="178">
        <v>4018151</v>
      </c>
      <c r="M91" s="178">
        <v>4018129</v>
      </c>
      <c r="N91" s="187"/>
      <c r="O91" s="187"/>
      <c r="P91" s="180"/>
      <c r="Q91" s="180"/>
      <c r="R91" s="180"/>
      <c r="S91" s="180"/>
      <c r="T91" s="180"/>
      <c r="U91" s="180"/>
      <c r="V91" s="180"/>
      <c r="X91" s="176"/>
      <c r="Y91" s="176"/>
      <c r="Z91" s="176"/>
      <c r="AA91" s="177"/>
    </row>
    <row r="92" spans="1:27" s="11" customFormat="1">
      <c r="A92" s="175" t="s">
        <v>1000</v>
      </c>
      <c r="B92" s="176">
        <v>4016883</v>
      </c>
      <c r="C92" s="177" t="s">
        <v>627</v>
      </c>
      <c r="D92" s="177" t="s">
        <v>633</v>
      </c>
      <c r="E92" s="172">
        <v>46325</v>
      </c>
      <c r="F92" s="172">
        <v>46357</v>
      </c>
      <c r="H92" s="176">
        <v>4017227</v>
      </c>
      <c r="I92" s="176">
        <v>4017223</v>
      </c>
      <c r="J92" s="176">
        <v>4017785</v>
      </c>
      <c r="K92" s="176">
        <v>4017780</v>
      </c>
      <c r="L92" s="178">
        <v>4018151</v>
      </c>
      <c r="M92" s="178">
        <v>4018129</v>
      </c>
      <c r="N92" s="187"/>
      <c r="O92" s="187"/>
      <c r="P92" s="180"/>
      <c r="Q92" s="180"/>
      <c r="R92" s="180"/>
      <c r="S92" s="180"/>
      <c r="T92" s="180"/>
      <c r="U92" s="180"/>
      <c r="V92" s="180"/>
      <c r="X92" s="176"/>
      <c r="Y92" s="176"/>
      <c r="Z92" s="176"/>
      <c r="AA92" s="177"/>
    </row>
    <row r="93" spans="1:27" s="11" customFormat="1">
      <c r="A93" s="175" t="s">
        <v>1000</v>
      </c>
      <c r="B93" s="176">
        <v>4016853</v>
      </c>
      <c r="C93" s="177" t="s">
        <v>634</v>
      </c>
      <c r="D93" s="177" t="s">
        <v>635</v>
      </c>
      <c r="E93" s="172">
        <v>46325</v>
      </c>
      <c r="F93" s="172">
        <v>46357</v>
      </c>
      <c r="H93" s="176">
        <v>4017227</v>
      </c>
      <c r="I93" s="176">
        <v>4017223</v>
      </c>
      <c r="J93" s="176">
        <v>4017785</v>
      </c>
      <c r="K93" s="176">
        <v>4017780</v>
      </c>
      <c r="L93" s="178">
        <v>4018151</v>
      </c>
      <c r="M93" s="178">
        <v>4018129</v>
      </c>
      <c r="N93" s="187"/>
      <c r="O93" s="187"/>
      <c r="P93" s="180"/>
      <c r="Q93" s="180"/>
      <c r="R93" s="180"/>
      <c r="S93" s="180"/>
      <c r="T93" s="180"/>
      <c r="U93" s="180"/>
      <c r="V93" s="180"/>
      <c r="X93" s="176"/>
      <c r="Y93" s="176"/>
      <c r="Z93" s="176"/>
      <c r="AA93" s="177"/>
    </row>
    <row r="94" spans="1:27" s="11" customFormat="1">
      <c r="A94" s="175" t="s">
        <v>1000</v>
      </c>
      <c r="B94" s="176">
        <v>4016884</v>
      </c>
      <c r="C94" s="177" t="s">
        <v>634</v>
      </c>
      <c r="D94" s="177" t="s">
        <v>636</v>
      </c>
      <c r="E94" s="172">
        <v>46325</v>
      </c>
      <c r="F94" s="172">
        <v>46357</v>
      </c>
      <c r="H94" s="176">
        <v>4017227</v>
      </c>
      <c r="I94" s="176">
        <v>4017223</v>
      </c>
      <c r="J94" s="176">
        <v>4017785</v>
      </c>
      <c r="K94" s="176">
        <v>4017780</v>
      </c>
      <c r="L94" s="178">
        <v>4018151</v>
      </c>
      <c r="M94" s="178">
        <v>4018129</v>
      </c>
      <c r="N94" s="187"/>
      <c r="O94" s="187"/>
      <c r="P94" s="180"/>
      <c r="Q94" s="180"/>
      <c r="R94" s="180"/>
      <c r="S94" s="180"/>
      <c r="T94" s="180"/>
      <c r="U94" s="180"/>
      <c r="V94" s="180"/>
      <c r="X94" s="176"/>
      <c r="Y94" s="176"/>
      <c r="Z94" s="176"/>
      <c r="AA94" s="177"/>
    </row>
    <row r="95" spans="1:27" s="11" customFormat="1">
      <c r="A95" s="175" t="s">
        <v>1000</v>
      </c>
      <c r="B95" s="176">
        <v>4017407</v>
      </c>
      <c r="C95" s="177" t="s">
        <v>639</v>
      </c>
      <c r="D95" s="177" t="s">
        <v>640</v>
      </c>
      <c r="E95" s="172">
        <v>46325</v>
      </c>
      <c r="F95" s="172">
        <v>46357</v>
      </c>
      <c r="H95" s="176">
        <v>4017227</v>
      </c>
      <c r="I95" s="176">
        <v>4017223</v>
      </c>
      <c r="J95" s="176">
        <v>4017785</v>
      </c>
      <c r="K95" s="176">
        <v>4017780</v>
      </c>
      <c r="L95" s="178">
        <v>4018151</v>
      </c>
      <c r="M95" s="178">
        <v>4018129</v>
      </c>
      <c r="N95" s="187"/>
      <c r="O95" s="187"/>
      <c r="P95" s="180"/>
      <c r="Q95" s="180"/>
      <c r="R95" s="180"/>
      <c r="S95" s="180"/>
      <c r="T95" s="180"/>
      <c r="U95" s="180"/>
      <c r="V95" s="180"/>
      <c r="X95" s="176"/>
      <c r="Y95" s="176"/>
      <c r="Z95" s="176"/>
      <c r="AA95" s="177"/>
    </row>
    <row r="96" spans="1:27" s="11" customFormat="1">
      <c r="A96" s="175" t="s">
        <v>1000</v>
      </c>
      <c r="B96" s="176">
        <v>4017422</v>
      </c>
      <c r="C96" s="177" t="s">
        <v>639</v>
      </c>
      <c r="D96" s="177" t="s">
        <v>641</v>
      </c>
      <c r="E96" s="172">
        <v>46325</v>
      </c>
      <c r="F96" s="172">
        <v>46357</v>
      </c>
      <c r="H96" s="176">
        <v>4017227</v>
      </c>
      <c r="I96" s="176">
        <v>4017223</v>
      </c>
      <c r="J96" s="176">
        <v>4017785</v>
      </c>
      <c r="K96" s="176">
        <v>4017780</v>
      </c>
      <c r="L96" s="178">
        <v>4018151</v>
      </c>
      <c r="M96" s="178">
        <v>4018129</v>
      </c>
      <c r="N96" s="187"/>
      <c r="O96" s="187"/>
      <c r="P96" s="180"/>
      <c r="Q96" s="180"/>
      <c r="R96" s="180"/>
      <c r="S96" s="180"/>
      <c r="T96" s="180"/>
      <c r="U96" s="180"/>
      <c r="V96" s="180"/>
      <c r="X96" s="176"/>
      <c r="Y96" s="176"/>
      <c r="Z96" s="176"/>
      <c r="AA96" s="177"/>
    </row>
    <row r="97" spans="1:27" s="11" customFormat="1">
      <c r="A97" s="175" t="s">
        <v>1000</v>
      </c>
      <c r="B97" s="176">
        <v>4017391</v>
      </c>
      <c r="C97" s="177" t="s">
        <v>642</v>
      </c>
      <c r="D97" s="177" t="s">
        <v>643</v>
      </c>
      <c r="E97" s="172">
        <v>46325</v>
      </c>
      <c r="F97" s="172">
        <v>46357</v>
      </c>
      <c r="H97" s="176">
        <v>4017227</v>
      </c>
      <c r="I97" s="176">
        <v>4017223</v>
      </c>
      <c r="J97" s="176">
        <v>4017785</v>
      </c>
      <c r="K97" s="176">
        <v>4017780</v>
      </c>
      <c r="L97" s="178">
        <v>4018151</v>
      </c>
      <c r="M97" s="178">
        <v>4018129</v>
      </c>
      <c r="N97" s="187"/>
      <c r="O97" s="187"/>
      <c r="P97" s="180"/>
      <c r="Q97" s="180"/>
      <c r="R97" s="180"/>
      <c r="S97" s="180"/>
      <c r="T97" s="180"/>
      <c r="U97" s="180"/>
      <c r="V97" s="180"/>
      <c r="X97" s="176"/>
      <c r="Y97" s="176"/>
      <c r="Z97" s="176"/>
      <c r="AA97" s="177"/>
    </row>
    <row r="98" spans="1:27" s="11" customFormat="1">
      <c r="A98" s="175" t="s">
        <v>1000</v>
      </c>
      <c r="B98" s="176">
        <v>4017406</v>
      </c>
      <c r="C98" s="177" t="s">
        <v>642</v>
      </c>
      <c r="D98" s="177" t="s">
        <v>644</v>
      </c>
      <c r="E98" s="172">
        <v>46325</v>
      </c>
      <c r="F98" s="172">
        <v>46357</v>
      </c>
      <c r="H98" s="176">
        <v>4017227</v>
      </c>
      <c r="I98" s="176">
        <v>4017223</v>
      </c>
      <c r="J98" s="176">
        <v>4017785</v>
      </c>
      <c r="K98" s="176">
        <v>4017780</v>
      </c>
      <c r="L98" s="178">
        <v>4018151</v>
      </c>
      <c r="M98" s="178">
        <v>4018129</v>
      </c>
      <c r="N98" s="187"/>
      <c r="O98" s="187"/>
      <c r="P98" s="180"/>
      <c r="Q98" s="180"/>
      <c r="R98" s="180"/>
      <c r="S98" s="180"/>
      <c r="T98" s="180"/>
      <c r="U98" s="180"/>
      <c r="V98" s="180"/>
      <c r="X98" s="176"/>
      <c r="Y98" s="176"/>
      <c r="Z98" s="176"/>
      <c r="AA98" s="177"/>
    </row>
    <row r="99" spans="1:27" s="11" customFormat="1">
      <c r="A99" s="175" t="s">
        <v>1000</v>
      </c>
      <c r="B99" s="176">
        <v>4017411</v>
      </c>
      <c r="C99" s="177" t="s">
        <v>642</v>
      </c>
      <c r="D99" s="177" t="s">
        <v>645</v>
      </c>
      <c r="E99" s="172">
        <v>46325</v>
      </c>
      <c r="F99" s="172">
        <v>46357</v>
      </c>
      <c r="H99" s="176">
        <v>4017227</v>
      </c>
      <c r="I99" s="176">
        <v>4017223</v>
      </c>
      <c r="J99" s="176">
        <v>4017785</v>
      </c>
      <c r="K99" s="176">
        <v>4017780</v>
      </c>
      <c r="L99" s="178">
        <v>4018151</v>
      </c>
      <c r="M99" s="178">
        <v>4018129</v>
      </c>
      <c r="N99" s="187"/>
      <c r="O99" s="187"/>
      <c r="P99" s="180"/>
      <c r="Q99" s="180"/>
      <c r="R99" s="180"/>
      <c r="S99" s="180"/>
      <c r="T99" s="180"/>
      <c r="U99" s="180"/>
      <c r="V99" s="180"/>
      <c r="X99" s="176"/>
      <c r="Y99" s="176"/>
      <c r="Z99" s="176"/>
      <c r="AA99" s="177"/>
    </row>
    <row r="100" spans="1:27" s="11" customFormat="1">
      <c r="A100" s="175" t="s">
        <v>1000</v>
      </c>
      <c r="B100" s="176">
        <v>4017421</v>
      </c>
      <c r="C100" s="177" t="s">
        <v>642</v>
      </c>
      <c r="D100" s="177" t="s">
        <v>646</v>
      </c>
      <c r="E100" s="172">
        <v>46325</v>
      </c>
      <c r="F100" s="172">
        <v>46357</v>
      </c>
      <c r="H100" s="176">
        <v>4017227</v>
      </c>
      <c r="I100" s="176">
        <v>4017223</v>
      </c>
      <c r="J100" s="176">
        <v>4017785</v>
      </c>
      <c r="K100" s="176">
        <v>4017780</v>
      </c>
      <c r="L100" s="178">
        <v>4018151</v>
      </c>
      <c r="M100" s="178">
        <v>4018129</v>
      </c>
      <c r="N100" s="187"/>
      <c r="O100" s="187"/>
      <c r="P100" s="180"/>
      <c r="Q100" s="180"/>
      <c r="R100" s="180"/>
      <c r="S100" s="180"/>
      <c r="T100" s="180"/>
      <c r="U100" s="180"/>
      <c r="V100" s="180"/>
      <c r="X100" s="176"/>
      <c r="Y100" s="176"/>
      <c r="Z100" s="176"/>
      <c r="AA100" s="177"/>
    </row>
    <row r="101" spans="1:27" s="11" customFormat="1">
      <c r="A101" s="175" t="s">
        <v>1000</v>
      </c>
      <c r="B101" s="176">
        <v>4017416</v>
      </c>
      <c r="C101" s="177" t="s">
        <v>642</v>
      </c>
      <c r="D101" s="177" t="s">
        <v>647</v>
      </c>
      <c r="E101" s="172">
        <v>46325</v>
      </c>
      <c r="F101" s="172">
        <v>46357</v>
      </c>
      <c r="H101" s="176">
        <v>4017227</v>
      </c>
      <c r="I101" s="176">
        <v>4017223</v>
      </c>
      <c r="J101" s="176">
        <v>4017785</v>
      </c>
      <c r="K101" s="176">
        <v>4017780</v>
      </c>
      <c r="L101" s="178">
        <v>4018151</v>
      </c>
      <c r="M101" s="178">
        <v>4018129</v>
      </c>
      <c r="N101" s="187"/>
      <c r="O101" s="187"/>
      <c r="P101" s="180"/>
      <c r="Q101" s="180"/>
      <c r="R101" s="180"/>
      <c r="S101" s="180"/>
      <c r="T101" s="180"/>
      <c r="U101" s="180"/>
      <c r="V101" s="180"/>
      <c r="X101" s="176"/>
      <c r="Y101" s="176"/>
      <c r="Z101" s="176"/>
      <c r="AA101" s="177"/>
    </row>
    <row r="102" spans="1:27" s="11" customFormat="1">
      <c r="A102" s="178" t="s">
        <v>1001</v>
      </c>
      <c r="B102" s="176">
        <v>4016974</v>
      </c>
      <c r="C102" s="177" t="s">
        <v>479</v>
      </c>
      <c r="D102" s="177" t="s">
        <v>480</v>
      </c>
      <c r="E102" s="172">
        <v>46211</v>
      </c>
      <c r="F102" s="172">
        <v>46357</v>
      </c>
      <c r="H102" s="176">
        <v>4017339</v>
      </c>
      <c r="I102" s="176">
        <v>4017398</v>
      </c>
      <c r="J102" s="176">
        <v>4015924</v>
      </c>
      <c r="K102" s="176">
        <v>4015922</v>
      </c>
      <c r="L102" s="176">
        <v>4017424</v>
      </c>
      <c r="M102" s="176">
        <v>4017419</v>
      </c>
      <c r="N102" s="176">
        <v>4017414</v>
      </c>
      <c r="O102" s="176"/>
      <c r="P102" s="176"/>
      <c r="Q102" s="176"/>
      <c r="R102" s="176"/>
      <c r="S102" s="180"/>
      <c r="T102" s="180"/>
      <c r="U102" s="180"/>
      <c r="V102" s="180"/>
      <c r="X102" s="176"/>
      <c r="Y102" s="176"/>
      <c r="Z102" s="176"/>
      <c r="AA102" s="177"/>
    </row>
    <row r="103" spans="1:27" s="11" customFormat="1">
      <c r="A103" s="178" t="s">
        <v>1001</v>
      </c>
      <c r="B103" s="176">
        <v>4016989</v>
      </c>
      <c r="C103" s="177" t="s">
        <v>479</v>
      </c>
      <c r="D103" s="177" t="s">
        <v>481</v>
      </c>
      <c r="E103" s="172">
        <v>46211</v>
      </c>
      <c r="F103" s="172">
        <v>46357</v>
      </c>
      <c r="H103" s="176">
        <v>4017339</v>
      </c>
      <c r="I103" s="176">
        <v>4017398</v>
      </c>
      <c r="J103" s="176">
        <v>4015924</v>
      </c>
      <c r="K103" s="176">
        <v>4015922</v>
      </c>
      <c r="L103" s="176">
        <v>4017424</v>
      </c>
      <c r="M103" s="176">
        <v>4017419</v>
      </c>
      <c r="N103" s="176">
        <v>4017414</v>
      </c>
      <c r="O103" s="176"/>
      <c r="P103" s="176"/>
      <c r="Q103" s="176"/>
      <c r="R103" s="176"/>
      <c r="S103" s="180"/>
      <c r="T103" s="180"/>
      <c r="U103" s="180"/>
      <c r="V103" s="180"/>
      <c r="X103" s="176"/>
      <c r="Y103" s="176"/>
      <c r="Z103" s="176"/>
      <c r="AA103" s="177"/>
    </row>
    <row r="104" spans="1:27" s="11" customFormat="1">
      <c r="A104" s="178" t="s">
        <v>1001</v>
      </c>
      <c r="B104" s="176">
        <v>4016978</v>
      </c>
      <c r="C104" s="177" t="s">
        <v>479</v>
      </c>
      <c r="D104" s="177" t="s">
        <v>482</v>
      </c>
      <c r="E104" s="172">
        <v>46211</v>
      </c>
      <c r="F104" s="172">
        <v>46357</v>
      </c>
      <c r="H104" s="176">
        <v>4017339</v>
      </c>
      <c r="I104" s="176">
        <v>4017398</v>
      </c>
      <c r="J104" s="176">
        <v>4015924</v>
      </c>
      <c r="K104" s="176">
        <v>4015922</v>
      </c>
      <c r="L104" s="176">
        <v>4017424</v>
      </c>
      <c r="M104" s="176">
        <v>4017419</v>
      </c>
      <c r="N104" s="176">
        <v>4017414</v>
      </c>
      <c r="O104" s="176"/>
      <c r="P104" s="176"/>
      <c r="Q104" s="176"/>
      <c r="R104" s="176"/>
      <c r="S104" s="180"/>
      <c r="T104" s="180"/>
      <c r="U104" s="180"/>
      <c r="V104" s="180"/>
      <c r="X104" s="176"/>
      <c r="Y104" s="176"/>
      <c r="Z104" s="176"/>
      <c r="AA104" s="177"/>
    </row>
    <row r="105" spans="1:27" s="11" customFormat="1">
      <c r="A105" s="178" t="s">
        <v>1001</v>
      </c>
      <c r="B105" s="176">
        <v>4016994</v>
      </c>
      <c r="C105" s="177" t="s">
        <v>479</v>
      </c>
      <c r="D105" s="177" t="s">
        <v>483</v>
      </c>
      <c r="E105" s="172">
        <v>46211</v>
      </c>
      <c r="F105" s="172">
        <v>46357</v>
      </c>
      <c r="H105" s="176">
        <v>4017339</v>
      </c>
      <c r="I105" s="176">
        <v>4017398</v>
      </c>
      <c r="J105" s="176">
        <v>4015924</v>
      </c>
      <c r="K105" s="176">
        <v>4015922</v>
      </c>
      <c r="L105" s="176">
        <v>4017424</v>
      </c>
      <c r="M105" s="176">
        <v>4017419</v>
      </c>
      <c r="N105" s="176">
        <v>4017414</v>
      </c>
      <c r="O105" s="176"/>
      <c r="P105" s="176"/>
      <c r="Q105" s="176"/>
      <c r="R105" s="176"/>
      <c r="S105" s="180"/>
      <c r="T105" s="180"/>
      <c r="U105" s="180"/>
      <c r="V105" s="180"/>
      <c r="X105" s="176"/>
      <c r="Y105" s="176"/>
      <c r="Z105" s="176"/>
      <c r="AA105" s="177"/>
    </row>
    <row r="106" spans="1:27" s="11" customFormat="1">
      <c r="A106" s="178" t="s">
        <v>1001</v>
      </c>
      <c r="B106" s="176">
        <v>4017060</v>
      </c>
      <c r="C106" s="177" t="s">
        <v>479</v>
      </c>
      <c r="D106" s="177" t="s">
        <v>484</v>
      </c>
      <c r="E106" s="172">
        <v>46211</v>
      </c>
      <c r="F106" s="172">
        <v>46357</v>
      </c>
      <c r="H106" s="176">
        <v>4017339</v>
      </c>
      <c r="I106" s="176">
        <v>4017398</v>
      </c>
      <c r="J106" s="176">
        <v>4015924</v>
      </c>
      <c r="K106" s="176">
        <v>4015922</v>
      </c>
      <c r="L106" s="176">
        <v>4017424</v>
      </c>
      <c r="M106" s="176">
        <v>4017419</v>
      </c>
      <c r="N106" s="176">
        <v>4017414</v>
      </c>
      <c r="O106" s="176"/>
      <c r="P106" s="176"/>
      <c r="Q106" s="176"/>
      <c r="R106" s="176"/>
      <c r="S106" s="180"/>
      <c r="T106" s="180"/>
      <c r="U106" s="180"/>
      <c r="V106" s="180"/>
      <c r="X106" s="176"/>
      <c r="Y106" s="176"/>
      <c r="Z106" s="176"/>
      <c r="AA106" s="177"/>
    </row>
    <row r="107" spans="1:27" s="11" customFormat="1">
      <c r="A107" s="178" t="s">
        <v>1001</v>
      </c>
      <c r="B107" s="176">
        <v>4017063</v>
      </c>
      <c r="C107" s="177" t="s">
        <v>479</v>
      </c>
      <c r="D107" s="177" t="s">
        <v>485</v>
      </c>
      <c r="E107" s="172">
        <v>46211</v>
      </c>
      <c r="F107" s="172">
        <v>46357</v>
      </c>
      <c r="H107" s="176">
        <v>4017339</v>
      </c>
      <c r="I107" s="176">
        <v>4017398</v>
      </c>
      <c r="J107" s="176">
        <v>4015924</v>
      </c>
      <c r="K107" s="176">
        <v>4015922</v>
      </c>
      <c r="L107" s="176">
        <v>4017424</v>
      </c>
      <c r="M107" s="176">
        <v>4017419</v>
      </c>
      <c r="N107" s="176">
        <v>4017414</v>
      </c>
      <c r="O107" s="176"/>
      <c r="P107" s="176"/>
      <c r="Q107" s="176"/>
      <c r="R107" s="176"/>
      <c r="S107" s="180"/>
      <c r="T107" s="180"/>
      <c r="U107" s="180"/>
      <c r="V107" s="180"/>
      <c r="X107" s="176"/>
      <c r="Y107" s="176"/>
      <c r="Z107" s="176"/>
      <c r="AA107" s="177"/>
    </row>
    <row r="108" spans="1:27" s="11" customFormat="1">
      <c r="A108" s="175" t="s">
        <v>1002</v>
      </c>
      <c r="B108" s="176">
        <v>4018080</v>
      </c>
      <c r="C108" s="177" t="s">
        <v>702</v>
      </c>
      <c r="D108" s="177" t="s">
        <v>702</v>
      </c>
      <c r="E108" s="172">
        <v>46325</v>
      </c>
      <c r="F108" s="172">
        <v>46357</v>
      </c>
      <c r="H108" s="176">
        <v>4018151</v>
      </c>
      <c r="I108" s="176">
        <v>4018129</v>
      </c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X108" s="176"/>
      <c r="Y108" s="176"/>
      <c r="Z108" s="176"/>
      <c r="AA108" s="177"/>
    </row>
    <row r="109" spans="1:27" s="11" customFormat="1">
      <c r="A109" s="175" t="s">
        <v>1002</v>
      </c>
      <c r="B109" s="176">
        <v>4018086</v>
      </c>
      <c r="C109" s="177" t="s">
        <v>703</v>
      </c>
      <c r="D109" s="177" t="s">
        <v>703</v>
      </c>
      <c r="E109" s="172">
        <v>46325</v>
      </c>
      <c r="F109" s="172">
        <v>46357</v>
      </c>
      <c r="H109" s="176">
        <v>4018151</v>
      </c>
      <c r="I109" s="176">
        <v>4018129</v>
      </c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X109" s="176"/>
      <c r="Y109" s="176"/>
      <c r="Z109" s="176"/>
      <c r="AA109" s="177"/>
    </row>
    <row r="110" spans="1:27" s="11" customFormat="1">
      <c r="A110" s="175" t="s">
        <v>1002</v>
      </c>
      <c r="B110" s="176">
        <v>4018097</v>
      </c>
      <c r="C110" s="177" t="s">
        <v>705</v>
      </c>
      <c r="D110" s="177" t="s">
        <v>705</v>
      </c>
      <c r="E110" s="172">
        <v>46325</v>
      </c>
      <c r="F110" s="172">
        <v>46357</v>
      </c>
      <c r="H110" s="176">
        <v>4018151</v>
      </c>
      <c r="I110" s="176">
        <v>4018129</v>
      </c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X110" s="176"/>
      <c r="Y110" s="176"/>
      <c r="Z110" s="176"/>
      <c r="AA110" s="177"/>
    </row>
    <row r="111" spans="1:27" s="11" customFormat="1">
      <c r="A111" s="175" t="s">
        <v>1002</v>
      </c>
      <c r="B111" s="176">
        <v>4018101</v>
      </c>
      <c r="C111" s="177" t="s">
        <v>706</v>
      </c>
      <c r="D111" s="177" t="s">
        <v>706</v>
      </c>
      <c r="E111" s="172">
        <v>46325</v>
      </c>
      <c r="F111" s="172">
        <v>46357</v>
      </c>
      <c r="H111" s="176">
        <v>4018151</v>
      </c>
      <c r="I111" s="176">
        <v>4018129</v>
      </c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X111" s="176"/>
      <c r="Y111" s="176"/>
      <c r="Z111" s="176"/>
      <c r="AA111" s="177"/>
    </row>
    <row r="112" spans="1:27" s="11" customFormat="1">
      <c r="A112" s="175" t="s">
        <v>1002</v>
      </c>
      <c r="B112" s="176">
        <v>4018047</v>
      </c>
      <c r="C112" s="177" t="s">
        <v>720</v>
      </c>
      <c r="D112" s="177" t="s">
        <v>720</v>
      </c>
      <c r="E112" s="172">
        <v>46325</v>
      </c>
      <c r="F112" s="172">
        <v>46357</v>
      </c>
      <c r="H112" s="176">
        <v>4018151</v>
      </c>
      <c r="I112" s="176">
        <v>4018129</v>
      </c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X112" s="176"/>
      <c r="Y112" s="176"/>
      <c r="Z112" s="176"/>
      <c r="AA112" s="177"/>
    </row>
    <row r="113" spans="1:27" s="11" customFormat="1">
      <c r="A113" s="175" t="s">
        <v>1002</v>
      </c>
      <c r="B113" s="176">
        <v>4018082</v>
      </c>
      <c r="C113" s="177" t="s">
        <v>721</v>
      </c>
      <c r="D113" s="177" t="s">
        <v>721</v>
      </c>
      <c r="E113" s="172">
        <v>46325</v>
      </c>
      <c r="F113" s="172">
        <v>46357</v>
      </c>
      <c r="H113" s="176">
        <v>4018151</v>
      </c>
      <c r="I113" s="176">
        <v>4018129</v>
      </c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X113" s="176"/>
      <c r="Y113" s="176"/>
      <c r="Z113" s="176"/>
      <c r="AA113" s="177"/>
    </row>
    <row r="114" spans="1:27" s="11" customFormat="1">
      <c r="A114" s="175" t="s">
        <v>1002</v>
      </c>
      <c r="B114" s="176">
        <v>4018094</v>
      </c>
      <c r="C114" s="177" t="s">
        <v>723</v>
      </c>
      <c r="D114" s="177" t="s">
        <v>723</v>
      </c>
      <c r="E114" s="172">
        <v>46325</v>
      </c>
      <c r="F114" s="172">
        <v>46357</v>
      </c>
      <c r="H114" s="176">
        <v>4018151</v>
      </c>
      <c r="I114" s="176">
        <v>4018129</v>
      </c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X114" s="176"/>
      <c r="Y114" s="176"/>
      <c r="Z114" s="176"/>
      <c r="AA114" s="177"/>
    </row>
    <row r="115" spans="1:27" s="11" customFormat="1">
      <c r="A115" s="175" t="s">
        <v>1002</v>
      </c>
      <c r="B115" s="176">
        <v>4018098</v>
      </c>
      <c r="C115" s="177" t="s">
        <v>724</v>
      </c>
      <c r="D115" s="177" t="s">
        <v>724</v>
      </c>
      <c r="E115" s="172">
        <v>46325</v>
      </c>
      <c r="F115" s="172">
        <v>46357</v>
      </c>
      <c r="H115" s="176">
        <v>4018151</v>
      </c>
      <c r="I115" s="176">
        <v>4018129</v>
      </c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X115" s="176"/>
      <c r="Y115" s="176"/>
      <c r="Z115" s="176"/>
      <c r="AA115" s="177"/>
    </row>
    <row r="116" spans="1:27" s="11" customFormat="1">
      <c r="A116" s="175" t="s">
        <v>1002</v>
      </c>
      <c r="B116" s="176">
        <v>4018085</v>
      </c>
      <c r="C116" s="177" t="s">
        <v>714</v>
      </c>
      <c r="D116" s="177" t="s">
        <v>714</v>
      </c>
      <c r="E116" s="172">
        <v>46325</v>
      </c>
      <c r="F116" s="172">
        <v>46357</v>
      </c>
      <c r="H116" s="176">
        <v>4018151</v>
      </c>
      <c r="I116" s="176">
        <v>4018129</v>
      </c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X116" s="176"/>
      <c r="Y116" s="176"/>
      <c r="Z116" s="176"/>
      <c r="AA116" s="177"/>
    </row>
    <row r="117" spans="1:27" s="11" customFormat="1">
      <c r="A117" s="175" t="s">
        <v>1002</v>
      </c>
      <c r="B117" s="176">
        <v>4018049</v>
      </c>
      <c r="C117" s="177" t="s">
        <v>715</v>
      </c>
      <c r="D117" s="177" t="s">
        <v>715</v>
      </c>
      <c r="E117" s="172">
        <v>46325</v>
      </c>
      <c r="F117" s="172">
        <v>46357</v>
      </c>
      <c r="H117" s="176">
        <v>4018151</v>
      </c>
      <c r="I117" s="176">
        <v>4018129</v>
      </c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X117" s="176"/>
      <c r="Y117" s="176"/>
      <c r="Z117" s="176"/>
      <c r="AA117" s="177"/>
    </row>
    <row r="118" spans="1:27" s="11" customFormat="1">
      <c r="A118" s="175" t="s">
        <v>1002</v>
      </c>
      <c r="B118" s="176">
        <v>4018100</v>
      </c>
      <c r="C118" s="177" t="s">
        <v>717</v>
      </c>
      <c r="D118" s="177" t="s">
        <v>717</v>
      </c>
      <c r="E118" s="172">
        <v>46325</v>
      </c>
      <c r="F118" s="172">
        <v>46357</v>
      </c>
      <c r="H118" s="176">
        <v>4018151</v>
      </c>
      <c r="I118" s="176">
        <v>4018129</v>
      </c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X118" s="176"/>
      <c r="Y118" s="176"/>
      <c r="Z118" s="176"/>
      <c r="AA118" s="177"/>
    </row>
    <row r="119" spans="1:27" s="11" customFormat="1">
      <c r="A119" s="175" t="s">
        <v>1002</v>
      </c>
      <c r="B119" s="176">
        <v>4018096</v>
      </c>
      <c r="C119" s="177" t="s">
        <v>718</v>
      </c>
      <c r="D119" s="177" t="s">
        <v>718</v>
      </c>
      <c r="E119" s="172">
        <v>46325</v>
      </c>
      <c r="F119" s="172">
        <v>46357</v>
      </c>
      <c r="H119" s="176">
        <v>4018151</v>
      </c>
      <c r="I119" s="176">
        <v>4018129</v>
      </c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X119" s="176"/>
      <c r="Y119" s="176"/>
      <c r="Z119" s="176"/>
      <c r="AA119" s="177"/>
    </row>
    <row r="120" spans="1:27" s="11" customFormat="1">
      <c r="A120" s="175" t="s">
        <v>1051</v>
      </c>
      <c r="B120" s="206">
        <v>4018263</v>
      </c>
      <c r="C120" s="207" t="s">
        <v>687</v>
      </c>
      <c r="D120" s="207" t="s">
        <v>688</v>
      </c>
      <c r="E120" s="172">
        <v>46325</v>
      </c>
      <c r="F120" s="172">
        <v>46357</v>
      </c>
      <c r="H120" s="206">
        <v>4017227</v>
      </c>
      <c r="I120" s="206">
        <v>4017223</v>
      </c>
      <c r="J120" s="206">
        <v>4017785</v>
      </c>
      <c r="K120" s="206">
        <v>4017780</v>
      </c>
      <c r="L120" s="175">
        <v>4018151</v>
      </c>
      <c r="M120" s="175">
        <v>4018129</v>
      </c>
      <c r="N120" s="176"/>
      <c r="O120" s="176"/>
      <c r="P120" s="180"/>
      <c r="Q120" s="180"/>
      <c r="R120" s="180"/>
      <c r="S120" s="180"/>
      <c r="T120" s="180"/>
      <c r="U120" s="180"/>
      <c r="V120" s="180"/>
      <c r="X120" s="176"/>
      <c r="Y120" s="176"/>
      <c r="Z120" s="176"/>
      <c r="AA120" s="177"/>
    </row>
    <row r="121" spans="1:27" s="11" customFormat="1">
      <c r="A121" s="175" t="s">
        <v>1051</v>
      </c>
      <c r="B121" s="206">
        <v>4018256</v>
      </c>
      <c r="C121" s="207" t="s">
        <v>687</v>
      </c>
      <c r="D121" s="207" t="s">
        <v>689</v>
      </c>
      <c r="E121" s="172">
        <v>46325</v>
      </c>
      <c r="F121" s="172">
        <v>46357</v>
      </c>
      <c r="H121" s="206">
        <v>4017227</v>
      </c>
      <c r="I121" s="206">
        <v>4017223</v>
      </c>
      <c r="J121" s="206">
        <v>4017785</v>
      </c>
      <c r="K121" s="206">
        <v>4017780</v>
      </c>
      <c r="L121" s="175">
        <v>4018151</v>
      </c>
      <c r="M121" s="175">
        <v>4018129</v>
      </c>
      <c r="N121" s="176"/>
      <c r="O121" s="176"/>
      <c r="P121" s="180"/>
      <c r="Q121" s="180"/>
      <c r="R121" s="180"/>
      <c r="S121" s="180"/>
      <c r="T121" s="180"/>
      <c r="U121" s="180"/>
      <c r="V121" s="180"/>
      <c r="X121" s="176"/>
      <c r="Y121" s="176"/>
      <c r="Z121" s="176"/>
      <c r="AA121" s="177"/>
    </row>
    <row r="122" spans="1:27" s="11" customFormat="1">
      <c r="A122" s="175" t="s">
        <v>1051</v>
      </c>
      <c r="B122" s="206">
        <v>4018264</v>
      </c>
      <c r="C122" s="207" t="s">
        <v>687</v>
      </c>
      <c r="D122" s="207" t="s">
        <v>690</v>
      </c>
      <c r="E122" s="172">
        <v>46325</v>
      </c>
      <c r="F122" s="172">
        <v>46357</v>
      </c>
      <c r="H122" s="206">
        <v>4017227</v>
      </c>
      <c r="I122" s="206">
        <v>4017223</v>
      </c>
      <c r="J122" s="206">
        <v>4017785</v>
      </c>
      <c r="K122" s="206">
        <v>4017780</v>
      </c>
      <c r="L122" s="175">
        <v>4018151</v>
      </c>
      <c r="M122" s="175">
        <v>4018129</v>
      </c>
      <c r="N122" s="176"/>
      <c r="O122" s="176"/>
      <c r="P122" s="180"/>
      <c r="Q122" s="180"/>
      <c r="R122" s="180"/>
      <c r="S122" s="180"/>
      <c r="T122" s="180"/>
      <c r="U122" s="180"/>
      <c r="V122" s="180"/>
      <c r="X122" s="176"/>
      <c r="Y122" s="176"/>
      <c r="Z122" s="176"/>
      <c r="AA122" s="177"/>
    </row>
    <row r="123" spans="1:27" s="11" customFormat="1">
      <c r="A123" s="175" t="s">
        <v>1051</v>
      </c>
      <c r="B123" s="206">
        <v>4018257</v>
      </c>
      <c r="C123" s="207" t="s">
        <v>687</v>
      </c>
      <c r="D123" s="207" t="s">
        <v>691</v>
      </c>
      <c r="E123" s="172">
        <v>46325</v>
      </c>
      <c r="F123" s="172">
        <v>46357</v>
      </c>
      <c r="H123" s="206">
        <v>4017227</v>
      </c>
      <c r="I123" s="206">
        <v>4017223</v>
      </c>
      <c r="J123" s="206">
        <v>4017785</v>
      </c>
      <c r="K123" s="206">
        <v>4017780</v>
      </c>
      <c r="L123" s="175">
        <v>4018151</v>
      </c>
      <c r="M123" s="175">
        <v>4018129</v>
      </c>
      <c r="N123" s="176"/>
      <c r="O123" s="176"/>
      <c r="P123" s="180"/>
      <c r="Q123" s="180"/>
      <c r="R123" s="180"/>
      <c r="S123" s="180"/>
      <c r="T123" s="180"/>
      <c r="U123" s="180"/>
      <c r="V123" s="180"/>
      <c r="X123" s="176"/>
      <c r="Y123" s="176"/>
      <c r="Z123" s="176"/>
      <c r="AA123" s="177"/>
    </row>
    <row r="124" spans="1:27" s="11" customFormat="1">
      <c r="A124" s="178"/>
      <c r="B124" s="176"/>
      <c r="C124" s="177"/>
      <c r="D124" s="177"/>
      <c r="E124" s="172"/>
      <c r="F124" s="172"/>
      <c r="H124" s="176"/>
      <c r="I124" s="176"/>
      <c r="J124" s="176"/>
      <c r="K124" s="176"/>
      <c r="L124" s="176"/>
      <c r="M124" s="176"/>
      <c r="N124" s="176"/>
      <c r="O124" s="176"/>
      <c r="P124" s="180"/>
      <c r="Q124" s="180"/>
      <c r="R124" s="180"/>
      <c r="S124" s="180"/>
      <c r="T124" s="180"/>
      <c r="U124" s="180"/>
      <c r="V124" s="180"/>
      <c r="X124" s="176"/>
      <c r="Y124" s="176"/>
      <c r="Z124" s="176"/>
      <c r="AA124" s="177"/>
    </row>
    <row r="125" spans="1:27" s="11" customFormat="1">
      <c r="A125" s="178"/>
      <c r="B125" s="176"/>
      <c r="C125" s="177"/>
      <c r="D125" s="177"/>
      <c r="E125" s="172"/>
      <c r="F125" s="172"/>
      <c r="H125" s="176"/>
      <c r="I125" s="176"/>
      <c r="J125" s="176"/>
      <c r="K125" s="176"/>
      <c r="L125" s="176"/>
      <c r="M125" s="176"/>
      <c r="N125" s="176"/>
      <c r="O125" s="176"/>
      <c r="P125" s="180"/>
      <c r="Q125" s="180"/>
      <c r="R125" s="180"/>
      <c r="S125" s="180"/>
      <c r="T125" s="180"/>
      <c r="U125" s="180"/>
      <c r="V125" s="180"/>
      <c r="X125" s="176"/>
      <c r="Y125" s="176"/>
      <c r="Z125" s="176"/>
      <c r="AA125" s="177"/>
    </row>
    <row r="126" spans="1:27" s="11" customFormat="1">
      <c r="A126" s="178"/>
      <c r="B126" s="176"/>
      <c r="C126" s="177"/>
      <c r="D126" s="177"/>
      <c r="E126" s="172"/>
      <c r="F126" s="172"/>
      <c r="H126" s="176"/>
      <c r="I126" s="176"/>
      <c r="J126" s="176"/>
      <c r="K126" s="176"/>
      <c r="L126" s="176"/>
      <c r="M126" s="176"/>
      <c r="N126" s="176"/>
      <c r="O126" s="176"/>
      <c r="P126" s="180"/>
      <c r="Q126" s="180"/>
      <c r="R126" s="180"/>
      <c r="S126" s="180"/>
      <c r="T126" s="180"/>
      <c r="U126" s="180"/>
      <c r="V126" s="180"/>
      <c r="X126" s="176"/>
      <c r="Y126" s="176"/>
      <c r="Z126" s="176"/>
      <c r="AA126" s="177"/>
    </row>
    <row r="127" spans="1:27" s="11" customFormat="1">
      <c r="A127" s="178"/>
      <c r="B127" s="176"/>
      <c r="C127" s="177"/>
      <c r="D127" s="177"/>
      <c r="E127" s="172"/>
      <c r="F127" s="172"/>
      <c r="H127" s="176"/>
      <c r="I127" s="176"/>
      <c r="J127" s="176"/>
      <c r="K127" s="176"/>
      <c r="L127" s="176"/>
      <c r="M127" s="176"/>
      <c r="N127" s="176"/>
      <c r="O127" s="176"/>
      <c r="P127" s="180"/>
      <c r="Q127" s="180"/>
      <c r="R127" s="180"/>
      <c r="S127" s="180"/>
      <c r="T127" s="180"/>
      <c r="U127" s="180"/>
      <c r="V127" s="180"/>
      <c r="X127" s="176"/>
      <c r="Y127" s="176"/>
      <c r="Z127" s="176"/>
      <c r="AA127" s="177"/>
    </row>
    <row r="128" spans="1:27" s="11" customFormat="1">
      <c r="A128" s="178"/>
      <c r="B128" s="176"/>
      <c r="C128" s="177"/>
      <c r="D128" s="177"/>
      <c r="E128" s="172"/>
      <c r="F128" s="172"/>
      <c r="H128" s="176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X128" s="176"/>
      <c r="Y128" s="176"/>
      <c r="Z128" s="176"/>
      <c r="AA128" s="177"/>
    </row>
    <row r="129" spans="1:27" s="11" customFormat="1">
      <c r="A129" s="178"/>
      <c r="B129" s="176"/>
      <c r="C129" s="177"/>
      <c r="D129" s="177"/>
      <c r="E129" s="172"/>
      <c r="F129" s="172"/>
      <c r="H129" s="176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X129" s="176"/>
      <c r="Y129" s="176"/>
      <c r="Z129" s="176"/>
      <c r="AA129" s="177"/>
    </row>
    <row r="130" spans="1:27" s="11" customFormat="1">
      <c r="A130" s="178"/>
      <c r="B130" s="176"/>
      <c r="C130" s="177"/>
      <c r="D130" s="177"/>
      <c r="E130" s="172"/>
      <c r="F130" s="172"/>
      <c r="H130" s="176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X130" s="176"/>
      <c r="Y130" s="176"/>
      <c r="Z130" s="176"/>
      <c r="AA130" s="177"/>
    </row>
    <row r="131" spans="1:27" s="11" customFormat="1">
      <c r="A131" s="178"/>
      <c r="B131" s="176"/>
      <c r="C131" s="177"/>
      <c r="D131" s="177"/>
      <c r="E131" s="172"/>
      <c r="F131" s="172"/>
      <c r="H131" s="176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X131" s="176"/>
      <c r="Y131" s="176"/>
      <c r="Z131" s="176"/>
      <c r="AA131" s="177"/>
    </row>
    <row r="132" spans="1:27" s="11" customFormat="1">
      <c r="A132" s="178"/>
      <c r="B132" s="176"/>
      <c r="C132" s="177"/>
      <c r="D132" s="177"/>
      <c r="E132" s="172"/>
      <c r="F132" s="172"/>
      <c r="H132" s="176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X132" s="176"/>
      <c r="Y132" s="176"/>
      <c r="Z132" s="176"/>
      <c r="AA132" s="177"/>
    </row>
    <row r="133" spans="1:27" s="11" customFormat="1">
      <c r="A133" s="178"/>
      <c r="B133" s="176"/>
      <c r="C133" s="177"/>
      <c r="D133" s="177"/>
      <c r="E133" s="172"/>
      <c r="F133" s="172"/>
      <c r="H133" s="176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X133" s="176"/>
      <c r="Y133" s="176"/>
      <c r="Z133" s="176"/>
      <c r="AA133" s="177"/>
    </row>
    <row r="134" spans="1:27" s="11" customFormat="1">
      <c r="A134" s="178"/>
      <c r="B134" s="176"/>
      <c r="C134" s="177"/>
      <c r="D134" s="177"/>
      <c r="E134" s="172"/>
      <c r="F134" s="172"/>
      <c r="H134" s="176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X134" s="176"/>
      <c r="Y134" s="176"/>
      <c r="Z134" s="176"/>
      <c r="AA134" s="177"/>
    </row>
    <row r="135" spans="1:27" s="11" customFormat="1">
      <c r="A135" s="178"/>
      <c r="B135" s="176"/>
      <c r="C135" s="177"/>
      <c r="D135" s="177"/>
      <c r="E135" s="172"/>
      <c r="F135" s="172"/>
      <c r="H135" s="176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X135" s="176"/>
      <c r="Y135" s="176"/>
      <c r="Z135" s="176"/>
      <c r="AA135" s="177"/>
    </row>
    <row r="136" spans="1:27" s="11" customFormat="1">
      <c r="A136" s="178"/>
      <c r="B136" s="176"/>
      <c r="C136" s="177"/>
      <c r="D136" s="177"/>
      <c r="E136" s="172"/>
      <c r="F136" s="172"/>
      <c r="H136" s="176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X136" s="176"/>
      <c r="Y136" s="176"/>
      <c r="Z136" s="176"/>
      <c r="AA136" s="177"/>
    </row>
    <row r="137" spans="1:27" s="11" customFormat="1">
      <c r="A137" s="178"/>
      <c r="B137" s="176"/>
      <c r="C137" s="177"/>
      <c r="D137" s="177"/>
      <c r="E137" s="172"/>
      <c r="F137" s="172"/>
      <c r="H137" s="176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X137" s="176"/>
      <c r="Y137" s="176"/>
      <c r="Z137" s="176"/>
      <c r="AA137" s="177"/>
    </row>
    <row r="138" spans="1:27" s="11" customFormat="1">
      <c r="A138" s="178"/>
      <c r="B138" s="176"/>
      <c r="C138" s="177"/>
      <c r="D138" s="177"/>
      <c r="E138" s="172"/>
      <c r="F138" s="172"/>
      <c r="H138" s="176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X138" s="176"/>
      <c r="Y138" s="176"/>
      <c r="Z138" s="176"/>
      <c r="AA138" s="177"/>
    </row>
    <row r="139" spans="1:27" s="11" customFormat="1">
      <c r="A139" s="178"/>
      <c r="B139" s="176"/>
      <c r="C139" s="177"/>
      <c r="D139" s="177"/>
      <c r="E139" s="172"/>
      <c r="F139" s="172"/>
      <c r="H139" s="176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X139" s="176"/>
      <c r="Y139" s="176"/>
      <c r="Z139" s="176"/>
      <c r="AA139" s="177"/>
    </row>
    <row r="140" spans="1:27" s="11" customFormat="1">
      <c r="A140" s="178"/>
      <c r="B140" s="176"/>
      <c r="C140" s="177"/>
      <c r="D140" s="177"/>
      <c r="E140" s="172"/>
      <c r="F140" s="172"/>
      <c r="H140" s="176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X140" s="176"/>
      <c r="Y140" s="176"/>
      <c r="Z140" s="176"/>
      <c r="AA140" s="177"/>
    </row>
    <row r="141" spans="1:27" s="11" customFormat="1">
      <c r="A141" s="178"/>
      <c r="B141" s="176"/>
      <c r="C141" s="177"/>
      <c r="D141" s="177"/>
      <c r="E141" s="172"/>
      <c r="F141" s="172"/>
      <c r="H141" s="176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X141" s="176"/>
      <c r="Y141" s="176"/>
      <c r="Z141" s="176"/>
      <c r="AA141" s="177"/>
    </row>
    <row r="142" spans="1:27" s="11" customFormat="1">
      <c r="A142" s="178"/>
      <c r="B142" s="176"/>
      <c r="C142" s="177"/>
      <c r="D142" s="177"/>
      <c r="E142" s="172"/>
      <c r="F142" s="172"/>
      <c r="H142" s="176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X142" s="176"/>
      <c r="Y142" s="176"/>
      <c r="Z142" s="176"/>
      <c r="AA142" s="177"/>
    </row>
    <row r="143" spans="1:27" s="11" customFormat="1">
      <c r="A143" s="178"/>
      <c r="B143" s="176"/>
      <c r="C143" s="177"/>
      <c r="D143" s="177"/>
      <c r="E143" s="172"/>
      <c r="F143" s="172"/>
      <c r="H143" s="176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X143" s="176"/>
      <c r="Y143" s="176"/>
      <c r="Z143" s="176"/>
      <c r="AA143" s="177"/>
    </row>
    <row r="144" spans="1:27" s="11" customFormat="1">
      <c r="A144" s="178"/>
      <c r="B144" s="176"/>
      <c r="C144" s="177"/>
      <c r="D144" s="177"/>
      <c r="E144" s="172"/>
      <c r="F144" s="172"/>
      <c r="H144" s="176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X144" s="176"/>
      <c r="Y144" s="176"/>
      <c r="Z144" s="176"/>
      <c r="AA144" s="177"/>
    </row>
    <row r="145" spans="1:27" s="11" customFormat="1">
      <c r="A145" s="178"/>
      <c r="B145" s="176"/>
      <c r="C145" s="177"/>
      <c r="D145" s="177"/>
      <c r="E145" s="172"/>
      <c r="F145" s="172"/>
      <c r="H145" s="176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X145" s="176"/>
      <c r="Y145" s="176"/>
      <c r="Z145" s="176"/>
      <c r="AA145" s="177"/>
    </row>
    <row r="146" spans="1:27" s="11" customFormat="1">
      <c r="A146" s="178"/>
      <c r="B146" s="176"/>
      <c r="C146" s="177"/>
      <c r="D146" s="177"/>
      <c r="E146" s="172"/>
      <c r="F146" s="172"/>
      <c r="H146" s="176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X146" s="176"/>
      <c r="Y146" s="176"/>
      <c r="Z146" s="176"/>
      <c r="AA146" s="177"/>
    </row>
    <row r="147" spans="1:27" s="11" customFormat="1">
      <c r="A147" s="178"/>
      <c r="B147" s="176"/>
      <c r="C147" s="177"/>
      <c r="D147" s="177"/>
      <c r="E147" s="172"/>
      <c r="F147" s="172"/>
      <c r="H147" s="176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X147" s="176"/>
      <c r="Y147" s="176"/>
      <c r="Z147" s="176"/>
      <c r="AA147" s="177"/>
    </row>
    <row r="148" spans="1:27" s="11" customFormat="1">
      <c r="A148" s="178"/>
      <c r="B148" s="176"/>
      <c r="C148" s="177"/>
      <c r="D148" s="177"/>
      <c r="E148" s="172"/>
      <c r="F148" s="172"/>
      <c r="H148" s="176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X148" s="176"/>
      <c r="Y148" s="176"/>
      <c r="Z148" s="176"/>
      <c r="AA148" s="177"/>
    </row>
    <row r="149" spans="1:27" s="11" customFormat="1">
      <c r="A149" s="178"/>
      <c r="B149" s="176"/>
      <c r="C149" s="177"/>
      <c r="D149" s="177"/>
      <c r="E149" s="172"/>
      <c r="F149" s="172"/>
      <c r="H149" s="176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X149" s="176"/>
      <c r="Y149" s="176"/>
      <c r="Z149" s="176"/>
      <c r="AA149" s="177"/>
    </row>
    <row r="150" spans="1:27" s="11" customFormat="1">
      <c r="A150" s="178"/>
      <c r="B150" s="176"/>
      <c r="C150" s="177"/>
      <c r="D150" s="177"/>
      <c r="E150" s="172"/>
      <c r="F150" s="172"/>
      <c r="H150" s="176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X150" s="176"/>
      <c r="Y150" s="176"/>
      <c r="Z150" s="176"/>
      <c r="AA150" s="177"/>
    </row>
    <row r="151" spans="1:27" s="11" customFormat="1">
      <c r="A151" s="178"/>
      <c r="B151" s="176"/>
      <c r="C151" s="177"/>
      <c r="D151" s="177"/>
      <c r="E151" s="172"/>
      <c r="F151" s="172"/>
      <c r="H151" s="176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X151" s="176"/>
      <c r="Y151" s="176"/>
      <c r="Z151" s="176"/>
      <c r="AA151" s="177"/>
    </row>
    <row r="152" spans="1:27" s="11" customFormat="1">
      <c r="A152" s="178"/>
      <c r="B152" s="176"/>
      <c r="C152" s="177"/>
      <c r="D152" s="177"/>
      <c r="E152" s="172"/>
      <c r="F152" s="172"/>
      <c r="H152" s="176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X152" s="176"/>
      <c r="Y152" s="176"/>
      <c r="Z152" s="176"/>
      <c r="AA152" s="177"/>
    </row>
    <row r="153" spans="1:27" s="11" customFormat="1">
      <c r="A153" s="178"/>
      <c r="B153" s="176"/>
      <c r="C153" s="177"/>
      <c r="D153" s="177"/>
      <c r="E153" s="172"/>
      <c r="F153" s="172"/>
      <c r="H153" s="176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X153" s="176"/>
      <c r="Y153" s="176"/>
      <c r="Z153" s="176"/>
      <c r="AA153" s="177"/>
    </row>
    <row r="154" spans="1:27" s="11" customFormat="1">
      <c r="A154" s="178"/>
      <c r="B154" s="176"/>
      <c r="C154" s="177"/>
      <c r="D154" s="177"/>
      <c r="E154" s="172"/>
      <c r="F154" s="172"/>
      <c r="H154" s="176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X154" s="176"/>
      <c r="Y154" s="176"/>
      <c r="Z154" s="176"/>
      <c r="AA154" s="177"/>
    </row>
    <row r="155" spans="1:27" s="11" customFormat="1">
      <c r="A155" s="178"/>
      <c r="B155" s="176"/>
      <c r="C155" s="177"/>
      <c r="D155" s="177"/>
      <c r="E155" s="172"/>
      <c r="F155" s="172"/>
      <c r="H155" s="176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X155" s="176"/>
      <c r="Y155" s="176"/>
      <c r="Z155" s="176"/>
      <c r="AA155" s="177"/>
    </row>
    <row r="156" spans="1:27" s="11" customFormat="1">
      <c r="A156" s="178"/>
      <c r="B156" s="176"/>
      <c r="C156" s="177"/>
      <c r="D156" s="177"/>
      <c r="E156" s="172"/>
      <c r="F156" s="172"/>
      <c r="H156" s="176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X156" s="176"/>
      <c r="Y156" s="176"/>
      <c r="Z156" s="176"/>
      <c r="AA156" s="177"/>
    </row>
    <row r="157" spans="1:27" s="11" customFormat="1">
      <c r="A157" s="178"/>
      <c r="B157" s="176"/>
      <c r="C157" s="177"/>
      <c r="D157" s="177"/>
      <c r="E157" s="172"/>
      <c r="F157" s="172"/>
      <c r="H157" s="176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X157" s="176"/>
      <c r="Y157" s="176"/>
      <c r="Z157" s="176"/>
      <c r="AA157" s="177"/>
    </row>
    <row r="158" spans="1:27" s="11" customFormat="1">
      <c r="A158" s="178"/>
      <c r="B158" s="176"/>
      <c r="C158" s="177"/>
      <c r="D158" s="177"/>
      <c r="E158" s="172"/>
      <c r="F158" s="172"/>
      <c r="H158" s="176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X158" s="176"/>
      <c r="Y158" s="176"/>
      <c r="Z158" s="176"/>
      <c r="AA158" s="177"/>
    </row>
    <row r="159" spans="1:27" s="11" customFormat="1">
      <c r="A159" s="178"/>
      <c r="B159" s="176"/>
      <c r="C159" s="177"/>
      <c r="D159" s="177"/>
      <c r="E159" s="172"/>
      <c r="F159" s="172"/>
      <c r="H159" s="176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X159" s="176"/>
      <c r="Y159" s="176"/>
      <c r="Z159" s="176"/>
      <c r="AA159" s="177"/>
    </row>
    <row r="160" spans="1:27" s="11" customFormat="1">
      <c r="A160" s="178"/>
      <c r="B160" s="176"/>
      <c r="C160" s="177"/>
      <c r="D160" s="177"/>
      <c r="E160" s="172"/>
      <c r="F160" s="172"/>
      <c r="H160" s="176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X160" s="176"/>
      <c r="Y160" s="176"/>
      <c r="Z160" s="176"/>
      <c r="AA160" s="177"/>
    </row>
    <row r="161" spans="1:27" s="11" customFormat="1">
      <c r="A161" s="178"/>
      <c r="B161" s="176"/>
      <c r="C161" s="177"/>
      <c r="D161" s="177"/>
      <c r="E161" s="172"/>
      <c r="F161" s="172"/>
      <c r="H161" s="176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X161" s="176"/>
      <c r="Y161" s="176"/>
      <c r="Z161" s="176"/>
      <c r="AA161" s="177"/>
    </row>
    <row r="162" spans="1:27" s="11" customFormat="1">
      <c r="A162" s="178"/>
      <c r="B162" s="176"/>
      <c r="C162" s="177"/>
      <c r="D162" s="177"/>
      <c r="E162" s="172"/>
      <c r="F162" s="172"/>
      <c r="H162" s="176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X162" s="176"/>
      <c r="Y162" s="176"/>
      <c r="Z162" s="176"/>
      <c r="AA162" s="177"/>
    </row>
    <row r="163" spans="1:27" s="11" customFormat="1">
      <c r="A163" s="178"/>
      <c r="B163" s="176"/>
      <c r="C163" s="177"/>
      <c r="D163" s="177"/>
      <c r="E163" s="172"/>
      <c r="F163" s="172"/>
      <c r="H163" s="176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X163" s="176"/>
      <c r="Y163" s="176"/>
      <c r="Z163" s="176"/>
      <c r="AA163" s="177"/>
    </row>
    <row r="164" spans="1:27" s="11" customFormat="1">
      <c r="A164" s="178"/>
      <c r="B164" s="176"/>
      <c r="C164" s="177"/>
      <c r="D164" s="177"/>
      <c r="E164" s="172"/>
      <c r="F164" s="172"/>
      <c r="H164" s="176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X164" s="176"/>
      <c r="Y164" s="176"/>
      <c r="Z164" s="176"/>
      <c r="AA164" s="177"/>
    </row>
    <row r="165" spans="1:27" s="11" customFormat="1">
      <c r="A165" s="178"/>
      <c r="B165" s="176"/>
      <c r="C165" s="177"/>
      <c r="D165" s="177"/>
      <c r="E165" s="172"/>
      <c r="F165" s="172"/>
      <c r="H165" s="176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X165" s="176"/>
      <c r="Y165" s="176"/>
      <c r="Z165" s="176"/>
      <c r="AA165" s="177"/>
    </row>
    <row r="166" spans="1:27" s="11" customFormat="1">
      <c r="A166" s="178"/>
      <c r="B166" s="176"/>
      <c r="C166" s="177"/>
      <c r="D166" s="177"/>
      <c r="E166" s="172"/>
      <c r="F166" s="172"/>
      <c r="H166" s="176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X166" s="176"/>
      <c r="Y166" s="176"/>
      <c r="Z166" s="176"/>
      <c r="AA166" s="177"/>
    </row>
    <row r="167" spans="1:27" s="11" customFormat="1">
      <c r="A167" s="178"/>
      <c r="B167" s="176"/>
      <c r="C167" s="177"/>
      <c r="D167" s="177"/>
      <c r="E167" s="172"/>
      <c r="F167" s="172"/>
      <c r="H167" s="176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X167" s="176"/>
      <c r="Y167" s="176"/>
      <c r="Z167" s="176"/>
      <c r="AA167" s="177"/>
    </row>
    <row r="168" spans="1:27" s="11" customFormat="1">
      <c r="A168" s="178"/>
      <c r="B168" s="176"/>
      <c r="C168" s="177"/>
      <c r="D168" s="177"/>
      <c r="E168" s="172"/>
      <c r="F168" s="172"/>
      <c r="H168" s="176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X168" s="176"/>
      <c r="Y168" s="176"/>
      <c r="Z168" s="176"/>
      <c r="AA168" s="177"/>
    </row>
    <row r="169" spans="1:27" s="11" customFormat="1">
      <c r="A169" s="178"/>
      <c r="B169" s="176"/>
      <c r="C169" s="177"/>
      <c r="D169" s="177"/>
      <c r="E169" s="172"/>
      <c r="F169" s="172"/>
      <c r="H169" s="176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X169" s="176"/>
      <c r="Y169" s="176"/>
      <c r="Z169" s="176"/>
      <c r="AA169" s="177"/>
    </row>
    <row r="170" spans="1:27" s="11" customFormat="1">
      <c r="A170" s="178"/>
      <c r="B170" s="176"/>
      <c r="C170" s="177"/>
      <c r="D170" s="177"/>
      <c r="E170" s="172"/>
      <c r="F170" s="172"/>
      <c r="H170" s="176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X170" s="176"/>
      <c r="Y170" s="176"/>
      <c r="Z170" s="176"/>
      <c r="AA170" s="177"/>
    </row>
    <row r="171" spans="1:27" s="11" customFormat="1">
      <c r="A171" s="178"/>
      <c r="B171" s="176"/>
      <c r="C171" s="177"/>
      <c r="D171" s="177"/>
      <c r="E171" s="172"/>
      <c r="F171" s="172"/>
      <c r="H171" s="176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X171" s="176"/>
      <c r="Y171" s="176"/>
      <c r="Z171" s="176"/>
      <c r="AA171" s="177"/>
    </row>
    <row r="172" spans="1:27" s="11" customFormat="1">
      <c r="A172" s="178"/>
      <c r="B172" s="176"/>
      <c r="C172" s="177"/>
      <c r="D172" s="177"/>
      <c r="E172" s="172"/>
      <c r="F172" s="172"/>
      <c r="H172" s="176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X172" s="176"/>
      <c r="Y172" s="176"/>
      <c r="Z172" s="176"/>
      <c r="AA172" s="177"/>
    </row>
    <row r="173" spans="1:27" s="11" customFormat="1">
      <c r="A173" s="178"/>
      <c r="B173" s="176"/>
      <c r="C173" s="177"/>
      <c r="D173" s="177"/>
      <c r="E173" s="172"/>
      <c r="F173" s="172"/>
      <c r="H173" s="176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X173" s="176"/>
      <c r="Y173" s="176"/>
      <c r="Z173" s="176"/>
      <c r="AA173" s="177"/>
    </row>
    <row r="174" spans="1:27" s="11" customFormat="1">
      <c r="A174" s="178"/>
      <c r="B174" s="176"/>
      <c r="C174" s="177"/>
      <c r="D174" s="177"/>
      <c r="E174" s="172"/>
      <c r="F174" s="172"/>
      <c r="H174" s="176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X174" s="176"/>
      <c r="Y174" s="176"/>
      <c r="Z174" s="176"/>
      <c r="AA174" s="177"/>
    </row>
    <row r="175" spans="1:27" s="11" customFormat="1">
      <c r="A175" s="178"/>
      <c r="B175" s="176"/>
      <c r="C175" s="177"/>
      <c r="D175" s="177"/>
      <c r="E175" s="172"/>
      <c r="F175" s="172"/>
      <c r="H175" s="176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X175" s="176"/>
      <c r="Y175" s="176"/>
      <c r="Z175" s="176"/>
      <c r="AA175" s="177"/>
    </row>
    <row r="176" spans="1:27" s="11" customFormat="1">
      <c r="A176" s="178"/>
      <c r="B176" s="176"/>
      <c r="C176" s="177"/>
      <c r="D176" s="177"/>
      <c r="E176" s="172"/>
      <c r="F176" s="172"/>
      <c r="H176" s="176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X176" s="176"/>
      <c r="Y176" s="176"/>
      <c r="Z176" s="176"/>
      <c r="AA176" s="177"/>
    </row>
    <row r="177" spans="1:27" s="11" customFormat="1">
      <c r="A177" s="178"/>
      <c r="B177" s="176"/>
      <c r="C177" s="177"/>
      <c r="D177" s="177"/>
      <c r="E177" s="172"/>
      <c r="F177" s="172"/>
      <c r="H177" s="176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X177" s="176"/>
      <c r="Y177" s="176"/>
      <c r="Z177" s="176"/>
      <c r="AA177" s="177"/>
    </row>
    <row r="178" spans="1:27" s="11" customFormat="1">
      <c r="A178" s="178"/>
      <c r="B178" s="176"/>
      <c r="C178" s="177"/>
      <c r="D178" s="177"/>
      <c r="E178" s="172"/>
      <c r="F178" s="172"/>
      <c r="H178" s="176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X178" s="176"/>
      <c r="Y178" s="176"/>
      <c r="Z178" s="176"/>
      <c r="AA178" s="177"/>
    </row>
    <row r="179" spans="1:27" s="11" customFormat="1">
      <c r="A179" s="178"/>
      <c r="B179" s="176"/>
      <c r="C179" s="177"/>
      <c r="D179" s="177"/>
      <c r="E179" s="172"/>
      <c r="F179" s="172"/>
      <c r="H179" s="176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X179" s="176"/>
      <c r="Y179" s="176"/>
      <c r="Z179" s="176"/>
      <c r="AA179" s="177"/>
    </row>
    <row r="180" spans="1:27" s="11" customFormat="1">
      <c r="A180" s="178"/>
      <c r="B180" s="176"/>
      <c r="C180" s="177"/>
      <c r="D180" s="177"/>
      <c r="E180" s="172"/>
      <c r="F180" s="172"/>
      <c r="H180" s="176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X180" s="176"/>
      <c r="Y180" s="176"/>
      <c r="Z180" s="176"/>
      <c r="AA180" s="177"/>
    </row>
    <row r="181" spans="1:27" s="11" customFormat="1">
      <c r="A181" s="178"/>
      <c r="B181" s="176"/>
      <c r="C181" s="177"/>
      <c r="D181" s="177"/>
      <c r="E181" s="172"/>
      <c r="F181" s="172"/>
      <c r="H181" s="176"/>
      <c r="I181" s="176"/>
      <c r="J181" s="176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X181" s="176"/>
      <c r="Y181" s="176"/>
      <c r="Z181" s="176"/>
      <c r="AA181" s="177"/>
    </row>
    <row r="182" spans="1:27" s="11" customFormat="1">
      <c r="A182" s="178"/>
      <c r="B182" s="176"/>
      <c r="C182" s="177"/>
      <c r="D182" s="177"/>
      <c r="E182" s="172"/>
      <c r="F182" s="172"/>
      <c r="H182" s="176"/>
      <c r="I182" s="176"/>
      <c r="J182" s="176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X182" s="176"/>
      <c r="Y182" s="176"/>
      <c r="Z182" s="176"/>
      <c r="AA182" s="177"/>
    </row>
    <row r="183" spans="1:27" s="11" customFormat="1">
      <c r="A183" s="178"/>
      <c r="B183" s="176"/>
      <c r="C183" s="177"/>
      <c r="D183" s="177"/>
      <c r="E183" s="172"/>
      <c r="F183" s="172"/>
      <c r="H183" s="176"/>
      <c r="I183" s="176"/>
      <c r="J183" s="176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X183" s="176"/>
      <c r="Y183" s="176"/>
      <c r="Z183" s="176"/>
      <c r="AA183" s="177"/>
    </row>
    <row r="184" spans="1:27" s="11" customFormat="1">
      <c r="A184" s="178"/>
      <c r="B184" s="176"/>
      <c r="C184" s="177"/>
      <c r="D184" s="177"/>
      <c r="E184" s="172"/>
      <c r="F184" s="172"/>
      <c r="H184" s="176"/>
      <c r="I184" s="176"/>
      <c r="J184" s="176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X184" s="176"/>
      <c r="Y184" s="176"/>
      <c r="Z184" s="176"/>
      <c r="AA184" s="177"/>
    </row>
    <row r="185" spans="1:27" s="11" customFormat="1">
      <c r="A185" s="178"/>
      <c r="B185" s="176"/>
      <c r="C185" s="177"/>
      <c r="D185" s="177"/>
      <c r="E185" s="172"/>
      <c r="F185" s="172"/>
      <c r="H185" s="176"/>
      <c r="I185" s="176"/>
      <c r="J185" s="176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X185" s="176"/>
      <c r="Y185" s="176"/>
      <c r="Z185" s="176"/>
      <c r="AA185" s="177"/>
    </row>
    <row r="186" spans="1:27" s="11" customFormat="1">
      <c r="A186" s="178"/>
      <c r="B186" s="176"/>
      <c r="C186" s="177"/>
      <c r="D186" s="177"/>
      <c r="E186" s="172"/>
      <c r="F186" s="172"/>
      <c r="H186" s="176"/>
      <c r="I186" s="176"/>
      <c r="J186" s="176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X186" s="176"/>
      <c r="Y186" s="176"/>
      <c r="Z186" s="176"/>
      <c r="AA186" s="177"/>
    </row>
    <row r="187" spans="1:27" s="11" customFormat="1">
      <c r="A187" s="178"/>
      <c r="B187" s="176"/>
      <c r="C187" s="177"/>
      <c r="D187" s="177"/>
      <c r="E187" s="172"/>
      <c r="F187" s="172"/>
      <c r="H187" s="176"/>
      <c r="I187" s="176"/>
      <c r="J187" s="176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X187" s="176"/>
      <c r="Y187" s="176"/>
      <c r="Z187" s="176"/>
      <c r="AA187" s="177"/>
    </row>
    <row r="188" spans="1:27" s="11" customFormat="1">
      <c r="A188" s="178"/>
      <c r="B188" s="176"/>
      <c r="C188" s="177"/>
      <c r="D188" s="177"/>
      <c r="E188" s="172"/>
      <c r="F188" s="172"/>
      <c r="H188" s="176"/>
      <c r="I188" s="176"/>
      <c r="J188" s="176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X188" s="176"/>
      <c r="Y188" s="176"/>
      <c r="Z188" s="176"/>
      <c r="AA188" s="177"/>
    </row>
    <row r="189" spans="1:27" s="11" customFormat="1">
      <c r="A189" s="178"/>
      <c r="B189" s="176"/>
      <c r="C189" s="176"/>
      <c r="D189" s="176"/>
      <c r="E189" s="176"/>
      <c r="F189" s="176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X189" s="176"/>
      <c r="Y189" s="176"/>
      <c r="Z189" s="176"/>
      <c r="AA189" s="177"/>
    </row>
    <row r="190" spans="1:27" s="11" customFormat="1">
      <c r="A190" s="178"/>
      <c r="B190" s="176"/>
      <c r="C190" s="176"/>
      <c r="D190" s="176"/>
      <c r="E190" s="176"/>
      <c r="F190" s="176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X190" s="176"/>
      <c r="Y190" s="176"/>
      <c r="Z190" s="176"/>
      <c r="AA190" s="177"/>
    </row>
    <row r="191" spans="1:27" s="11" customFormat="1">
      <c r="A191" s="178"/>
      <c r="B191" s="176"/>
      <c r="C191" s="176"/>
      <c r="D191" s="176"/>
      <c r="E191" s="176"/>
      <c r="F191" s="176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X191" s="176"/>
      <c r="Y191" s="176"/>
      <c r="Z191" s="176"/>
      <c r="AA191" s="177"/>
    </row>
    <row r="192" spans="1:27" s="11" customFormat="1">
      <c r="A192" s="178"/>
      <c r="B192" s="176"/>
      <c r="C192" s="176"/>
      <c r="D192" s="176"/>
      <c r="E192" s="176"/>
      <c r="F192" s="176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X192" s="176"/>
      <c r="Y192" s="176"/>
      <c r="Z192" s="176"/>
      <c r="AA192" s="177"/>
    </row>
    <row r="193" spans="1:27" s="11" customFormat="1">
      <c r="A193" s="178"/>
      <c r="B193" s="176"/>
      <c r="C193" s="176"/>
      <c r="D193" s="176"/>
      <c r="E193" s="176"/>
      <c r="F193" s="176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X193" s="176"/>
      <c r="Y193" s="176"/>
      <c r="Z193" s="176"/>
      <c r="AA193" s="177"/>
    </row>
    <row r="194" spans="1:27" s="11" customFormat="1">
      <c r="A194" s="178"/>
      <c r="B194" s="176"/>
      <c r="C194" s="176"/>
      <c r="D194" s="176"/>
      <c r="E194" s="176"/>
      <c r="F194" s="176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X194" s="176"/>
      <c r="Y194" s="176"/>
      <c r="Z194" s="176"/>
      <c r="AA194" s="177"/>
    </row>
    <row r="195" spans="1:27" s="11" customFormat="1">
      <c r="A195" s="178"/>
      <c r="B195" s="176"/>
      <c r="C195" s="176"/>
      <c r="D195" s="176"/>
      <c r="E195" s="176"/>
      <c r="F195" s="176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X195" s="176"/>
      <c r="Y195" s="176"/>
      <c r="Z195" s="176"/>
      <c r="AA195" s="177"/>
    </row>
    <row r="196" spans="1:27" s="11" customFormat="1">
      <c r="A196" s="178"/>
      <c r="B196" s="176"/>
      <c r="C196" s="176"/>
      <c r="D196" s="176"/>
      <c r="E196" s="176"/>
      <c r="F196" s="176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X196" s="176"/>
      <c r="Y196" s="176"/>
      <c r="Z196" s="176"/>
      <c r="AA196" s="177"/>
    </row>
    <row r="197" spans="1:27" s="11" customFormat="1">
      <c r="A197" s="178"/>
      <c r="B197" s="176"/>
      <c r="C197" s="176"/>
      <c r="D197" s="176"/>
      <c r="E197" s="176"/>
      <c r="F197" s="176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X197" s="176"/>
      <c r="Y197" s="176"/>
      <c r="Z197" s="176"/>
      <c r="AA197" s="177"/>
    </row>
    <row r="198" spans="1:27" s="11" customFormat="1">
      <c r="A198" s="178"/>
      <c r="B198" s="176"/>
      <c r="C198" s="176"/>
      <c r="D198" s="176"/>
      <c r="E198" s="176"/>
      <c r="F198" s="176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X198" s="176"/>
      <c r="Y198" s="176"/>
      <c r="Z198" s="176"/>
      <c r="AA198" s="177"/>
    </row>
    <row r="199" spans="1:27" s="11" customFormat="1">
      <c r="A199" s="178"/>
      <c r="B199" s="176"/>
      <c r="C199" s="176"/>
      <c r="D199" s="176"/>
      <c r="E199" s="176"/>
      <c r="F199" s="176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X199" s="176"/>
      <c r="Y199" s="176"/>
      <c r="Z199" s="176"/>
      <c r="AA199" s="177"/>
    </row>
    <row r="200" spans="1:27" s="11" customFormat="1">
      <c r="A200" s="178"/>
      <c r="B200" s="176"/>
      <c r="C200" s="176"/>
      <c r="D200" s="176"/>
      <c r="E200" s="176"/>
      <c r="F200" s="176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X200" s="176"/>
      <c r="Y200" s="176"/>
      <c r="Z200" s="176"/>
      <c r="AA200" s="177"/>
    </row>
    <row r="201" spans="1:27" s="11" customFormat="1">
      <c r="A201" s="178"/>
      <c r="B201" s="176"/>
      <c r="C201" s="176"/>
      <c r="D201" s="176"/>
      <c r="E201" s="176"/>
      <c r="F201" s="176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X201" s="176"/>
      <c r="Y201" s="176"/>
      <c r="Z201" s="176"/>
      <c r="AA201" s="177"/>
    </row>
    <row r="202" spans="1:27" s="11" customFormat="1">
      <c r="A202" s="178"/>
      <c r="B202" s="176"/>
      <c r="C202" s="176"/>
      <c r="D202" s="176"/>
      <c r="E202" s="176"/>
      <c r="F202" s="176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X202" s="176"/>
      <c r="Y202" s="176"/>
      <c r="Z202" s="176"/>
      <c r="AA202" s="177"/>
    </row>
    <row r="203" spans="1:27" s="11" customFormat="1">
      <c r="A203" s="178"/>
      <c r="B203" s="176"/>
      <c r="C203" s="176"/>
      <c r="D203" s="176"/>
      <c r="E203" s="176"/>
      <c r="F203" s="176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X203" s="176"/>
      <c r="Y203" s="176"/>
      <c r="Z203" s="176"/>
      <c r="AA203" s="177"/>
    </row>
    <row r="204" spans="1:27" s="11" customFormat="1">
      <c r="A204" s="178"/>
      <c r="B204" s="176"/>
      <c r="C204" s="176"/>
      <c r="D204" s="176"/>
      <c r="E204" s="176"/>
      <c r="F204" s="176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X204" s="176"/>
      <c r="Y204" s="176"/>
      <c r="Z204" s="176"/>
      <c r="AA204" s="177"/>
    </row>
    <row r="205" spans="1:27" s="11" customFormat="1">
      <c r="A205" s="178"/>
      <c r="B205" s="176"/>
      <c r="C205" s="176"/>
      <c r="D205" s="176"/>
      <c r="E205" s="176"/>
      <c r="F205" s="176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X205" s="176"/>
      <c r="Y205" s="176"/>
      <c r="Z205" s="176"/>
      <c r="AA205" s="177"/>
    </row>
    <row r="206" spans="1:27" s="11" customFormat="1">
      <c r="A206" s="178"/>
      <c r="B206" s="176"/>
      <c r="C206" s="176"/>
      <c r="D206" s="176"/>
      <c r="E206" s="176"/>
      <c r="F206" s="176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X206" s="176"/>
      <c r="Y206" s="176"/>
      <c r="Z206" s="176"/>
      <c r="AA206" s="177"/>
    </row>
    <row r="207" spans="1:27" s="11" customFormat="1">
      <c r="A207" s="178"/>
      <c r="B207" s="176"/>
      <c r="C207" s="176"/>
      <c r="D207" s="176"/>
      <c r="E207" s="176"/>
      <c r="F207" s="176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X207" s="176"/>
      <c r="Y207" s="176"/>
      <c r="Z207" s="176"/>
      <c r="AA207" s="177"/>
    </row>
    <row r="208" spans="1:27" s="11" customFormat="1">
      <c r="A208" s="178"/>
      <c r="B208" s="176"/>
      <c r="C208" s="176"/>
      <c r="D208" s="176"/>
      <c r="E208" s="176"/>
      <c r="F208" s="176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X208" s="176"/>
      <c r="Y208" s="176"/>
      <c r="Z208" s="176"/>
      <c r="AA208" s="177"/>
    </row>
    <row r="209" spans="1:27" s="11" customFormat="1">
      <c r="A209" s="178"/>
      <c r="B209" s="176"/>
      <c r="C209" s="176"/>
      <c r="D209" s="176"/>
      <c r="E209" s="176"/>
      <c r="F209" s="176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X209" s="176"/>
      <c r="Y209" s="176"/>
      <c r="Z209" s="176"/>
      <c r="AA209" s="177"/>
    </row>
    <row r="210" spans="1:27" s="11" customFormat="1">
      <c r="A210" s="178"/>
      <c r="B210" s="176"/>
      <c r="C210" s="176"/>
      <c r="D210" s="176"/>
      <c r="E210" s="176"/>
      <c r="F210" s="176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X210" s="176"/>
      <c r="Y210" s="176"/>
      <c r="Z210" s="176"/>
      <c r="AA210" s="177"/>
    </row>
    <row r="211" spans="1:27" s="11" customFormat="1">
      <c r="A211" s="178"/>
      <c r="B211" s="176"/>
      <c r="C211" s="176"/>
      <c r="D211" s="176"/>
      <c r="E211" s="176"/>
      <c r="F211" s="176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X211" s="176"/>
      <c r="Y211" s="176"/>
      <c r="Z211" s="176"/>
      <c r="AA211" s="177"/>
    </row>
    <row r="212" spans="1:27" s="11" customFormat="1">
      <c r="A212" s="178"/>
      <c r="B212" s="176"/>
      <c r="C212" s="176"/>
      <c r="D212" s="176"/>
      <c r="E212" s="176"/>
      <c r="F212" s="176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X212" s="176"/>
      <c r="Y212" s="176"/>
      <c r="Z212" s="176"/>
      <c r="AA212" s="177"/>
    </row>
    <row r="213" spans="1:27" s="11" customFormat="1">
      <c r="A213" s="178"/>
      <c r="B213" s="176"/>
      <c r="C213" s="176"/>
      <c r="D213" s="176"/>
      <c r="E213" s="176"/>
      <c r="F213" s="176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X213" s="176"/>
      <c r="Y213" s="176"/>
      <c r="Z213" s="176"/>
      <c r="AA213" s="177"/>
    </row>
    <row r="214" spans="1:27" s="11" customFormat="1">
      <c r="A214" s="178"/>
      <c r="B214" s="176"/>
      <c r="C214" s="176"/>
      <c r="D214" s="176"/>
      <c r="E214" s="176"/>
      <c r="F214" s="176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X214" s="176"/>
      <c r="Y214" s="176"/>
      <c r="Z214" s="176"/>
      <c r="AA214" s="177"/>
    </row>
    <row r="215" spans="1:27" s="11" customFormat="1">
      <c r="A215" s="178"/>
      <c r="B215" s="176"/>
      <c r="C215" s="176"/>
      <c r="D215" s="176"/>
      <c r="E215" s="176"/>
      <c r="F215" s="176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X215" s="176"/>
      <c r="Y215" s="176"/>
      <c r="Z215" s="176"/>
      <c r="AA215" s="177"/>
    </row>
    <row r="216" spans="1:27" s="11" customFormat="1">
      <c r="A216" s="178"/>
      <c r="B216" s="176"/>
      <c r="C216" s="176"/>
      <c r="D216" s="176"/>
      <c r="E216" s="176"/>
      <c r="F216" s="176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X216" s="176"/>
      <c r="Y216" s="176"/>
      <c r="Z216" s="176"/>
      <c r="AA216" s="177"/>
    </row>
    <row r="217" spans="1:27" s="11" customFormat="1">
      <c r="A217" s="178"/>
      <c r="B217" s="176"/>
      <c r="C217" s="176"/>
      <c r="D217" s="176"/>
      <c r="E217" s="176"/>
      <c r="F217" s="176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X217" s="176"/>
      <c r="Y217" s="176"/>
      <c r="Z217" s="176"/>
      <c r="AA217" s="177"/>
    </row>
    <row r="218" spans="1:27" s="11" customFormat="1">
      <c r="A218" s="178"/>
      <c r="B218" s="176"/>
      <c r="C218" s="176"/>
      <c r="D218" s="176"/>
      <c r="E218" s="176"/>
      <c r="F218" s="176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X218" s="176"/>
      <c r="Y218" s="176"/>
      <c r="Z218" s="176"/>
      <c r="AA218" s="177"/>
    </row>
    <row r="219" spans="1:27" s="11" customFormat="1">
      <c r="A219" s="178"/>
      <c r="B219" s="176"/>
      <c r="C219" s="176"/>
      <c r="D219" s="176"/>
      <c r="E219" s="176"/>
      <c r="F219" s="176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X219" s="176"/>
      <c r="Y219" s="176"/>
      <c r="Z219" s="176"/>
      <c r="AA219" s="177"/>
    </row>
    <row r="220" spans="1:27" s="11" customFormat="1">
      <c r="A220" s="178"/>
      <c r="B220" s="176"/>
      <c r="C220" s="176"/>
      <c r="D220" s="176"/>
      <c r="E220" s="176"/>
      <c r="F220" s="176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X220" s="176"/>
      <c r="Y220" s="176"/>
      <c r="Z220" s="176"/>
      <c r="AA220" s="177"/>
    </row>
    <row r="221" spans="1:27" s="11" customFormat="1">
      <c r="A221" s="178"/>
      <c r="B221" s="176"/>
      <c r="C221" s="176"/>
      <c r="D221" s="176"/>
      <c r="E221" s="176"/>
      <c r="F221" s="176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X221" s="176"/>
      <c r="Y221" s="176"/>
      <c r="Z221" s="176"/>
      <c r="AA221" s="177"/>
    </row>
    <row r="222" spans="1:27" s="11" customFormat="1">
      <c r="A222" s="178"/>
      <c r="B222" s="176"/>
      <c r="C222" s="176"/>
      <c r="D222" s="176"/>
      <c r="E222" s="176"/>
      <c r="F222" s="176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X222" s="176"/>
      <c r="Y222" s="176"/>
      <c r="Z222" s="176"/>
      <c r="AA222" s="177"/>
    </row>
    <row r="223" spans="1:27" s="11" customFormat="1">
      <c r="A223" s="178"/>
      <c r="B223" s="176"/>
      <c r="C223" s="176"/>
      <c r="D223" s="176"/>
      <c r="E223" s="176"/>
      <c r="F223" s="176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X223" s="176"/>
      <c r="Y223" s="176"/>
      <c r="Z223" s="176"/>
      <c r="AA223" s="177"/>
    </row>
    <row r="224" spans="1:27" s="11" customFormat="1">
      <c r="A224" s="178"/>
      <c r="B224" s="176"/>
      <c r="C224" s="176"/>
      <c r="D224" s="176"/>
      <c r="E224" s="176"/>
      <c r="F224" s="176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X224" s="176"/>
      <c r="Y224" s="176"/>
      <c r="Z224" s="176"/>
      <c r="AA224" s="177"/>
    </row>
    <row r="225" spans="1:27" s="11" customFormat="1">
      <c r="A225" s="178"/>
      <c r="B225" s="176"/>
      <c r="C225" s="176"/>
      <c r="D225" s="176"/>
      <c r="E225" s="176"/>
      <c r="F225" s="176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X225" s="176"/>
      <c r="Y225" s="176"/>
      <c r="Z225" s="176"/>
      <c r="AA225" s="177"/>
    </row>
    <row r="226" spans="1:27" s="11" customFormat="1">
      <c r="A226" s="178"/>
      <c r="B226" s="176"/>
      <c r="C226" s="176"/>
      <c r="D226" s="176"/>
      <c r="E226" s="176"/>
      <c r="F226" s="176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X226" s="176"/>
      <c r="Y226" s="176"/>
      <c r="Z226" s="176"/>
      <c r="AA226" s="177"/>
    </row>
    <row r="227" spans="1:27" s="11" customFormat="1">
      <c r="A227" s="178"/>
      <c r="B227" s="176"/>
      <c r="C227" s="176"/>
      <c r="D227" s="176"/>
      <c r="E227" s="176"/>
      <c r="F227" s="176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X227" s="176"/>
      <c r="Y227" s="176"/>
      <c r="Z227" s="176"/>
      <c r="AA227" s="177"/>
    </row>
    <row r="228" spans="1:27" s="11" customFormat="1">
      <c r="A228" s="178"/>
      <c r="B228" s="176"/>
      <c r="C228" s="176"/>
      <c r="D228" s="176"/>
      <c r="E228" s="176"/>
      <c r="F228" s="176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X228" s="176"/>
      <c r="Y228" s="176"/>
      <c r="Z228" s="176"/>
      <c r="AA228" s="177"/>
    </row>
    <row r="229" spans="1:27" s="11" customFormat="1">
      <c r="A229" s="178"/>
      <c r="B229" s="176"/>
      <c r="C229" s="176"/>
      <c r="D229" s="176"/>
      <c r="E229" s="176"/>
      <c r="F229" s="176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X229" s="176"/>
      <c r="Y229" s="176"/>
      <c r="Z229" s="176"/>
      <c r="AA229" s="177"/>
    </row>
    <row r="230" spans="1:27" s="11" customFormat="1">
      <c r="A230" s="178"/>
      <c r="B230" s="176"/>
      <c r="C230" s="176"/>
      <c r="D230" s="176"/>
      <c r="E230" s="176"/>
      <c r="F230" s="176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X230" s="176"/>
      <c r="Y230" s="176"/>
      <c r="Z230" s="176"/>
      <c r="AA230" s="177"/>
    </row>
    <row r="231" spans="1:27" s="11" customFormat="1">
      <c r="A231" s="178"/>
      <c r="B231" s="176"/>
      <c r="C231" s="176"/>
      <c r="D231" s="176"/>
      <c r="E231" s="176"/>
      <c r="F231" s="176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X231" s="176"/>
      <c r="Y231" s="176"/>
      <c r="Z231" s="176"/>
      <c r="AA231" s="177"/>
    </row>
    <row r="232" spans="1:27" s="11" customFormat="1">
      <c r="A232" s="178"/>
      <c r="B232" s="176"/>
      <c r="C232" s="176"/>
      <c r="D232" s="176"/>
      <c r="E232" s="176"/>
      <c r="F232" s="176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X232" s="176"/>
      <c r="Y232" s="176"/>
      <c r="Z232" s="176"/>
      <c r="AA232" s="177"/>
    </row>
    <row r="233" spans="1:27" s="11" customFormat="1">
      <c r="A233" s="178"/>
      <c r="B233" s="176"/>
      <c r="C233" s="176"/>
      <c r="D233" s="176"/>
      <c r="E233" s="176"/>
      <c r="F233" s="176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X233" s="176"/>
      <c r="Y233" s="176"/>
      <c r="Z233" s="176"/>
      <c r="AA233" s="177"/>
    </row>
    <row r="234" spans="1:27" s="11" customFormat="1">
      <c r="A234" s="178"/>
      <c r="B234" s="176"/>
      <c r="C234" s="176"/>
      <c r="D234" s="176"/>
      <c r="E234" s="176"/>
      <c r="F234" s="176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X234" s="176"/>
      <c r="Y234" s="176"/>
      <c r="Z234" s="176"/>
      <c r="AA234" s="177"/>
    </row>
    <row r="235" spans="1:27" s="11" customFormat="1">
      <c r="A235" s="178"/>
      <c r="B235" s="176"/>
      <c r="C235" s="176"/>
      <c r="D235" s="176"/>
      <c r="E235" s="176"/>
      <c r="F235" s="176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X235" s="176"/>
      <c r="Y235" s="176"/>
      <c r="Z235" s="176"/>
      <c r="AA235" s="177"/>
    </row>
    <row r="236" spans="1:27" s="11" customFormat="1">
      <c r="A236" s="178"/>
      <c r="B236" s="176"/>
      <c r="C236" s="176"/>
      <c r="D236" s="176"/>
      <c r="E236" s="176"/>
      <c r="F236" s="176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X236" s="176"/>
      <c r="Y236" s="176"/>
      <c r="Z236" s="176"/>
      <c r="AA236" s="177"/>
    </row>
    <row r="237" spans="1:27" s="11" customFormat="1">
      <c r="A237" s="178"/>
      <c r="B237" s="176"/>
      <c r="C237" s="176"/>
      <c r="D237" s="176"/>
      <c r="E237" s="176"/>
      <c r="F237" s="176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X237" s="176"/>
      <c r="Y237" s="176"/>
      <c r="Z237" s="176"/>
      <c r="AA237" s="177"/>
    </row>
    <row r="238" spans="1:27" s="11" customFormat="1">
      <c r="A238" s="178"/>
      <c r="B238" s="176"/>
      <c r="C238" s="176"/>
      <c r="D238" s="176"/>
      <c r="E238" s="176"/>
      <c r="F238" s="176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X238" s="176"/>
      <c r="Y238" s="176"/>
      <c r="Z238" s="176"/>
      <c r="AA238" s="177"/>
    </row>
    <row r="239" spans="1:27" s="11" customFormat="1">
      <c r="A239" s="178"/>
      <c r="B239" s="176"/>
      <c r="C239" s="176"/>
      <c r="D239" s="176"/>
      <c r="E239" s="176"/>
      <c r="F239" s="176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X239" s="176"/>
      <c r="Y239" s="176"/>
      <c r="Z239" s="176"/>
      <c r="AA239" s="177"/>
    </row>
    <row r="240" spans="1:27" s="11" customFormat="1">
      <c r="A240" s="178"/>
      <c r="B240" s="176"/>
      <c r="C240" s="176"/>
      <c r="D240" s="176"/>
      <c r="E240" s="176"/>
      <c r="F240" s="176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X240" s="176"/>
      <c r="Y240" s="176"/>
      <c r="Z240" s="176"/>
      <c r="AA240" s="177"/>
    </row>
    <row r="241" spans="1:27" s="11" customFormat="1">
      <c r="A241" s="178"/>
      <c r="B241" s="176"/>
      <c r="C241" s="176"/>
      <c r="D241" s="176"/>
      <c r="E241" s="176"/>
      <c r="F241" s="176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X241" s="176"/>
      <c r="Y241" s="176"/>
      <c r="Z241" s="176"/>
      <c r="AA241" s="177"/>
    </row>
    <row r="242" spans="1:27" s="11" customFormat="1">
      <c r="A242" s="178"/>
      <c r="B242" s="176"/>
      <c r="C242" s="176"/>
      <c r="D242" s="176"/>
      <c r="E242" s="176"/>
      <c r="F242" s="176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X242" s="176"/>
      <c r="Y242" s="176"/>
      <c r="Z242" s="176"/>
      <c r="AA242" s="177"/>
    </row>
    <row r="243" spans="1:27" s="11" customFormat="1">
      <c r="A243" s="178"/>
      <c r="B243" s="176"/>
      <c r="C243" s="176"/>
      <c r="D243" s="176"/>
      <c r="E243" s="176"/>
      <c r="F243" s="176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X243" s="176"/>
      <c r="Y243" s="176"/>
      <c r="Z243" s="176"/>
      <c r="AA243" s="177"/>
    </row>
    <row r="244" spans="1:27" s="11" customFormat="1">
      <c r="A244" s="178"/>
      <c r="B244" s="176"/>
      <c r="C244" s="176"/>
      <c r="D244" s="176"/>
      <c r="E244" s="176"/>
      <c r="F244" s="176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X244" s="176"/>
      <c r="Y244" s="176"/>
      <c r="Z244" s="176"/>
      <c r="AA244" s="177"/>
    </row>
    <row r="245" spans="1:27" s="11" customFormat="1">
      <c r="A245" s="178"/>
      <c r="B245" s="176"/>
      <c r="C245" s="176"/>
      <c r="D245" s="176"/>
      <c r="E245" s="176"/>
      <c r="F245" s="176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X245" s="176"/>
      <c r="Y245" s="176"/>
      <c r="Z245" s="176"/>
      <c r="AA245" s="177"/>
    </row>
    <row r="246" spans="1:27" s="11" customFormat="1">
      <c r="A246" s="178"/>
      <c r="B246" s="176"/>
      <c r="C246" s="176"/>
      <c r="D246" s="176"/>
      <c r="E246" s="176"/>
      <c r="F246" s="176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X246" s="176"/>
      <c r="Y246" s="176"/>
      <c r="Z246" s="176"/>
      <c r="AA246" s="177"/>
    </row>
    <row r="247" spans="1:27" s="11" customFormat="1">
      <c r="A247" s="178"/>
      <c r="B247" s="176"/>
      <c r="C247" s="176"/>
      <c r="D247" s="176"/>
      <c r="E247" s="176"/>
      <c r="F247" s="176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X247" s="176"/>
      <c r="Y247" s="176"/>
      <c r="Z247" s="176"/>
      <c r="AA247" s="177"/>
    </row>
    <row r="248" spans="1:27" s="11" customFormat="1">
      <c r="A248" s="178"/>
      <c r="B248" s="176"/>
      <c r="C248" s="176"/>
      <c r="D248" s="176"/>
      <c r="E248" s="176"/>
      <c r="F248" s="176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X248" s="176"/>
      <c r="Y248" s="176"/>
      <c r="Z248" s="176"/>
      <c r="AA248" s="177"/>
    </row>
    <row r="249" spans="1:27" s="11" customFormat="1">
      <c r="A249" s="178"/>
      <c r="B249" s="176"/>
      <c r="C249" s="176"/>
      <c r="D249" s="176"/>
      <c r="E249" s="176"/>
      <c r="F249" s="176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X249" s="176"/>
      <c r="Y249" s="176"/>
      <c r="Z249" s="176"/>
      <c r="AA249" s="177"/>
    </row>
    <row r="250" spans="1:27" s="11" customFormat="1">
      <c r="A250" s="178"/>
      <c r="B250" s="176"/>
      <c r="C250" s="176"/>
      <c r="D250" s="176"/>
      <c r="E250" s="176"/>
      <c r="F250" s="176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X250" s="176"/>
      <c r="Y250" s="176"/>
      <c r="Z250" s="176"/>
      <c r="AA250" s="177"/>
    </row>
    <row r="251" spans="1:27" s="11" customFormat="1">
      <c r="A251" s="178"/>
      <c r="B251" s="176"/>
      <c r="C251" s="176"/>
      <c r="D251" s="176"/>
      <c r="E251" s="176"/>
      <c r="F251" s="176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X251" s="176"/>
      <c r="Y251" s="176"/>
      <c r="Z251" s="176"/>
      <c r="AA251" s="177"/>
    </row>
    <row r="252" spans="1:27" s="11" customFormat="1">
      <c r="A252" s="178"/>
      <c r="B252" s="176"/>
      <c r="C252" s="176"/>
      <c r="D252" s="176"/>
      <c r="E252" s="176"/>
      <c r="F252" s="176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X252" s="176"/>
      <c r="Y252" s="176"/>
      <c r="Z252" s="176"/>
      <c r="AA252" s="177"/>
    </row>
    <row r="253" spans="1:27" s="11" customFormat="1">
      <c r="A253" s="178"/>
      <c r="B253" s="176"/>
      <c r="C253" s="176"/>
      <c r="D253" s="176"/>
      <c r="E253" s="176"/>
      <c r="F253" s="176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X253" s="176"/>
      <c r="Y253" s="176"/>
      <c r="Z253" s="176"/>
      <c r="AA253" s="177"/>
    </row>
    <row r="254" spans="1:27" s="11" customFormat="1">
      <c r="A254" s="178"/>
      <c r="B254" s="176"/>
      <c r="C254" s="176"/>
      <c r="D254" s="176"/>
      <c r="E254" s="176"/>
      <c r="F254" s="176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X254" s="176"/>
      <c r="Y254" s="176"/>
      <c r="Z254" s="176"/>
      <c r="AA254" s="177"/>
    </row>
    <row r="255" spans="1:27" s="11" customFormat="1">
      <c r="A255" s="178"/>
      <c r="B255" s="176"/>
      <c r="C255" s="176"/>
      <c r="D255" s="176"/>
      <c r="E255" s="176"/>
      <c r="F255" s="176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X255" s="176"/>
      <c r="Y255" s="176"/>
      <c r="Z255" s="176"/>
      <c r="AA255" s="177"/>
    </row>
    <row r="256" spans="1:27" s="11" customFormat="1">
      <c r="A256" s="178"/>
      <c r="B256" s="176"/>
      <c r="C256" s="176"/>
      <c r="D256" s="176"/>
      <c r="E256" s="176"/>
      <c r="F256" s="176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X256" s="176"/>
      <c r="Y256" s="176"/>
      <c r="Z256" s="176"/>
      <c r="AA256" s="177"/>
    </row>
    <row r="257" spans="1:27" s="11" customFormat="1">
      <c r="A257" s="178"/>
      <c r="B257" s="176"/>
      <c r="C257" s="176"/>
      <c r="D257" s="176"/>
      <c r="E257" s="176"/>
      <c r="F257" s="176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X257" s="176"/>
      <c r="Y257" s="176"/>
      <c r="Z257" s="176"/>
      <c r="AA257" s="177"/>
    </row>
    <row r="258" spans="1:27" s="11" customFormat="1">
      <c r="A258" s="178"/>
      <c r="B258" s="176"/>
      <c r="C258" s="176"/>
      <c r="D258" s="176"/>
      <c r="E258" s="176"/>
      <c r="F258" s="176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X258" s="176"/>
      <c r="Y258" s="176"/>
      <c r="Z258" s="176"/>
      <c r="AA258" s="177"/>
    </row>
    <row r="259" spans="1:27" s="11" customFormat="1">
      <c r="A259" s="178"/>
      <c r="B259" s="176"/>
      <c r="C259" s="176"/>
      <c r="D259" s="176"/>
      <c r="E259" s="176"/>
      <c r="F259" s="176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X259" s="176"/>
      <c r="Y259" s="176"/>
      <c r="Z259" s="176"/>
      <c r="AA259" s="177"/>
    </row>
    <row r="260" spans="1:27" s="11" customFormat="1">
      <c r="A260" s="178"/>
      <c r="B260" s="176"/>
      <c r="C260" s="176"/>
      <c r="D260" s="176"/>
      <c r="E260" s="176"/>
      <c r="F260" s="176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X260" s="176"/>
      <c r="Y260" s="176"/>
      <c r="Z260" s="176"/>
      <c r="AA260" s="177"/>
    </row>
    <row r="261" spans="1:27" s="11" customFormat="1">
      <c r="A261" s="178"/>
      <c r="B261" s="176"/>
      <c r="C261" s="176"/>
      <c r="D261" s="176"/>
      <c r="E261" s="176"/>
      <c r="F261" s="176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X261" s="176"/>
      <c r="Y261" s="176"/>
      <c r="Z261" s="176"/>
      <c r="AA261" s="177"/>
    </row>
    <row r="262" spans="1:27" s="11" customFormat="1">
      <c r="A262" s="178"/>
      <c r="B262" s="176"/>
      <c r="C262" s="176"/>
      <c r="D262" s="176"/>
      <c r="E262" s="176"/>
      <c r="F262" s="176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X262" s="176"/>
      <c r="Y262" s="176"/>
      <c r="Z262" s="176"/>
      <c r="AA262" s="177"/>
    </row>
    <row r="263" spans="1:27" s="11" customFormat="1">
      <c r="A263" s="178"/>
      <c r="B263" s="176"/>
      <c r="C263" s="176"/>
      <c r="D263" s="176"/>
      <c r="E263" s="176"/>
      <c r="F263" s="176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X263" s="176"/>
      <c r="Y263" s="176"/>
      <c r="Z263" s="176"/>
      <c r="AA263" s="177"/>
    </row>
    <row r="264" spans="1:27" s="11" customFormat="1">
      <c r="A264" s="178"/>
      <c r="B264" s="176"/>
      <c r="C264" s="176"/>
      <c r="D264" s="176"/>
      <c r="E264" s="176"/>
      <c r="F264" s="176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X264" s="176"/>
      <c r="Y264" s="176"/>
      <c r="Z264" s="176"/>
      <c r="AA264" s="177"/>
    </row>
    <row r="265" spans="1:27" s="11" customFormat="1">
      <c r="A265" s="178"/>
      <c r="B265" s="176"/>
      <c r="C265" s="176"/>
      <c r="D265" s="176"/>
      <c r="E265" s="176"/>
      <c r="F265" s="176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X265" s="176"/>
      <c r="Y265" s="176"/>
      <c r="Z265" s="176"/>
      <c r="AA265" s="177"/>
    </row>
    <row r="266" spans="1:27" s="11" customFormat="1">
      <c r="A266" s="178"/>
      <c r="B266" s="176"/>
      <c r="C266" s="176"/>
      <c r="D266" s="176"/>
      <c r="E266" s="176"/>
      <c r="F266" s="176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X266" s="176"/>
      <c r="Y266" s="176"/>
      <c r="Z266" s="176"/>
      <c r="AA266" s="177"/>
    </row>
    <row r="267" spans="1:27" s="11" customFormat="1">
      <c r="A267" s="178"/>
      <c r="B267" s="176"/>
      <c r="C267" s="176"/>
      <c r="D267" s="176"/>
      <c r="E267" s="176"/>
      <c r="F267" s="176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X267" s="176"/>
      <c r="Y267" s="176"/>
      <c r="Z267" s="176"/>
      <c r="AA267" s="177"/>
    </row>
    <row r="268" spans="1:27" s="11" customFormat="1">
      <c r="A268" s="178"/>
      <c r="B268" s="176"/>
      <c r="C268" s="176"/>
      <c r="D268" s="176"/>
      <c r="E268" s="176"/>
      <c r="F268" s="176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X268" s="176"/>
      <c r="Y268" s="176"/>
      <c r="Z268" s="176"/>
      <c r="AA268" s="177"/>
    </row>
    <row r="269" spans="1:27" s="11" customFormat="1">
      <c r="A269" s="178"/>
      <c r="B269" s="176"/>
      <c r="C269" s="176"/>
      <c r="D269" s="176"/>
      <c r="E269" s="176"/>
      <c r="F269" s="176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X269" s="176"/>
      <c r="Y269" s="176"/>
      <c r="Z269" s="176"/>
      <c r="AA269" s="177"/>
    </row>
    <row r="270" spans="1:27" s="11" customFormat="1">
      <c r="A270" s="178"/>
      <c r="B270" s="176"/>
      <c r="C270" s="176"/>
      <c r="D270" s="176"/>
      <c r="E270" s="176"/>
      <c r="F270" s="176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X270" s="176"/>
      <c r="Y270" s="176"/>
      <c r="Z270" s="176"/>
      <c r="AA270" s="177"/>
    </row>
    <row r="271" spans="1:27" s="11" customFormat="1">
      <c r="A271" s="178"/>
      <c r="B271" s="176"/>
      <c r="C271" s="176"/>
      <c r="D271" s="176"/>
      <c r="E271" s="176"/>
      <c r="F271" s="176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X271" s="176"/>
      <c r="Y271" s="176"/>
      <c r="Z271" s="176"/>
      <c r="AA271" s="177"/>
    </row>
    <row r="272" spans="1:27" s="11" customFormat="1">
      <c r="A272" s="178"/>
      <c r="B272" s="176"/>
      <c r="C272" s="176"/>
      <c r="D272" s="176"/>
      <c r="E272" s="176"/>
      <c r="F272" s="176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X272" s="176"/>
      <c r="Y272" s="176"/>
      <c r="Z272" s="176"/>
      <c r="AA272" s="177"/>
    </row>
    <row r="273" spans="1:27" s="11" customFormat="1">
      <c r="A273" s="178"/>
      <c r="B273" s="176"/>
      <c r="C273" s="176"/>
      <c r="D273" s="176"/>
      <c r="E273" s="176"/>
      <c r="F273" s="176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X273" s="176"/>
      <c r="Y273" s="176"/>
      <c r="Z273" s="176"/>
      <c r="AA273" s="177"/>
    </row>
    <row r="274" spans="1:27" s="11" customFormat="1">
      <c r="A274" s="178"/>
      <c r="B274" s="176"/>
      <c r="C274" s="176"/>
      <c r="D274" s="176"/>
      <c r="E274" s="176"/>
      <c r="F274" s="176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X274" s="176"/>
      <c r="Y274" s="176"/>
      <c r="Z274" s="176"/>
      <c r="AA274" s="177"/>
    </row>
    <row r="275" spans="1:27" s="11" customFormat="1">
      <c r="A275" s="178"/>
      <c r="B275" s="176"/>
      <c r="C275" s="176"/>
      <c r="D275" s="176"/>
      <c r="E275" s="176"/>
      <c r="F275" s="176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X275" s="176"/>
      <c r="Y275" s="176"/>
      <c r="Z275" s="176"/>
      <c r="AA275" s="177"/>
    </row>
    <row r="276" spans="1:27" s="11" customFormat="1">
      <c r="A276" s="178"/>
      <c r="B276" s="176"/>
      <c r="C276" s="176"/>
      <c r="D276" s="176"/>
      <c r="E276" s="176"/>
      <c r="F276" s="176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X276" s="176"/>
      <c r="Y276" s="176"/>
      <c r="Z276" s="176"/>
      <c r="AA276" s="177"/>
    </row>
    <row r="277" spans="1:27" s="11" customFormat="1">
      <c r="A277" s="178"/>
      <c r="B277" s="176"/>
      <c r="C277" s="176"/>
      <c r="D277" s="176"/>
      <c r="E277" s="176"/>
      <c r="F277" s="176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X277" s="176"/>
      <c r="Y277" s="176"/>
      <c r="Z277" s="176"/>
      <c r="AA277" s="177"/>
    </row>
    <row r="278" spans="1:27" s="11" customFormat="1">
      <c r="A278" s="178"/>
      <c r="B278" s="176"/>
      <c r="C278" s="176"/>
      <c r="D278" s="176"/>
      <c r="E278" s="176"/>
      <c r="F278" s="176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X278" s="176"/>
      <c r="Y278" s="176"/>
      <c r="Z278" s="176"/>
      <c r="AA278" s="177"/>
    </row>
    <row r="279" spans="1:27" s="11" customFormat="1">
      <c r="A279" s="178"/>
      <c r="B279" s="176"/>
      <c r="C279" s="176"/>
      <c r="D279" s="176"/>
      <c r="E279" s="176"/>
      <c r="F279" s="176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X279" s="176"/>
      <c r="Y279" s="176"/>
      <c r="Z279" s="176"/>
      <c r="AA279" s="177"/>
    </row>
    <row r="280" spans="1:27" s="11" customFormat="1">
      <c r="A280" s="178"/>
      <c r="B280" s="176"/>
      <c r="C280" s="176"/>
      <c r="D280" s="176"/>
      <c r="E280" s="176"/>
      <c r="F280" s="176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X280" s="176"/>
      <c r="Y280" s="176"/>
      <c r="Z280" s="176"/>
      <c r="AA280" s="177"/>
    </row>
    <row r="281" spans="1:27" s="11" customFormat="1">
      <c r="A281" s="178"/>
      <c r="B281" s="176"/>
      <c r="C281" s="176"/>
      <c r="D281" s="176"/>
      <c r="E281" s="176"/>
      <c r="F281" s="176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X281" s="176"/>
      <c r="Y281" s="176"/>
      <c r="Z281" s="176"/>
      <c r="AA281" s="177"/>
    </row>
    <row r="282" spans="1:27" s="11" customFormat="1">
      <c r="A282" s="178"/>
      <c r="B282" s="176"/>
      <c r="C282" s="176"/>
      <c r="D282" s="176"/>
      <c r="E282" s="176"/>
      <c r="F282" s="176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X282" s="176"/>
      <c r="Y282" s="176"/>
      <c r="Z282" s="176"/>
      <c r="AA282" s="177"/>
    </row>
    <row r="283" spans="1:27" s="11" customFormat="1">
      <c r="A283" s="178"/>
      <c r="B283" s="176"/>
      <c r="C283" s="176"/>
      <c r="D283" s="176"/>
      <c r="E283" s="176"/>
      <c r="F283" s="176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X283" s="176"/>
      <c r="Y283" s="176"/>
      <c r="Z283" s="176"/>
      <c r="AA283" s="177"/>
    </row>
    <row r="284" spans="1:27" s="11" customFormat="1">
      <c r="A284" s="178"/>
      <c r="B284" s="176"/>
      <c r="C284" s="176"/>
      <c r="D284" s="176"/>
      <c r="E284" s="176"/>
      <c r="F284" s="176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X284" s="176"/>
      <c r="Y284" s="176"/>
      <c r="Z284" s="176"/>
      <c r="AA284" s="177"/>
    </row>
    <row r="285" spans="1:27" s="11" customFormat="1">
      <c r="A285" s="178"/>
      <c r="B285" s="176"/>
      <c r="C285" s="176"/>
      <c r="D285" s="176"/>
      <c r="E285" s="176"/>
      <c r="F285" s="176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X285" s="176"/>
      <c r="Y285" s="176"/>
      <c r="Z285" s="176"/>
      <c r="AA285" s="177"/>
    </row>
    <row r="286" spans="1:27" s="11" customFormat="1">
      <c r="A286" s="178"/>
      <c r="B286" s="176"/>
      <c r="C286" s="176"/>
      <c r="D286" s="176"/>
      <c r="E286" s="176"/>
      <c r="F286" s="176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X286" s="176"/>
      <c r="Y286" s="176"/>
      <c r="Z286" s="176"/>
      <c r="AA286" s="177"/>
    </row>
    <row r="287" spans="1:27" s="11" customFormat="1">
      <c r="A287" s="178"/>
      <c r="B287" s="176"/>
      <c r="C287" s="176"/>
      <c r="D287" s="176"/>
      <c r="E287" s="176"/>
      <c r="F287" s="176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X287" s="176"/>
      <c r="Y287" s="176"/>
      <c r="Z287" s="176"/>
      <c r="AA287" s="177"/>
    </row>
    <row r="288" spans="1:27" s="11" customFormat="1">
      <c r="A288" s="178"/>
      <c r="B288" s="176"/>
      <c r="C288" s="176"/>
      <c r="D288" s="176"/>
      <c r="E288" s="176"/>
      <c r="F288" s="176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X288" s="176"/>
      <c r="Y288" s="176"/>
      <c r="Z288" s="176"/>
      <c r="AA288" s="177"/>
    </row>
    <row r="289" spans="1:27" s="11" customFormat="1">
      <c r="A289" s="178"/>
      <c r="B289" s="176"/>
      <c r="C289" s="176"/>
      <c r="D289" s="176"/>
      <c r="E289" s="176"/>
      <c r="F289" s="176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X289" s="176"/>
      <c r="Y289" s="176"/>
      <c r="Z289" s="176"/>
      <c r="AA289" s="177"/>
    </row>
    <row r="290" spans="1:27" s="11" customFormat="1">
      <c r="A290" s="178"/>
      <c r="B290" s="176"/>
      <c r="C290" s="176"/>
      <c r="D290" s="176"/>
      <c r="E290" s="176"/>
      <c r="F290" s="176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X290" s="176"/>
      <c r="Y290" s="176"/>
      <c r="Z290" s="176"/>
      <c r="AA290" s="177"/>
    </row>
    <row r="291" spans="1:27" s="11" customFormat="1">
      <c r="A291" s="178"/>
      <c r="B291" s="176"/>
      <c r="C291" s="176"/>
      <c r="D291" s="176"/>
      <c r="E291" s="176"/>
      <c r="F291" s="176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X291" s="176"/>
      <c r="Y291" s="176"/>
      <c r="Z291" s="176"/>
      <c r="AA291" s="177"/>
    </row>
    <row r="292" spans="1:27" s="11" customFormat="1">
      <c r="A292" s="178"/>
      <c r="B292" s="176"/>
      <c r="C292" s="176"/>
      <c r="D292" s="176"/>
      <c r="E292" s="176"/>
      <c r="F292" s="176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X292" s="176"/>
      <c r="Y292" s="176"/>
      <c r="Z292" s="176"/>
      <c r="AA292" s="177"/>
    </row>
    <row r="293" spans="1:27" s="11" customFormat="1">
      <c r="A293" s="178"/>
      <c r="B293" s="176"/>
      <c r="C293" s="176"/>
      <c r="D293" s="176"/>
      <c r="E293" s="176"/>
      <c r="F293" s="176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X293" s="176"/>
      <c r="Y293" s="176"/>
      <c r="Z293" s="176"/>
      <c r="AA293" s="177"/>
    </row>
    <row r="294" spans="1:27" s="11" customFormat="1">
      <c r="A294" s="178"/>
      <c r="B294" s="176"/>
      <c r="C294" s="176"/>
      <c r="D294" s="176"/>
      <c r="E294" s="176"/>
      <c r="F294" s="176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X294" s="176"/>
      <c r="Y294" s="176"/>
      <c r="Z294" s="176"/>
      <c r="AA294" s="177"/>
    </row>
    <row r="295" spans="1:27" s="11" customFormat="1">
      <c r="A295" s="178"/>
      <c r="B295" s="176"/>
      <c r="C295" s="176"/>
      <c r="D295" s="176"/>
      <c r="E295" s="176"/>
      <c r="F295" s="176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X295" s="176"/>
      <c r="Y295" s="176"/>
      <c r="Z295" s="176"/>
      <c r="AA295" s="177"/>
    </row>
    <row r="296" spans="1:27" s="11" customFormat="1">
      <c r="A296" s="178"/>
      <c r="B296" s="176"/>
      <c r="C296" s="176"/>
      <c r="D296" s="176"/>
      <c r="E296" s="176"/>
      <c r="F296" s="176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X296" s="176"/>
      <c r="Y296" s="176"/>
      <c r="Z296" s="176"/>
      <c r="AA296" s="177"/>
    </row>
    <row r="297" spans="1:27" s="11" customFormat="1">
      <c r="A297" s="178"/>
      <c r="B297" s="176"/>
      <c r="C297" s="176"/>
      <c r="D297" s="176"/>
      <c r="E297" s="176"/>
      <c r="F297" s="176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X297" s="176"/>
      <c r="Y297" s="176"/>
      <c r="Z297" s="176"/>
      <c r="AA297" s="177"/>
    </row>
    <row r="298" spans="1:27" s="11" customFormat="1">
      <c r="A298" s="178"/>
      <c r="B298" s="176"/>
      <c r="C298" s="176"/>
      <c r="D298" s="176"/>
      <c r="E298" s="176"/>
      <c r="F298" s="176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X298" s="176"/>
      <c r="Y298" s="176"/>
      <c r="Z298" s="176"/>
      <c r="AA298" s="177"/>
    </row>
    <row r="299" spans="1:27" s="11" customFormat="1">
      <c r="A299" s="178"/>
      <c r="B299" s="176"/>
      <c r="C299" s="176"/>
      <c r="D299" s="176"/>
      <c r="E299" s="176"/>
      <c r="F299" s="176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X299" s="176"/>
      <c r="Y299" s="176"/>
      <c r="Z299" s="176"/>
      <c r="AA299" s="177"/>
    </row>
    <row r="300" spans="1:27" s="11" customFormat="1">
      <c r="A300" s="178"/>
      <c r="B300" s="176"/>
      <c r="C300" s="176"/>
      <c r="D300" s="176"/>
      <c r="E300" s="176"/>
      <c r="F300" s="176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X300" s="176"/>
      <c r="Y300" s="176"/>
      <c r="Z300" s="176"/>
      <c r="AA300" s="177"/>
    </row>
    <row r="301" spans="1:27" s="11" customFormat="1">
      <c r="A301" s="178"/>
      <c r="B301" s="176"/>
      <c r="C301" s="176"/>
      <c r="D301" s="176"/>
      <c r="E301" s="176"/>
      <c r="F301" s="176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X301" s="176"/>
      <c r="Y301" s="176"/>
      <c r="Z301" s="176"/>
      <c r="AA301" s="177"/>
    </row>
    <row r="302" spans="1:27" s="11" customFormat="1">
      <c r="A302" s="178"/>
      <c r="B302" s="176"/>
      <c r="C302" s="176"/>
      <c r="D302" s="176"/>
      <c r="E302" s="176"/>
      <c r="F302" s="176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X302" s="176"/>
      <c r="Y302" s="176"/>
      <c r="Z302" s="176"/>
      <c r="AA302" s="177"/>
    </row>
    <row r="303" spans="1:27" s="11" customFormat="1">
      <c r="A303" s="178"/>
      <c r="B303" s="176"/>
      <c r="C303" s="176"/>
      <c r="D303" s="176"/>
      <c r="E303" s="176"/>
      <c r="F303" s="176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X303" s="176"/>
      <c r="Y303" s="176"/>
      <c r="Z303" s="176"/>
      <c r="AA303" s="177"/>
    </row>
    <row r="304" spans="1:27" s="11" customFormat="1">
      <c r="A304" s="178"/>
      <c r="B304" s="176"/>
      <c r="C304" s="176"/>
      <c r="D304" s="176"/>
      <c r="E304" s="176"/>
      <c r="F304" s="176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X304" s="176"/>
      <c r="Y304" s="176"/>
      <c r="Z304" s="176"/>
      <c r="AA304" s="177"/>
    </row>
    <row r="305" spans="1:27" s="11" customFormat="1">
      <c r="A305" s="178"/>
      <c r="B305" s="176"/>
      <c r="C305" s="176"/>
      <c r="D305" s="176"/>
      <c r="E305" s="176"/>
      <c r="F305" s="176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X305" s="176"/>
      <c r="Y305" s="176"/>
      <c r="Z305" s="176"/>
      <c r="AA305" s="177"/>
    </row>
    <row r="306" spans="1:27" s="11" customFormat="1">
      <c r="A306" s="178"/>
      <c r="B306" s="176"/>
      <c r="C306" s="176"/>
      <c r="D306" s="176"/>
      <c r="E306" s="176"/>
      <c r="F306" s="176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X306" s="176"/>
      <c r="Y306" s="176"/>
      <c r="Z306" s="176"/>
      <c r="AA306" s="177"/>
    </row>
    <row r="307" spans="1:27" s="11" customFormat="1">
      <c r="A307" s="178"/>
      <c r="B307" s="176"/>
      <c r="C307" s="176"/>
      <c r="D307" s="176"/>
      <c r="E307" s="176"/>
      <c r="F307" s="176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X307" s="176"/>
      <c r="Y307" s="176"/>
      <c r="Z307" s="176"/>
      <c r="AA307" s="177"/>
    </row>
    <row r="308" spans="1:27" s="11" customFormat="1">
      <c r="A308" s="178"/>
      <c r="B308" s="176"/>
      <c r="C308" s="176"/>
      <c r="D308" s="176"/>
      <c r="E308" s="176"/>
      <c r="F308" s="176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X308" s="176"/>
      <c r="Y308" s="176"/>
      <c r="Z308" s="176"/>
      <c r="AA308" s="177"/>
    </row>
    <row r="309" spans="1:27" s="11" customFormat="1">
      <c r="A309" s="178"/>
      <c r="B309" s="176"/>
      <c r="C309" s="176"/>
      <c r="D309" s="176"/>
      <c r="E309" s="176"/>
      <c r="F309" s="176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X309" s="176"/>
      <c r="Y309" s="176"/>
      <c r="Z309" s="176"/>
      <c r="AA309" s="177"/>
    </row>
    <row r="310" spans="1:27" s="11" customFormat="1">
      <c r="A310" s="178"/>
      <c r="B310" s="176"/>
      <c r="C310" s="176"/>
      <c r="D310" s="176"/>
      <c r="E310" s="176"/>
      <c r="F310" s="176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X310" s="176"/>
      <c r="Y310" s="176"/>
      <c r="Z310" s="176"/>
      <c r="AA310" s="177"/>
    </row>
    <row r="311" spans="1:27" s="11" customFormat="1">
      <c r="A311" s="178"/>
      <c r="B311" s="176"/>
      <c r="C311" s="176"/>
      <c r="D311" s="176"/>
      <c r="E311" s="176"/>
      <c r="F311" s="176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X311" s="176"/>
      <c r="Y311" s="176"/>
      <c r="Z311" s="176"/>
      <c r="AA311" s="177"/>
    </row>
    <row r="312" spans="1:27" s="11" customFormat="1">
      <c r="A312" s="178"/>
      <c r="B312" s="176"/>
      <c r="C312" s="176"/>
      <c r="D312" s="176"/>
      <c r="E312" s="176"/>
      <c r="F312" s="176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X312" s="176"/>
      <c r="Y312" s="176"/>
      <c r="Z312" s="176"/>
      <c r="AA312" s="177"/>
    </row>
    <row r="313" spans="1:27" s="11" customFormat="1">
      <c r="A313" s="178"/>
      <c r="B313" s="176"/>
      <c r="C313" s="176"/>
      <c r="D313" s="176"/>
      <c r="E313" s="176"/>
      <c r="F313" s="176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X313" s="176"/>
      <c r="Y313" s="176"/>
      <c r="Z313" s="176"/>
      <c r="AA313" s="177"/>
    </row>
    <row r="314" spans="1:27" s="11" customFormat="1">
      <c r="A314" s="178"/>
      <c r="B314" s="176"/>
      <c r="C314" s="176"/>
      <c r="D314" s="176"/>
      <c r="E314" s="176"/>
      <c r="F314" s="176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X314" s="176"/>
      <c r="Y314" s="176"/>
      <c r="Z314" s="176"/>
      <c r="AA314" s="177"/>
    </row>
    <row r="315" spans="1:27" s="11" customFormat="1">
      <c r="A315" s="178"/>
      <c r="B315" s="176"/>
      <c r="C315" s="176"/>
      <c r="D315" s="176"/>
      <c r="E315" s="176"/>
      <c r="F315" s="176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X315" s="176"/>
      <c r="Y315" s="176"/>
      <c r="Z315" s="176"/>
      <c r="AA315" s="177"/>
    </row>
    <row r="316" spans="1:27" s="11" customFormat="1">
      <c r="A316" s="178"/>
      <c r="B316" s="176"/>
      <c r="C316" s="176"/>
      <c r="D316" s="176"/>
      <c r="E316" s="176"/>
      <c r="F316" s="176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X316" s="176"/>
      <c r="Y316" s="176"/>
      <c r="Z316" s="176"/>
      <c r="AA316" s="177"/>
    </row>
    <row r="317" spans="1:27" s="11" customFormat="1">
      <c r="A317" s="178"/>
      <c r="B317" s="176"/>
      <c r="C317" s="176"/>
      <c r="D317" s="176"/>
      <c r="E317" s="176"/>
      <c r="F317" s="176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X317" s="176"/>
      <c r="Y317" s="176"/>
      <c r="Z317" s="176"/>
      <c r="AA317" s="177"/>
    </row>
    <row r="318" spans="1:27" s="11" customFormat="1">
      <c r="A318" s="178"/>
      <c r="B318" s="176"/>
      <c r="C318" s="176"/>
      <c r="D318" s="176"/>
      <c r="E318" s="176"/>
      <c r="F318" s="176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X318" s="176"/>
      <c r="Y318" s="176"/>
      <c r="Z318" s="176"/>
      <c r="AA318" s="177"/>
    </row>
    <row r="319" spans="1:27" s="11" customFormat="1">
      <c r="A319" s="178"/>
      <c r="B319" s="176"/>
      <c r="C319" s="176"/>
      <c r="D319" s="176"/>
      <c r="E319" s="176"/>
      <c r="F319" s="176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X319" s="176"/>
      <c r="Y319" s="176"/>
      <c r="Z319" s="176"/>
      <c r="AA319" s="177"/>
    </row>
    <row r="320" spans="1:27" s="11" customFormat="1">
      <c r="A320" s="178"/>
      <c r="B320" s="176"/>
      <c r="C320" s="176"/>
      <c r="D320" s="176"/>
      <c r="E320" s="176"/>
      <c r="F320" s="176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X320" s="176"/>
      <c r="Y320" s="176"/>
      <c r="Z320" s="176"/>
      <c r="AA320" s="177"/>
    </row>
    <row r="321" spans="1:27" s="11" customFormat="1">
      <c r="A321" s="178"/>
      <c r="B321" s="176"/>
      <c r="C321" s="176"/>
      <c r="D321" s="176"/>
      <c r="E321" s="176"/>
      <c r="F321" s="176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X321" s="176"/>
      <c r="Y321" s="176"/>
      <c r="Z321" s="176"/>
      <c r="AA321" s="177"/>
    </row>
    <row r="322" spans="1:27" s="11" customFormat="1">
      <c r="A322" s="178"/>
      <c r="B322" s="176"/>
      <c r="C322" s="176"/>
      <c r="D322" s="176"/>
      <c r="E322" s="176"/>
      <c r="F322" s="176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X322" s="176"/>
      <c r="Y322" s="176"/>
      <c r="Z322" s="176"/>
      <c r="AA322" s="177"/>
    </row>
    <row r="323" spans="1:27" s="11" customFormat="1">
      <c r="A323" s="178"/>
      <c r="B323" s="176"/>
      <c r="C323" s="176"/>
      <c r="D323" s="176"/>
      <c r="E323" s="176"/>
      <c r="F323" s="176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X323" s="176"/>
      <c r="Y323" s="176"/>
      <c r="Z323" s="176"/>
      <c r="AA323" s="177"/>
    </row>
    <row r="324" spans="1:27" s="11" customFormat="1">
      <c r="A324" s="178"/>
      <c r="B324" s="176"/>
      <c r="C324" s="176"/>
      <c r="D324" s="176"/>
      <c r="E324" s="176"/>
      <c r="F324" s="176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X324" s="176"/>
      <c r="Y324" s="176"/>
      <c r="Z324" s="176"/>
      <c r="AA324" s="177"/>
    </row>
    <row r="325" spans="1:27" s="11" customFormat="1">
      <c r="A325" s="178"/>
      <c r="B325" s="176"/>
      <c r="C325" s="176"/>
      <c r="D325" s="176"/>
      <c r="E325" s="176"/>
      <c r="F325" s="176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X325" s="176"/>
      <c r="Y325" s="176"/>
      <c r="Z325" s="176"/>
      <c r="AA325" s="177"/>
    </row>
    <row r="326" spans="1:27" s="11" customFormat="1">
      <c r="A326" s="178"/>
      <c r="B326" s="176"/>
      <c r="C326" s="176"/>
      <c r="D326" s="176"/>
      <c r="E326" s="176"/>
      <c r="F326" s="176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X326" s="176"/>
      <c r="Y326" s="176"/>
      <c r="Z326" s="176"/>
      <c r="AA326" s="177"/>
    </row>
    <row r="327" spans="1:27" s="11" customFormat="1">
      <c r="A327" s="178"/>
      <c r="B327" s="176"/>
      <c r="C327" s="176"/>
      <c r="D327" s="176"/>
      <c r="E327" s="176"/>
      <c r="F327" s="176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X327" s="176"/>
      <c r="Y327" s="176"/>
      <c r="Z327" s="176"/>
      <c r="AA327" s="177"/>
    </row>
    <row r="328" spans="1:27" s="11" customFormat="1">
      <c r="A328" s="178"/>
      <c r="B328" s="176"/>
      <c r="C328" s="176"/>
      <c r="D328" s="176"/>
      <c r="E328" s="176"/>
      <c r="F328" s="176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X328" s="176"/>
      <c r="Y328" s="176"/>
      <c r="Z328" s="176"/>
      <c r="AA328" s="177"/>
    </row>
    <row r="329" spans="1:27" s="11" customFormat="1">
      <c r="A329" s="178"/>
      <c r="B329" s="176"/>
      <c r="C329" s="176"/>
      <c r="D329" s="176"/>
      <c r="E329" s="176"/>
      <c r="F329" s="176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X329" s="176"/>
      <c r="Y329" s="176"/>
      <c r="Z329" s="176"/>
      <c r="AA329" s="177"/>
    </row>
    <row r="330" spans="1:27" s="11" customFormat="1">
      <c r="A330" s="178"/>
      <c r="B330" s="176"/>
      <c r="C330" s="176"/>
      <c r="D330" s="176"/>
      <c r="E330" s="176"/>
      <c r="F330" s="176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X330" s="176"/>
      <c r="Y330" s="176"/>
      <c r="Z330" s="176"/>
      <c r="AA330" s="177"/>
    </row>
    <row r="331" spans="1:27" s="11" customFormat="1">
      <c r="A331" s="178"/>
      <c r="B331" s="176"/>
      <c r="C331" s="176"/>
      <c r="D331" s="176"/>
      <c r="E331" s="176"/>
      <c r="F331" s="176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X331" s="176"/>
      <c r="Y331" s="176"/>
      <c r="Z331" s="176"/>
      <c r="AA331" s="177"/>
    </row>
    <row r="332" spans="1:27" s="11" customFormat="1">
      <c r="A332" s="178"/>
      <c r="B332" s="176"/>
      <c r="C332" s="176"/>
      <c r="D332" s="176"/>
      <c r="E332" s="176"/>
      <c r="F332" s="176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X332" s="176"/>
      <c r="Y332" s="176"/>
      <c r="Z332" s="176"/>
      <c r="AA332" s="177"/>
    </row>
    <row r="333" spans="1:27" s="11" customFormat="1">
      <c r="A333" s="178"/>
      <c r="B333" s="176"/>
      <c r="C333" s="176"/>
      <c r="D333" s="176"/>
      <c r="E333" s="176"/>
      <c r="F333" s="176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X333" s="176"/>
      <c r="Y333" s="176"/>
      <c r="Z333" s="176"/>
      <c r="AA333" s="177"/>
    </row>
    <row r="334" spans="1:27" s="11" customFormat="1">
      <c r="A334" s="178"/>
      <c r="B334" s="176"/>
      <c r="C334" s="176"/>
      <c r="D334" s="176"/>
      <c r="E334" s="176"/>
      <c r="F334" s="176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X334" s="176"/>
      <c r="Y334" s="176"/>
      <c r="Z334" s="176"/>
      <c r="AA334" s="177"/>
    </row>
    <row r="335" spans="1:27" s="11" customFormat="1">
      <c r="A335" s="178"/>
      <c r="B335" s="176"/>
      <c r="C335" s="176"/>
      <c r="D335" s="176"/>
      <c r="E335" s="176"/>
      <c r="F335" s="176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X335" s="176"/>
      <c r="Y335" s="176"/>
      <c r="Z335" s="176"/>
      <c r="AA335" s="177"/>
    </row>
    <row r="336" spans="1:27" s="11" customFormat="1">
      <c r="A336" s="178"/>
      <c r="B336" s="176"/>
      <c r="C336" s="176"/>
      <c r="D336" s="176"/>
      <c r="E336" s="176"/>
      <c r="F336" s="176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X336" s="176"/>
      <c r="Y336" s="176"/>
      <c r="Z336" s="176"/>
      <c r="AA336" s="177"/>
    </row>
    <row r="337" spans="1:27" s="11" customFormat="1">
      <c r="A337" s="178"/>
      <c r="B337" s="176"/>
      <c r="C337" s="176"/>
      <c r="D337" s="176"/>
      <c r="E337" s="176"/>
      <c r="F337" s="176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X337" s="176"/>
      <c r="Y337" s="176"/>
      <c r="Z337" s="176"/>
      <c r="AA337" s="177"/>
    </row>
    <row r="338" spans="1:27" s="11" customFormat="1">
      <c r="A338" s="178"/>
      <c r="B338" s="176"/>
      <c r="C338" s="176"/>
      <c r="D338" s="176"/>
      <c r="E338" s="176"/>
      <c r="F338" s="176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X338" s="176"/>
      <c r="Y338" s="176"/>
      <c r="Z338" s="176"/>
      <c r="AA338" s="177"/>
    </row>
    <row r="339" spans="1:27" s="11" customFormat="1">
      <c r="A339" s="178"/>
      <c r="B339" s="176"/>
      <c r="C339" s="176"/>
      <c r="D339" s="176"/>
      <c r="E339" s="176"/>
      <c r="F339" s="176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X339" s="176"/>
      <c r="Y339" s="176"/>
      <c r="Z339" s="176"/>
      <c r="AA339" s="177"/>
    </row>
    <row r="340" spans="1:27" s="11" customFormat="1">
      <c r="A340" s="178"/>
      <c r="B340" s="176"/>
      <c r="C340" s="176"/>
      <c r="D340" s="176"/>
      <c r="E340" s="176"/>
      <c r="F340" s="176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X340" s="176"/>
      <c r="Y340" s="176"/>
      <c r="Z340" s="176"/>
      <c r="AA340" s="177"/>
    </row>
    <row r="341" spans="1:27" s="11" customFormat="1">
      <c r="A341" s="178"/>
      <c r="B341" s="176"/>
      <c r="C341" s="176"/>
      <c r="D341" s="176"/>
      <c r="E341" s="176"/>
      <c r="F341" s="176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X341" s="176"/>
      <c r="Y341" s="176"/>
      <c r="Z341" s="176"/>
      <c r="AA341" s="177"/>
    </row>
    <row r="342" spans="1:27" s="11" customFormat="1">
      <c r="A342" s="178"/>
      <c r="B342" s="176"/>
      <c r="C342" s="176"/>
      <c r="D342" s="176"/>
      <c r="E342" s="176"/>
      <c r="F342" s="176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X342" s="176"/>
      <c r="Y342" s="176"/>
      <c r="Z342" s="176"/>
      <c r="AA342" s="177"/>
    </row>
    <row r="343" spans="1:27" s="11" customFormat="1">
      <c r="A343" s="178"/>
      <c r="B343" s="176"/>
      <c r="C343" s="176"/>
      <c r="D343" s="176"/>
      <c r="E343" s="176"/>
      <c r="F343" s="176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X343" s="176"/>
      <c r="Y343" s="176"/>
      <c r="Z343" s="176"/>
      <c r="AA343" s="177"/>
    </row>
    <row r="344" spans="1:27" s="11" customFormat="1">
      <c r="A344" s="178"/>
      <c r="B344" s="176"/>
      <c r="C344" s="176"/>
      <c r="D344" s="176"/>
      <c r="E344" s="176"/>
      <c r="F344" s="176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X344" s="176"/>
      <c r="Y344" s="176"/>
      <c r="Z344" s="176"/>
      <c r="AA344" s="177"/>
    </row>
    <row r="345" spans="1:27" s="11" customFormat="1">
      <c r="A345" s="178"/>
      <c r="B345" s="176"/>
      <c r="C345" s="176"/>
      <c r="D345" s="176"/>
      <c r="E345" s="176"/>
      <c r="F345" s="176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X345" s="176"/>
      <c r="Y345" s="176"/>
      <c r="Z345" s="176"/>
      <c r="AA345" s="177"/>
    </row>
    <row r="346" spans="1:27" s="11" customFormat="1">
      <c r="A346" s="178"/>
      <c r="B346" s="176"/>
      <c r="C346" s="176"/>
      <c r="D346" s="176"/>
      <c r="E346" s="176"/>
      <c r="F346" s="176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X346" s="176"/>
      <c r="Y346" s="176"/>
      <c r="Z346" s="176"/>
      <c r="AA346" s="177"/>
    </row>
    <row r="347" spans="1:27" s="11" customFormat="1">
      <c r="A347" s="178"/>
      <c r="B347" s="176"/>
      <c r="C347" s="176"/>
      <c r="D347" s="176"/>
      <c r="E347" s="176"/>
      <c r="F347" s="176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X347" s="176"/>
      <c r="Y347" s="176"/>
      <c r="Z347" s="176"/>
      <c r="AA347" s="177"/>
    </row>
    <row r="348" spans="1:27" s="11" customFormat="1">
      <c r="A348" s="178"/>
      <c r="B348" s="176"/>
      <c r="C348" s="176"/>
      <c r="D348" s="176"/>
      <c r="E348" s="176"/>
      <c r="F348" s="176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X348" s="176"/>
      <c r="Y348" s="176"/>
      <c r="Z348" s="176"/>
      <c r="AA348" s="177"/>
    </row>
    <row r="349" spans="1:27" s="11" customFormat="1">
      <c r="A349" s="178"/>
      <c r="B349" s="176"/>
      <c r="C349" s="176"/>
      <c r="D349" s="176"/>
      <c r="E349" s="176"/>
      <c r="F349" s="176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X349" s="176"/>
      <c r="Y349" s="176"/>
      <c r="Z349" s="176"/>
      <c r="AA349" s="177"/>
    </row>
    <row r="350" spans="1:27" s="11" customFormat="1">
      <c r="A350" s="178"/>
      <c r="B350" s="176"/>
      <c r="C350" s="176"/>
      <c r="D350" s="176"/>
      <c r="E350" s="176"/>
      <c r="F350" s="176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X350" s="176"/>
      <c r="Y350" s="176"/>
      <c r="Z350" s="176"/>
      <c r="AA350" s="177"/>
    </row>
    <row r="351" spans="1:27" s="11" customFormat="1">
      <c r="A351" s="178"/>
      <c r="B351" s="176"/>
      <c r="C351" s="176"/>
      <c r="D351" s="176"/>
      <c r="E351" s="176"/>
      <c r="F351" s="176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X351" s="176"/>
      <c r="Y351" s="176"/>
      <c r="Z351" s="176"/>
      <c r="AA351" s="177"/>
    </row>
    <row r="352" spans="1:27" s="11" customFormat="1">
      <c r="A352" s="178"/>
      <c r="B352" s="176"/>
      <c r="C352" s="176"/>
      <c r="D352" s="176"/>
      <c r="E352" s="176"/>
      <c r="F352" s="176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X352" s="176"/>
      <c r="Y352" s="176"/>
      <c r="Z352" s="176"/>
      <c r="AA352" s="177"/>
    </row>
    <row r="353" spans="1:27" s="11" customFormat="1">
      <c r="A353" s="178"/>
      <c r="B353" s="176"/>
      <c r="C353" s="176"/>
      <c r="D353" s="176"/>
      <c r="E353" s="176"/>
      <c r="F353" s="176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X353" s="176"/>
      <c r="Y353" s="176"/>
      <c r="Z353" s="176"/>
      <c r="AA353" s="177"/>
    </row>
    <row r="354" spans="1:27" s="11" customFormat="1">
      <c r="A354" s="178"/>
      <c r="B354" s="176"/>
      <c r="C354" s="176"/>
      <c r="D354" s="176"/>
      <c r="E354" s="176"/>
      <c r="F354" s="176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X354" s="176"/>
      <c r="Y354" s="176"/>
      <c r="Z354" s="176"/>
      <c r="AA354" s="177"/>
    </row>
    <row r="355" spans="1:27" s="11" customFormat="1">
      <c r="A355" s="178"/>
      <c r="B355" s="176"/>
      <c r="C355" s="176"/>
      <c r="D355" s="176"/>
      <c r="E355" s="176"/>
      <c r="F355" s="176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X355" s="176"/>
      <c r="Y355" s="176"/>
      <c r="Z355" s="176"/>
      <c r="AA355" s="177"/>
    </row>
    <row r="356" spans="1:27" s="11" customFormat="1">
      <c r="A356" s="178"/>
      <c r="B356" s="176"/>
      <c r="C356" s="176"/>
      <c r="D356" s="176"/>
      <c r="E356" s="176"/>
      <c r="F356" s="176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X356" s="176"/>
      <c r="Y356" s="176"/>
      <c r="Z356" s="176"/>
      <c r="AA356" s="177"/>
    </row>
    <row r="357" spans="1:27" s="11" customFormat="1">
      <c r="A357" s="178"/>
      <c r="B357" s="176"/>
      <c r="C357" s="176"/>
      <c r="D357" s="176"/>
      <c r="E357" s="176"/>
      <c r="F357" s="176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X357" s="176"/>
      <c r="Y357" s="176"/>
      <c r="Z357" s="176"/>
      <c r="AA357" s="177"/>
    </row>
    <row r="358" spans="1:27" s="11" customFormat="1">
      <c r="A358" s="178"/>
      <c r="B358" s="176"/>
      <c r="C358" s="176"/>
      <c r="D358" s="176"/>
      <c r="E358" s="176"/>
      <c r="F358" s="176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X358" s="176"/>
      <c r="Y358" s="176"/>
      <c r="Z358" s="176"/>
      <c r="AA358" s="177"/>
    </row>
    <row r="359" spans="1:27" s="11" customFormat="1">
      <c r="A359" s="178"/>
      <c r="B359" s="176"/>
      <c r="C359" s="176"/>
      <c r="D359" s="176"/>
      <c r="E359" s="176"/>
      <c r="F359" s="176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X359" s="176"/>
      <c r="Y359" s="176"/>
      <c r="Z359" s="176"/>
      <c r="AA359" s="177"/>
    </row>
    <row r="360" spans="1:27" s="11" customFormat="1">
      <c r="A360" s="178"/>
      <c r="B360" s="176"/>
      <c r="C360" s="176"/>
      <c r="D360" s="176"/>
      <c r="E360" s="176"/>
      <c r="F360" s="176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X360" s="176"/>
      <c r="Y360" s="176"/>
      <c r="Z360" s="176"/>
      <c r="AA360" s="177"/>
    </row>
    <row r="361" spans="1:27" s="11" customFormat="1">
      <c r="A361" s="178"/>
      <c r="B361" s="176"/>
      <c r="C361" s="176"/>
      <c r="D361" s="176"/>
      <c r="E361" s="176"/>
      <c r="F361" s="176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X361" s="176"/>
      <c r="Y361" s="176"/>
      <c r="Z361" s="176"/>
      <c r="AA361" s="177"/>
    </row>
    <row r="362" spans="1:27" s="11" customFormat="1">
      <c r="A362" s="178"/>
      <c r="B362" s="176"/>
      <c r="C362" s="176"/>
      <c r="D362" s="176"/>
      <c r="E362" s="176"/>
      <c r="F362" s="176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X362" s="176"/>
      <c r="Y362" s="176"/>
      <c r="Z362" s="176"/>
      <c r="AA362" s="177"/>
    </row>
    <row r="363" spans="1:27" s="11" customFormat="1">
      <c r="A363" s="178"/>
      <c r="B363" s="176"/>
      <c r="C363" s="176"/>
      <c r="D363" s="176"/>
      <c r="E363" s="176"/>
      <c r="F363" s="176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X363" s="176"/>
      <c r="Y363" s="176"/>
      <c r="Z363" s="176"/>
      <c r="AA363" s="177"/>
    </row>
    <row r="364" spans="1:27" s="11" customFormat="1">
      <c r="A364" s="178"/>
      <c r="B364" s="176"/>
      <c r="C364" s="176"/>
      <c r="D364" s="176"/>
      <c r="E364" s="176"/>
      <c r="F364" s="176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X364" s="176"/>
      <c r="Y364" s="176"/>
      <c r="Z364" s="176"/>
      <c r="AA364" s="177"/>
    </row>
    <row r="365" spans="1:27" s="11" customFormat="1">
      <c r="A365" s="178"/>
      <c r="B365" s="176"/>
      <c r="C365" s="176"/>
      <c r="D365" s="176"/>
      <c r="E365" s="176"/>
      <c r="F365" s="176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X365" s="176"/>
      <c r="Y365" s="176"/>
      <c r="Z365" s="176"/>
      <c r="AA365" s="177"/>
    </row>
    <row r="366" spans="1:27" s="11" customFormat="1">
      <c r="A366" s="178"/>
      <c r="B366" s="176"/>
      <c r="C366" s="176"/>
      <c r="D366" s="176"/>
      <c r="E366" s="176"/>
      <c r="F366" s="176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X366" s="176"/>
      <c r="Y366" s="176"/>
      <c r="Z366" s="176"/>
      <c r="AA366" s="177"/>
    </row>
    <row r="367" spans="1:27" s="11" customFormat="1">
      <c r="A367" s="178"/>
      <c r="B367" s="176"/>
      <c r="C367" s="176"/>
      <c r="D367" s="176"/>
      <c r="E367" s="176"/>
      <c r="F367" s="176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X367" s="176"/>
      <c r="Y367" s="176"/>
      <c r="Z367" s="176"/>
      <c r="AA367" s="177"/>
    </row>
    <row r="368" spans="1:27" s="11" customFormat="1">
      <c r="A368" s="178"/>
      <c r="B368" s="176"/>
      <c r="C368" s="176"/>
      <c r="D368" s="176"/>
      <c r="E368" s="176"/>
      <c r="F368" s="176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X368" s="176"/>
      <c r="Y368" s="176"/>
      <c r="Z368" s="176"/>
      <c r="AA368" s="177"/>
    </row>
    <row r="369" spans="1:27" s="11" customFormat="1">
      <c r="A369" s="178"/>
      <c r="B369" s="176"/>
      <c r="C369" s="176"/>
      <c r="D369" s="176"/>
      <c r="E369" s="176"/>
      <c r="F369" s="176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X369" s="176"/>
      <c r="Y369" s="176"/>
      <c r="Z369" s="176"/>
      <c r="AA369" s="177"/>
    </row>
    <row r="370" spans="1:27" s="11" customFormat="1">
      <c r="A370" s="178"/>
      <c r="B370" s="176"/>
      <c r="C370" s="176"/>
      <c r="D370" s="176"/>
      <c r="E370" s="176"/>
      <c r="F370" s="176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X370" s="176"/>
      <c r="Y370" s="176"/>
      <c r="Z370" s="176"/>
      <c r="AA370" s="177"/>
    </row>
    <row r="371" spans="1:27" s="11" customFormat="1">
      <c r="A371" s="178"/>
      <c r="B371" s="176"/>
      <c r="C371" s="176"/>
      <c r="D371" s="176"/>
      <c r="E371" s="176"/>
      <c r="F371" s="176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X371" s="176"/>
      <c r="Y371" s="176"/>
      <c r="Z371" s="176"/>
      <c r="AA371" s="177"/>
    </row>
    <row r="372" spans="1:27" s="11" customFormat="1">
      <c r="A372" s="178"/>
      <c r="B372" s="176"/>
      <c r="C372" s="176"/>
      <c r="D372" s="176"/>
      <c r="E372" s="176"/>
      <c r="F372" s="176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X372" s="176"/>
      <c r="Y372" s="176"/>
      <c r="Z372" s="176"/>
      <c r="AA372" s="177"/>
    </row>
    <row r="373" spans="1:27" s="11" customFormat="1">
      <c r="A373" s="178"/>
      <c r="B373" s="176"/>
      <c r="C373" s="176"/>
      <c r="D373" s="176"/>
      <c r="E373" s="176"/>
      <c r="F373" s="176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X373" s="176"/>
      <c r="Y373" s="176"/>
      <c r="Z373" s="176"/>
      <c r="AA373" s="177"/>
    </row>
    <row r="374" spans="1:27" s="11" customFormat="1">
      <c r="A374" s="178"/>
      <c r="B374" s="176"/>
      <c r="C374" s="176"/>
      <c r="D374" s="176"/>
      <c r="E374" s="176"/>
      <c r="F374" s="176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X374" s="176"/>
      <c r="Y374" s="176"/>
      <c r="Z374" s="176"/>
      <c r="AA374" s="177"/>
    </row>
    <row r="375" spans="1:27" s="11" customFormat="1">
      <c r="A375" s="178"/>
      <c r="B375" s="176"/>
      <c r="C375" s="176"/>
      <c r="D375" s="176"/>
      <c r="E375" s="176"/>
      <c r="F375" s="176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X375" s="176"/>
      <c r="Y375" s="176"/>
      <c r="Z375" s="176"/>
      <c r="AA375" s="177"/>
    </row>
    <row r="376" spans="1:27" s="11" customFormat="1">
      <c r="A376" s="178"/>
      <c r="B376" s="176"/>
      <c r="C376" s="176"/>
      <c r="D376" s="176"/>
      <c r="E376" s="176"/>
      <c r="F376" s="176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X376" s="176"/>
      <c r="Y376" s="176"/>
      <c r="Z376" s="176"/>
      <c r="AA376" s="177"/>
    </row>
    <row r="377" spans="1:27" s="11" customFormat="1">
      <c r="A377" s="178"/>
      <c r="B377" s="176"/>
      <c r="C377" s="176"/>
      <c r="D377" s="176"/>
      <c r="E377" s="176"/>
      <c r="F377" s="176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X377" s="176"/>
      <c r="Y377" s="176"/>
      <c r="Z377" s="176"/>
      <c r="AA377" s="177"/>
    </row>
    <row r="378" spans="1:27" s="11" customFormat="1">
      <c r="A378" s="178"/>
      <c r="B378" s="176"/>
      <c r="C378" s="176"/>
      <c r="D378" s="176"/>
      <c r="E378" s="176"/>
      <c r="F378" s="176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X378" s="176"/>
      <c r="Y378" s="176"/>
      <c r="Z378" s="176"/>
      <c r="AA378" s="177"/>
    </row>
    <row r="379" spans="1:27">
      <c r="A379" s="178"/>
      <c r="G379" s="2"/>
      <c r="W379" s="2"/>
      <c r="AA379" s="189"/>
    </row>
    <row r="380" spans="1:27">
      <c r="A380" s="178"/>
      <c r="B380" s="190"/>
      <c r="C380" s="190"/>
      <c r="D380" s="190"/>
      <c r="E380" s="190"/>
      <c r="F380" s="190"/>
      <c r="X380" s="190"/>
      <c r="Y380" s="190"/>
      <c r="Z380" s="190"/>
      <c r="AA380" s="190"/>
    </row>
    <row r="381" spans="1:27">
      <c r="A381" s="178"/>
    </row>
    <row r="382" spans="1:27">
      <c r="A382" s="178"/>
      <c r="B382" s="151"/>
      <c r="C382" s="151"/>
      <c r="D382" s="151"/>
      <c r="E382" s="151"/>
      <c r="F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X382" s="151"/>
      <c r="Y382" s="151"/>
      <c r="Z382" s="151"/>
    </row>
    <row r="383" spans="1:27">
      <c r="A383" s="178"/>
    </row>
    <row r="384" spans="1:27">
      <c r="A384" s="178"/>
    </row>
    <row r="385" spans="1:1">
      <c r="A385" s="178"/>
    </row>
    <row r="386" spans="1:1">
      <c r="A386" s="178"/>
    </row>
    <row r="387" spans="1:1">
      <c r="A387" s="178"/>
    </row>
    <row r="388" spans="1:1">
      <c r="A388" s="178"/>
    </row>
    <row r="389" spans="1:1">
      <c r="A389" s="178"/>
    </row>
    <row r="390" spans="1:1">
      <c r="A390" s="178"/>
    </row>
    <row r="391" spans="1:1">
      <c r="A391" s="178"/>
    </row>
    <row r="392" spans="1:1">
      <c r="A392" s="178"/>
    </row>
    <row r="393" spans="1:1">
      <c r="A393" s="178"/>
    </row>
    <row r="394" spans="1:1">
      <c r="A394" s="178"/>
    </row>
    <row r="395" spans="1:1">
      <c r="A395" s="178"/>
    </row>
    <row r="396" spans="1:1">
      <c r="A396" s="178"/>
    </row>
    <row r="397" spans="1:1">
      <c r="A397" s="178"/>
    </row>
    <row r="398" spans="1:1">
      <c r="A398" s="178"/>
    </row>
    <row r="399" spans="1:1">
      <c r="A399" s="178"/>
    </row>
    <row r="400" spans="1:1">
      <c r="A400" s="178"/>
    </row>
    <row r="401" spans="1:1">
      <c r="A401" s="178"/>
    </row>
    <row r="402" spans="1:1">
      <c r="A402" s="178"/>
    </row>
    <row r="403" spans="1:1">
      <c r="A403" s="178"/>
    </row>
    <row r="404" spans="1:1">
      <c r="A404" s="178"/>
    </row>
    <row r="405" spans="1:1">
      <c r="A405" s="178"/>
    </row>
    <row r="406" spans="1:1">
      <c r="A406" s="178"/>
    </row>
    <row r="407" spans="1:1">
      <c r="A407" s="178"/>
    </row>
    <row r="408" spans="1:1">
      <c r="A408" s="178"/>
    </row>
    <row r="409" spans="1:1">
      <c r="A409" s="178"/>
    </row>
    <row r="410" spans="1:1">
      <c r="A410" s="178"/>
    </row>
    <row r="411" spans="1:1">
      <c r="A411" s="178"/>
    </row>
    <row r="412" spans="1:1">
      <c r="A412" s="178"/>
    </row>
    <row r="413" spans="1:1">
      <c r="A413" s="178"/>
    </row>
    <row r="414" spans="1:1">
      <c r="A414" s="178"/>
    </row>
    <row r="415" spans="1:1">
      <c r="A415" s="178"/>
    </row>
    <row r="416" spans="1:1">
      <c r="A416" s="178"/>
    </row>
    <row r="417" spans="1:1">
      <c r="A417" s="178"/>
    </row>
    <row r="418" spans="1:1">
      <c r="A418" s="178"/>
    </row>
    <row r="419" spans="1:1">
      <c r="A419" s="178"/>
    </row>
    <row r="420" spans="1:1">
      <c r="A420" s="178"/>
    </row>
    <row r="421" spans="1:1">
      <c r="A421" s="178"/>
    </row>
    <row r="422" spans="1:1">
      <c r="A422" s="178"/>
    </row>
    <row r="423" spans="1:1">
      <c r="A423" s="178"/>
    </row>
    <row r="424" spans="1:1">
      <c r="A424" s="178"/>
    </row>
    <row r="425" spans="1:1">
      <c r="A425" s="178"/>
    </row>
    <row r="426" spans="1:1">
      <c r="A426" s="178"/>
    </row>
    <row r="427" spans="1:1">
      <c r="A427" s="178"/>
    </row>
    <row r="428" spans="1:1">
      <c r="A428" s="178"/>
    </row>
    <row r="429" spans="1:1">
      <c r="A429" s="178"/>
    </row>
    <row r="430" spans="1:1">
      <c r="A430" s="178"/>
    </row>
    <row r="431" spans="1:1">
      <c r="A431" s="178"/>
    </row>
    <row r="432" spans="1:1">
      <c r="A432" s="178"/>
    </row>
    <row r="433" spans="1:1">
      <c r="A433" s="178"/>
    </row>
    <row r="434" spans="1:1">
      <c r="A434" s="178"/>
    </row>
    <row r="435" spans="1:1">
      <c r="A435" s="178"/>
    </row>
    <row r="436" spans="1:1">
      <c r="A436" s="178"/>
    </row>
    <row r="437" spans="1:1">
      <c r="A437" s="178"/>
    </row>
    <row r="438" spans="1:1">
      <c r="A438" s="178"/>
    </row>
    <row r="439" spans="1:1">
      <c r="A439" s="178"/>
    </row>
    <row r="440" spans="1:1">
      <c r="A440" s="178"/>
    </row>
    <row r="441" spans="1:1">
      <c r="A441" s="178"/>
    </row>
    <row r="442" spans="1:1">
      <c r="A442" s="178"/>
    </row>
    <row r="443" spans="1:1">
      <c r="A443" s="178"/>
    </row>
    <row r="444" spans="1:1">
      <c r="A444" s="178"/>
    </row>
    <row r="445" spans="1:1">
      <c r="A445" s="178"/>
    </row>
    <row r="446" spans="1:1">
      <c r="A446" s="178"/>
    </row>
    <row r="447" spans="1:1">
      <c r="A447" s="178"/>
    </row>
    <row r="448" spans="1:1">
      <c r="A448" s="178"/>
    </row>
    <row r="449" spans="1:1">
      <c r="A449" s="178"/>
    </row>
    <row r="450" spans="1:1">
      <c r="A450" s="178"/>
    </row>
    <row r="451" spans="1:1">
      <c r="A451" s="178"/>
    </row>
    <row r="452" spans="1:1">
      <c r="A452" s="178"/>
    </row>
    <row r="453" spans="1:1">
      <c r="A453" s="178"/>
    </row>
    <row r="454" spans="1:1">
      <c r="A454" s="178"/>
    </row>
    <row r="455" spans="1:1">
      <c r="A455" s="178"/>
    </row>
    <row r="456" spans="1:1">
      <c r="A456" s="178"/>
    </row>
    <row r="457" spans="1:1">
      <c r="A457" s="178"/>
    </row>
    <row r="458" spans="1:1">
      <c r="A458" s="178"/>
    </row>
    <row r="459" spans="1:1">
      <c r="A459" s="178"/>
    </row>
    <row r="460" spans="1:1">
      <c r="A460" s="178"/>
    </row>
    <row r="461" spans="1:1">
      <c r="A461" s="178"/>
    </row>
    <row r="462" spans="1:1">
      <c r="A462" s="178"/>
    </row>
    <row r="463" spans="1:1">
      <c r="A463" s="178"/>
    </row>
    <row r="464" spans="1:1">
      <c r="A464" s="178"/>
    </row>
    <row r="465" spans="1:1">
      <c r="A465" s="178"/>
    </row>
    <row r="466" spans="1:1">
      <c r="A466" s="178"/>
    </row>
    <row r="467" spans="1:1">
      <c r="A467" s="178"/>
    </row>
    <row r="468" spans="1:1">
      <c r="A468" s="178"/>
    </row>
    <row r="469" spans="1:1">
      <c r="A469" s="178"/>
    </row>
    <row r="470" spans="1:1">
      <c r="A470" s="178"/>
    </row>
    <row r="471" spans="1:1">
      <c r="A471" s="178"/>
    </row>
    <row r="472" spans="1:1">
      <c r="A472" s="178"/>
    </row>
    <row r="473" spans="1:1">
      <c r="A473" s="178"/>
    </row>
    <row r="474" spans="1:1">
      <c r="A474" s="178"/>
    </row>
    <row r="475" spans="1:1">
      <c r="A475" s="178"/>
    </row>
    <row r="476" spans="1:1">
      <c r="A476" s="178"/>
    </row>
    <row r="477" spans="1:1">
      <c r="A477" s="178"/>
    </row>
    <row r="478" spans="1:1">
      <c r="A478" s="178"/>
    </row>
    <row r="479" spans="1:1">
      <c r="A479" s="178"/>
    </row>
    <row r="480" spans="1:1">
      <c r="A480" s="178"/>
    </row>
    <row r="481" spans="1:1">
      <c r="A481" s="178"/>
    </row>
    <row r="482" spans="1:1">
      <c r="A482" s="178"/>
    </row>
    <row r="483" spans="1:1">
      <c r="A483" s="178"/>
    </row>
    <row r="484" spans="1:1">
      <c r="A484" s="178"/>
    </row>
    <row r="485" spans="1:1">
      <c r="A485" s="178"/>
    </row>
    <row r="486" spans="1:1">
      <c r="A486" s="178"/>
    </row>
    <row r="487" spans="1:1">
      <c r="A487" s="178"/>
    </row>
    <row r="488" spans="1:1">
      <c r="A488" s="178"/>
    </row>
    <row r="489" spans="1:1">
      <c r="A489" s="178"/>
    </row>
    <row r="490" spans="1:1">
      <c r="A490" s="178"/>
    </row>
    <row r="491" spans="1:1">
      <c r="A491" s="178"/>
    </row>
    <row r="492" spans="1:1">
      <c r="A492" s="178"/>
    </row>
    <row r="493" spans="1:1">
      <c r="A493" s="178"/>
    </row>
    <row r="494" spans="1:1">
      <c r="A494" s="178"/>
    </row>
    <row r="495" spans="1:1">
      <c r="A495" s="178"/>
    </row>
    <row r="496" spans="1:1">
      <c r="A496" s="178"/>
    </row>
    <row r="497" spans="1:1">
      <c r="A497" s="178"/>
    </row>
    <row r="498" spans="1:1">
      <c r="A498" s="178"/>
    </row>
    <row r="499" spans="1:1">
      <c r="A499" s="178"/>
    </row>
    <row r="500" spans="1:1">
      <c r="A500" s="178"/>
    </row>
    <row r="501" spans="1:1">
      <c r="A501" s="178"/>
    </row>
    <row r="502" spans="1:1">
      <c r="A502" s="178"/>
    </row>
    <row r="503" spans="1:1">
      <c r="A503" s="178"/>
    </row>
    <row r="504" spans="1:1">
      <c r="A504" s="178"/>
    </row>
    <row r="505" spans="1:1">
      <c r="A505" s="178"/>
    </row>
    <row r="506" spans="1:1">
      <c r="A506" s="178"/>
    </row>
    <row r="507" spans="1:1">
      <c r="A507" s="178"/>
    </row>
    <row r="508" spans="1:1">
      <c r="A508" s="178"/>
    </row>
    <row r="509" spans="1:1">
      <c r="A509" s="178"/>
    </row>
    <row r="510" spans="1:1">
      <c r="A510" s="178"/>
    </row>
    <row r="511" spans="1:1">
      <c r="A511" s="178"/>
    </row>
    <row r="512" spans="1:1">
      <c r="A512" s="178"/>
    </row>
    <row r="513" spans="1:1">
      <c r="A513" s="178"/>
    </row>
    <row r="514" spans="1:1">
      <c r="A514" s="178"/>
    </row>
    <row r="515" spans="1:1">
      <c r="A515" s="178"/>
    </row>
    <row r="516" spans="1:1">
      <c r="A516" s="178"/>
    </row>
    <row r="517" spans="1:1">
      <c r="A517" s="178"/>
    </row>
    <row r="518" spans="1:1">
      <c r="A518" s="178"/>
    </row>
    <row r="519" spans="1:1">
      <c r="A519" s="178"/>
    </row>
    <row r="520" spans="1:1">
      <c r="A520" s="178"/>
    </row>
    <row r="521" spans="1:1">
      <c r="A521" s="178"/>
    </row>
    <row r="522" spans="1:1">
      <c r="A522" s="178"/>
    </row>
    <row r="523" spans="1:1">
      <c r="A523" s="178"/>
    </row>
    <row r="524" spans="1:1">
      <c r="A524" s="178"/>
    </row>
    <row r="525" spans="1:1">
      <c r="A525" s="178"/>
    </row>
    <row r="526" spans="1:1">
      <c r="A526" s="178"/>
    </row>
    <row r="527" spans="1:1">
      <c r="A527" s="178"/>
    </row>
    <row r="528" spans="1:1">
      <c r="A528" s="178"/>
    </row>
    <row r="529" spans="1:1">
      <c r="A529" s="178"/>
    </row>
    <row r="530" spans="1:1">
      <c r="A530" s="178"/>
    </row>
    <row r="531" spans="1:1">
      <c r="A531" s="178"/>
    </row>
    <row r="532" spans="1:1">
      <c r="A532" s="178"/>
    </row>
    <row r="533" spans="1:1">
      <c r="A533" s="178"/>
    </row>
    <row r="534" spans="1:1">
      <c r="A534" s="178"/>
    </row>
    <row r="535" spans="1:1">
      <c r="A535" s="178"/>
    </row>
    <row r="536" spans="1:1">
      <c r="A536" s="178"/>
    </row>
    <row r="537" spans="1:1">
      <c r="A537" s="178"/>
    </row>
    <row r="538" spans="1:1">
      <c r="A538" s="178"/>
    </row>
    <row r="539" spans="1:1">
      <c r="A539" s="178"/>
    </row>
    <row r="540" spans="1:1">
      <c r="A540" s="178"/>
    </row>
    <row r="541" spans="1:1">
      <c r="A541" s="178"/>
    </row>
    <row r="542" spans="1:1">
      <c r="A542" s="178"/>
    </row>
    <row r="543" spans="1:1">
      <c r="A543" s="178"/>
    </row>
    <row r="544" spans="1:1">
      <c r="A544" s="178"/>
    </row>
    <row r="545" spans="1:1">
      <c r="A545" s="178"/>
    </row>
    <row r="546" spans="1:1">
      <c r="A546" s="176"/>
    </row>
    <row r="547" spans="1:1">
      <c r="A547" s="176"/>
    </row>
    <row r="548" spans="1:1">
      <c r="A548" s="176"/>
    </row>
    <row r="549" spans="1:1">
      <c r="A549" s="176"/>
    </row>
    <row r="550" spans="1:1">
      <c r="A550" s="176"/>
    </row>
    <row r="551" spans="1:1">
      <c r="A551" s="176"/>
    </row>
    <row r="552" spans="1:1">
      <c r="A552" s="176"/>
    </row>
    <row r="553" spans="1:1">
      <c r="A553" s="176"/>
    </row>
    <row r="554" spans="1:1">
      <c r="A554" s="176"/>
    </row>
    <row r="555" spans="1:1">
      <c r="A555" s="176"/>
    </row>
    <row r="556" spans="1:1">
      <c r="A556" s="176"/>
    </row>
    <row r="557" spans="1:1">
      <c r="A557" s="176"/>
    </row>
    <row r="558" spans="1:1">
      <c r="A558" s="176"/>
    </row>
    <row r="559" spans="1:1">
      <c r="A559" s="176"/>
    </row>
    <row r="560" spans="1:1">
      <c r="A560" s="176"/>
    </row>
    <row r="561" spans="1:1">
      <c r="A561" s="176"/>
    </row>
    <row r="562" spans="1:1">
      <c r="A562" s="176"/>
    </row>
    <row r="563" spans="1:1">
      <c r="A563" s="176"/>
    </row>
    <row r="564" spans="1:1">
      <c r="A564" s="176"/>
    </row>
    <row r="565" spans="1:1">
      <c r="A565" s="176"/>
    </row>
    <row r="566" spans="1:1">
      <c r="A566" s="176"/>
    </row>
    <row r="567" spans="1:1">
      <c r="A567" s="176"/>
    </row>
    <row r="568" spans="1:1">
      <c r="A568" s="176"/>
    </row>
    <row r="569" spans="1:1">
      <c r="A569" s="176"/>
    </row>
    <row r="570" spans="1:1">
      <c r="A570" s="176"/>
    </row>
    <row r="571" spans="1:1">
      <c r="A571" s="176"/>
    </row>
    <row r="572" spans="1:1">
      <c r="A572" s="176"/>
    </row>
    <row r="573" spans="1:1">
      <c r="A573" s="176"/>
    </row>
    <row r="574" spans="1:1">
      <c r="A574" s="176"/>
    </row>
    <row r="575" spans="1:1">
      <c r="A575" s="176"/>
    </row>
    <row r="576" spans="1:1">
      <c r="A576" s="176"/>
    </row>
    <row r="577" spans="1:1">
      <c r="A577" s="176"/>
    </row>
    <row r="578" spans="1:1">
      <c r="A578" s="176"/>
    </row>
    <row r="579" spans="1:1">
      <c r="A579" s="176"/>
    </row>
    <row r="580" spans="1:1">
      <c r="A580" s="176"/>
    </row>
    <row r="581" spans="1:1">
      <c r="A581" s="176"/>
    </row>
    <row r="582" spans="1:1">
      <c r="A582" s="176"/>
    </row>
    <row r="583" spans="1:1">
      <c r="A583" s="176"/>
    </row>
    <row r="584" spans="1:1">
      <c r="A584" s="176"/>
    </row>
    <row r="585" spans="1:1">
      <c r="A585" s="176"/>
    </row>
    <row r="586" spans="1:1">
      <c r="A586" s="176"/>
    </row>
    <row r="587" spans="1:1">
      <c r="A587" s="176"/>
    </row>
    <row r="588" spans="1:1">
      <c r="A588" s="176"/>
    </row>
    <row r="589" spans="1:1">
      <c r="A589" s="176"/>
    </row>
    <row r="590" spans="1:1">
      <c r="A590" s="176"/>
    </row>
    <row r="591" spans="1:1">
      <c r="A591" s="176"/>
    </row>
    <row r="592" spans="1:1">
      <c r="A592" s="176"/>
    </row>
    <row r="593" spans="1:1">
      <c r="A593" s="176"/>
    </row>
    <row r="594" spans="1:1">
      <c r="A594" s="176"/>
    </row>
    <row r="595" spans="1:1">
      <c r="A595" s="176"/>
    </row>
    <row r="596" spans="1:1">
      <c r="A596" s="176"/>
    </row>
    <row r="597" spans="1:1">
      <c r="A597" s="176"/>
    </row>
    <row r="598" spans="1:1">
      <c r="A598" s="176"/>
    </row>
    <row r="599" spans="1:1">
      <c r="A599" s="176"/>
    </row>
    <row r="600" spans="1:1">
      <c r="A600" s="176"/>
    </row>
    <row r="601" spans="1:1">
      <c r="A601" s="176"/>
    </row>
    <row r="602" spans="1:1">
      <c r="A602" s="176"/>
    </row>
    <row r="603" spans="1:1">
      <c r="A603" s="176"/>
    </row>
    <row r="604" spans="1:1">
      <c r="A604" s="176"/>
    </row>
    <row r="605" spans="1:1">
      <c r="A605" s="176"/>
    </row>
    <row r="606" spans="1:1">
      <c r="A606" s="176"/>
    </row>
    <row r="607" spans="1:1">
      <c r="A607" s="176"/>
    </row>
    <row r="608" spans="1:1">
      <c r="A608" s="176"/>
    </row>
    <row r="609" spans="1:1">
      <c r="A609" s="176"/>
    </row>
    <row r="610" spans="1:1">
      <c r="A610" s="176"/>
    </row>
    <row r="611" spans="1:1">
      <c r="A611" s="176"/>
    </row>
    <row r="612" spans="1:1">
      <c r="A612" s="176"/>
    </row>
    <row r="613" spans="1:1">
      <c r="A613" s="176"/>
    </row>
    <row r="614" spans="1:1">
      <c r="A614" s="176"/>
    </row>
    <row r="615" spans="1:1">
      <c r="A615" s="176"/>
    </row>
    <row r="616" spans="1:1">
      <c r="A616" s="176"/>
    </row>
    <row r="617" spans="1:1">
      <c r="A617" s="176"/>
    </row>
    <row r="618" spans="1:1">
      <c r="A618" s="176"/>
    </row>
    <row r="619" spans="1:1">
      <c r="A619" s="176"/>
    </row>
    <row r="620" spans="1:1">
      <c r="A620" s="176"/>
    </row>
    <row r="621" spans="1:1">
      <c r="A621" s="176"/>
    </row>
    <row r="622" spans="1:1">
      <c r="A622" s="176"/>
    </row>
    <row r="623" spans="1:1">
      <c r="A623" s="176"/>
    </row>
    <row r="624" spans="1:1">
      <c r="A624" s="176"/>
    </row>
    <row r="625" spans="1:1">
      <c r="A625" s="176"/>
    </row>
    <row r="626" spans="1:1">
      <c r="A626" s="176"/>
    </row>
    <row r="627" spans="1:1">
      <c r="A627" s="176"/>
    </row>
    <row r="628" spans="1:1">
      <c r="A628" s="176"/>
    </row>
    <row r="629" spans="1:1">
      <c r="A629" s="176"/>
    </row>
    <row r="630" spans="1:1">
      <c r="A630" s="176"/>
    </row>
    <row r="631" spans="1:1">
      <c r="A631" s="176"/>
    </row>
    <row r="632" spans="1:1">
      <c r="A632" s="176"/>
    </row>
    <row r="633" spans="1:1">
      <c r="A633" s="176"/>
    </row>
    <row r="634" spans="1:1">
      <c r="A634" s="176"/>
    </row>
    <row r="635" spans="1:1">
      <c r="A635" s="176"/>
    </row>
    <row r="636" spans="1:1">
      <c r="A636" s="176"/>
    </row>
    <row r="637" spans="1:1">
      <c r="A637" s="176"/>
    </row>
    <row r="638" spans="1:1">
      <c r="A638" s="176"/>
    </row>
    <row r="639" spans="1:1">
      <c r="A639" s="176"/>
    </row>
    <row r="640" spans="1:1">
      <c r="A640" s="176"/>
    </row>
    <row r="641" spans="1:1">
      <c r="A641" s="176"/>
    </row>
    <row r="642" spans="1:1">
      <c r="A642" s="176"/>
    </row>
    <row r="643" spans="1:1">
      <c r="A643" s="176"/>
    </row>
    <row r="644" spans="1:1">
      <c r="A644" s="176"/>
    </row>
    <row r="645" spans="1:1">
      <c r="A645" s="176"/>
    </row>
    <row r="646" spans="1:1">
      <c r="A646" s="176"/>
    </row>
    <row r="647" spans="1:1">
      <c r="A647" s="176"/>
    </row>
    <row r="648" spans="1:1">
      <c r="A648" s="176"/>
    </row>
    <row r="649" spans="1:1">
      <c r="A649" s="176"/>
    </row>
    <row r="650" spans="1:1">
      <c r="A650" s="176"/>
    </row>
    <row r="651" spans="1:1">
      <c r="A651" s="176"/>
    </row>
    <row r="652" spans="1:1">
      <c r="A652" s="176"/>
    </row>
    <row r="653" spans="1:1">
      <c r="A653" s="176"/>
    </row>
    <row r="654" spans="1:1">
      <c r="A654" s="176"/>
    </row>
    <row r="655" spans="1:1">
      <c r="A655" s="176"/>
    </row>
    <row r="656" spans="1:1">
      <c r="A656" s="176"/>
    </row>
    <row r="657" spans="1:1">
      <c r="A657" s="176"/>
    </row>
    <row r="658" spans="1:1">
      <c r="A658" s="176"/>
    </row>
    <row r="659" spans="1:1">
      <c r="A659" s="176"/>
    </row>
    <row r="660" spans="1:1">
      <c r="A660" s="176"/>
    </row>
    <row r="661" spans="1:1">
      <c r="A661" s="176"/>
    </row>
    <row r="662" spans="1:1">
      <c r="A662" s="176"/>
    </row>
    <row r="663" spans="1:1">
      <c r="A663" s="176"/>
    </row>
    <row r="664" spans="1:1">
      <c r="A664" s="176"/>
    </row>
    <row r="665" spans="1:1">
      <c r="A665" s="176"/>
    </row>
    <row r="666" spans="1:1">
      <c r="A666" s="176"/>
    </row>
    <row r="667" spans="1:1">
      <c r="A667" s="176"/>
    </row>
    <row r="668" spans="1:1">
      <c r="A668" s="176"/>
    </row>
    <row r="669" spans="1:1">
      <c r="A669" s="176"/>
    </row>
    <row r="670" spans="1:1">
      <c r="A670" s="176"/>
    </row>
    <row r="671" spans="1:1">
      <c r="A671" s="176"/>
    </row>
    <row r="672" spans="1:1">
      <c r="A672" s="176"/>
    </row>
    <row r="673" spans="1:1">
      <c r="A673" s="176"/>
    </row>
    <row r="674" spans="1:1">
      <c r="A674" s="176"/>
    </row>
    <row r="675" spans="1:1">
      <c r="A675" s="176"/>
    </row>
    <row r="676" spans="1:1">
      <c r="A676" s="176"/>
    </row>
    <row r="677" spans="1:1">
      <c r="A677" s="176"/>
    </row>
    <row r="678" spans="1:1">
      <c r="A678" s="176"/>
    </row>
    <row r="679" spans="1:1">
      <c r="A679" s="176"/>
    </row>
    <row r="680" spans="1:1">
      <c r="A680" s="176"/>
    </row>
    <row r="681" spans="1:1">
      <c r="A681" s="176"/>
    </row>
    <row r="682" spans="1:1">
      <c r="A682" s="176"/>
    </row>
    <row r="683" spans="1:1">
      <c r="A683" s="176"/>
    </row>
    <row r="684" spans="1:1">
      <c r="A684" s="176"/>
    </row>
    <row r="685" spans="1:1">
      <c r="A685" s="176"/>
    </row>
    <row r="686" spans="1:1">
      <c r="A686" s="176"/>
    </row>
    <row r="687" spans="1:1">
      <c r="A687" s="176"/>
    </row>
    <row r="688" spans="1:1">
      <c r="A688" s="176"/>
    </row>
    <row r="689" spans="1:1">
      <c r="A689" s="176"/>
    </row>
    <row r="690" spans="1:1">
      <c r="A690" s="176"/>
    </row>
    <row r="691" spans="1:1">
      <c r="A691" s="176"/>
    </row>
    <row r="692" spans="1:1">
      <c r="A692" s="176"/>
    </row>
    <row r="693" spans="1:1">
      <c r="A693" s="176"/>
    </row>
    <row r="694" spans="1:1">
      <c r="A694" s="176"/>
    </row>
    <row r="695" spans="1:1">
      <c r="A695" s="176"/>
    </row>
    <row r="696" spans="1:1">
      <c r="A696" s="176"/>
    </row>
    <row r="697" spans="1:1">
      <c r="A697" s="176"/>
    </row>
    <row r="698" spans="1:1">
      <c r="A698" s="176"/>
    </row>
    <row r="699" spans="1:1">
      <c r="A699" s="176"/>
    </row>
    <row r="700" spans="1:1">
      <c r="A700" s="176"/>
    </row>
    <row r="701" spans="1:1">
      <c r="A701" s="176"/>
    </row>
    <row r="702" spans="1:1">
      <c r="A702" s="176"/>
    </row>
    <row r="703" spans="1:1">
      <c r="A703" s="176"/>
    </row>
    <row r="704" spans="1:1">
      <c r="A704" s="176"/>
    </row>
    <row r="705" spans="1:1">
      <c r="A705" s="176"/>
    </row>
    <row r="706" spans="1:1">
      <c r="A706" s="176"/>
    </row>
    <row r="707" spans="1:1">
      <c r="A707" s="176"/>
    </row>
    <row r="708" spans="1:1">
      <c r="A708" s="176"/>
    </row>
    <row r="709" spans="1:1">
      <c r="A709" s="176"/>
    </row>
    <row r="710" spans="1:1">
      <c r="A710" s="176"/>
    </row>
    <row r="711" spans="1:1">
      <c r="A711" s="176"/>
    </row>
    <row r="712" spans="1:1">
      <c r="A712" s="176"/>
    </row>
    <row r="713" spans="1:1">
      <c r="A713" s="176"/>
    </row>
    <row r="714" spans="1:1">
      <c r="A714" s="176"/>
    </row>
    <row r="715" spans="1:1">
      <c r="A715" s="176"/>
    </row>
    <row r="716" spans="1:1">
      <c r="A716" s="176"/>
    </row>
    <row r="717" spans="1:1">
      <c r="A717" s="176"/>
    </row>
    <row r="718" spans="1:1">
      <c r="A718" s="176"/>
    </row>
    <row r="719" spans="1:1">
      <c r="A719" s="176"/>
    </row>
    <row r="720" spans="1:1">
      <c r="A720" s="176"/>
    </row>
    <row r="721" spans="1:1">
      <c r="A721" s="176"/>
    </row>
    <row r="722" spans="1:1">
      <c r="A722" s="176"/>
    </row>
    <row r="723" spans="1:1">
      <c r="A723" s="176"/>
    </row>
    <row r="724" spans="1:1">
      <c r="A724" s="176"/>
    </row>
    <row r="725" spans="1:1">
      <c r="A725" s="176"/>
    </row>
    <row r="726" spans="1:1">
      <c r="A726" s="176"/>
    </row>
    <row r="727" spans="1:1">
      <c r="A727" s="176"/>
    </row>
    <row r="728" spans="1:1">
      <c r="A728" s="176"/>
    </row>
    <row r="729" spans="1:1">
      <c r="A729" s="176"/>
    </row>
    <row r="730" spans="1:1">
      <c r="A730" s="176"/>
    </row>
    <row r="731" spans="1:1">
      <c r="A731" s="176"/>
    </row>
    <row r="732" spans="1:1">
      <c r="A732" s="176"/>
    </row>
    <row r="733" spans="1:1">
      <c r="A733" s="176"/>
    </row>
    <row r="734" spans="1:1">
      <c r="A734" s="176"/>
    </row>
    <row r="735" spans="1:1">
      <c r="A735" s="176"/>
    </row>
    <row r="736" spans="1:1">
      <c r="A736" s="176"/>
    </row>
    <row r="737" spans="1:1">
      <c r="A737" s="176"/>
    </row>
    <row r="738" spans="1:1">
      <c r="A738" s="176"/>
    </row>
    <row r="739" spans="1:1">
      <c r="A739" s="176"/>
    </row>
    <row r="740" spans="1:1">
      <c r="A740" s="176"/>
    </row>
    <row r="741" spans="1:1">
      <c r="A741" s="176"/>
    </row>
    <row r="742" spans="1:1">
      <c r="A742" s="176"/>
    </row>
    <row r="743" spans="1:1">
      <c r="A743" s="176"/>
    </row>
    <row r="744" spans="1:1">
      <c r="A744" s="176"/>
    </row>
    <row r="745" spans="1:1">
      <c r="A745" s="176"/>
    </row>
    <row r="746" spans="1:1">
      <c r="A746" s="176"/>
    </row>
    <row r="747" spans="1:1">
      <c r="A747" s="176"/>
    </row>
    <row r="748" spans="1:1">
      <c r="A748" s="176"/>
    </row>
    <row r="749" spans="1:1">
      <c r="A749" s="176"/>
    </row>
    <row r="750" spans="1:1">
      <c r="A750" s="176"/>
    </row>
    <row r="751" spans="1:1">
      <c r="A751" s="176"/>
    </row>
    <row r="752" spans="1:1">
      <c r="A752" s="176"/>
    </row>
    <row r="753" spans="1:1">
      <c r="A753" s="176"/>
    </row>
    <row r="754" spans="1:1">
      <c r="A754" s="176"/>
    </row>
    <row r="755" spans="1:1">
      <c r="A755" s="176"/>
    </row>
    <row r="756" spans="1:1">
      <c r="A756" s="176"/>
    </row>
    <row r="757" spans="1:1">
      <c r="A757" s="176"/>
    </row>
    <row r="758" spans="1:1">
      <c r="A758" s="176"/>
    </row>
    <row r="759" spans="1:1">
      <c r="A759" s="176"/>
    </row>
    <row r="760" spans="1:1">
      <c r="A760" s="176"/>
    </row>
    <row r="761" spans="1:1">
      <c r="A761" s="176"/>
    </row>
    <row r="762" spans="1:1">
      <c r="A762" s="176"/>
    </row>
    <row r="763" spans="1:1">
      <c r="A763" s="176"/>
    </row>
    <row r="764" spans="1:1">
      <c r="A764" s="176"/>
    </row>
    <row r="765" spans="1:1">
      <c r="A765" s="176"/>
    </row>
    <row r="766" spans="1:1">
      <c r="A766" s="176"/>
    </row>
    <row r="767" spans="1:1">
      <c r="A767" s="176"/>
    </row>
    <row r="768" spans="1:1">
      <c r="A768" s="176"/>
    </row>
    <row r="769" spans="1:1">
      <c r="A769" s="176"/>
    </row>
    <row r="770" spans="1:1">
      <c r="A770" s="176"/>
    </row>
    <row r="771" spans="1:1">
      <c r="A771" s="176"/>
    </row>
    <row r="772" spans="1:1">
      <c r="A772" s="176"/>
    </row>
    <row r="773" spans="1:1">
      <c r="A773" s="176"/>
    </row>
    <row r="774" spans="1:1">
      <c r="A774" s="176"/>
    </row>
    <row r="775" spans="1:1">
      <c r="A775" s="176"/>
    </row>
    <row r="776" spans="1:1">
      <c r="A776" s="176"/>
    </row>
    <row r="777" spans="1:1">
      <c r="A777" s="176"/>
    </row>
    <row r="778" spans="1:1">
      <c r="A778" s="176"/>
    </row>
    <row r="779" spans="1:1">
      <c r="A779" s="176"/>
    </row>
    <row r="780" spans="1:1">
      <c r="A780" s="176"/>
    </row>
    <row r="781" spans="1:1">
      <c r="A781" s="176"/>
    </row>
    <row r="782" spans="1:1">
      <c r="A782" s="176"/>
    </row>
    <row r="783" spans="1:1">
      <c r="A783" s="176"/>
    </row>
    <row r="784" spans="1:1">
      <c r="A784" s="176"/>
    </row>
    <row r="785" spans="1:1">
      <c r="A785" s="176"/>
    </row>
    <row r="786" spans="1:1">
      <c r="A786" s="176"/>
    </row>
    <row r="787" spans="1:1">
      <c r="A787" s="176"/>
    </row>
    <row r="788" spans="1:1">
      <c r="A788" s="176"/>
    </row>
    <row r="789" spans="1:1">
      <c r="A789" s="176"/>
    </row>
    <row r="790" spans="1:1">
      <c r="A790" s="176"/>
    </row>
    <row r="791" spans="1:1">
      <c r="A791" s="176"/>
    </row>
    <row r="792" spans="1:1">
      <c r="A792" s="176"/>
    </row>
    <row r="793" spans="1:1">
      <c r="A793" s="176"/>
    </row>
    <row r="794" spans="1:1">
      <c r="A794" s="176"/>
    </row>
    <row r="795" spans="1:1">
      <c r="A795" s="176"/>
    </row>
    <row r="796" spans="1:1">
      <c r="A796" s="176"/>
    </row>
    <row r="797" spans="1:1">
      <c r="A797" s="176"/>
    </row>
    <row r="798" spans="1:1">
      <c r="A798" s="176"/>
    </row>
    <row r="799" spans="1:1">
      <c r="A799" s="176"/>
    </row>
    <row r="800" spans="1:1">
      <c r="A800" s="176"/>
    </row>
    <row r="801" spans="1:1">
      <c r="A801" s="176"/>
    </row>
    <row r="802" spans="1:1">
      <c r="A802" s="176"/>
    </row>
    <row r="803" spans="1:1">
      <c r="A803" s="176"/>
    </row>
    <row r="804" spans="1:1">
      <c r="A804" s="176"/>
    </row>
    <row r="805" spans="1:1">
      <c r="A805" s="176"/>
    </row>
    <row r="806" spans="1:1">
      <c r="A806" s="176"/>
    </row>
    <row r="807" spans="1:1">
      <c r="A807" s="176"/>
    </row>
    <row r="808" spans="1:1">
      <c r="A808" s="176"/>
    </row>
    <row r="809" spans="1:1">
      <c r="A809" s="176"/>
    </row>
    <row r="810" spans="1:1">
      <c r="A810" s="176"/>
    </row>
    <row r="811" spans="1:1">
      <c r="A811" s="176"/>
    </row>
    <row r="812" spans="1:1">
      <c r="A812" s="176"/>
    </row>
    <row r="813" spans="1:1">
      <c r="A813" s="176"/>
    </row>
    <row r="814" spans="1:1">
      <c r="A814" s="176"/>
    </row>
    <row r="815" spans="1:1">
      <c r="A815" s="176"/>
    </row>
    <row r="816" spans="1:1">
      <c r="A816" s="176"/>
    </row>
    <row r="817" spans="1:1">
      <c r="A817" s="176"/>
    </row>
    <row r="818" spans="1:1">
      <c r="A818" s="176"/>
    </row>
    <row r="819" spans="1:1">
      <c r="A819" s="176"/>
    </row>
    <row r="820" spans="1:1">
      <c r="A820" s="176"/>
    </row>
    <row r="821" spans="1:1">
      <c r="A821" s="176"/>
    </row>
    <row r="822" spans="1:1">
      <c r="A822" s="176"/>
    </row>
    <row r="823" spans="1:1">
      <c r="A823" s="176"/>
    </row>
    <row r="824" spans="1:1">
      <c r="A824" s="176"/>
    </row>
    <row r="825" spans="1:1">
      <c r="A825" s="176"/>
    </row>
    <row r="826" spans="1:1">
      <c r="A826" s="176"/>
    </row>
    <row r="827" spans="1:1">
      <c r="A827" s="176"/>
    </row>
    <row r="828" spans="1:1">
      <c r="A828" s="176"/>
    </row>
    <row r="829" spans="1:1">
      <c r="A829" s="176"/>
    </row>
    <row r="830" spans="1:1">
      <c r="A830" s="176"/>
    </row>
    <row r="831" spans="1:1">
      <c r="A831" s="176"/>
    </row>
    <row r="832" spans="1:1">
      <c r="A832" s="176"/>
    </row>
    <row r="833" spans="1:1">
      <c r="A833" s="176"/>
    </row>
    <row r="834" spans="1:1">
      <c r="A834" s="176"/>
    </row>
    <row r="835" spans="1:1">
      <c r="A835" s="176"/>
    </row>
    <row r="836" spans="1:1">
      <c r="A836" s="176"/>
    </row>
    <row r="837" spans="1:1">
      <c r="A837" s="176"/>
    </row>
    <row r="838" spans="1:1">
      <c r="A838" s="176"/>
    </row>
    <row r="839" spans="1:1">
      <c r="A839" s="176"/>
    </row>
    <row r="840" spans="1:1">
      <c r="A840" s="176"/>
    </row>
    <row r="841" spans="1:1">
      <c r="A841" s="176"/>
    </row>
    <row r="842" spans="1:1">
      <c r="A842" s="176"/>
    </row>
    <row r="843" spans="1:1">
      <c r="A843" s="176"/>
    </row>
    <row r="844" spans="1:1">
      <c r="A844" s="176"/>
    </row>
    <row r="845" spans="1:1">
      <c r="A845" s="176"/>
    </row>
    <row r="846" spans="1:1">
      <c r="A846" s="176"/>
    </row>
    <row r="847" spans="1:1">
      <c r="A847" s="176"/>
    </row>
    <row r="848" spans="1:1">
      <c r="A848" s="176"/>
    </row>
    <row r="849" spans="1:1">
      <c r="A849" s="176"/>
    </row>
    <row r="850" spans="1:1">
      <c r="A850" s="176"/>
    </row>
    <row r="851" spans="1:1">
      <c r="A851" s="176"/>
    </row>
    <row r="852" spans="1:1">
      <c r="A852" s="176"/>
    </row>
    <row r="853" spans="1:1">
      <c r="A853" s="176"/>
    </row>
    <row r="854" spans="1:1">
      <c r="A854" s="176"/>
    </row>
    <row r="855" spans="1:1">
      <c r="A855" s="176"/>
    </row>
    <row r="856" spans="1:1">
      <c r="A856" s="176"/>
    </row>
    <row r="857" spans="1:1">
      <c r="A857" s="176"/>
    </row>
    <row r="858" spans="1:1">
      <c r="A858" s="176"/>
    </row>
    <row r="859" spans="1:1">
      <c r="A859" s="176"/>
    </row>
    <row r="860" spans="1:1">
      <c r="A860" s="176"/>
    </row>
    <row r="861" spans="1:1">
      <c r="A861" s="176"/>
    </row>
    <row r="862" spans="1:1">
      <c r="A862" s="176"/>
    </row>
    <row r="863" spans="1:1">
      <c r="A863" s="176"/>
    </row>
    <row r="864" spans="1:1">
      <c r="A864" s="176"/>
    </row>
    <row r="865" spans="1:1">
      <c r="A865" s="176"/>
    </row>
    <row r="866" spans="1:1">
      <c r="A866" s="176"/>
    </row>
    <row r="867" spans="1:1">
      <c r="A867" s="176"/>
    </row>
    <row r="868" spans="1:1">
      <c r="A868" s="176"/>
    </row>
    <row r="869" spans="1:1">
      <c r="A869" s="176"/>
    </row>
    <row r="870" spans="1:1">
      <c r="A870" s="176"/>
    </row>
    <row r="871" spans="1:1">
      <c r="A871" s="176"/>
    </row>
    <row r="872" spans="1:1">
      <c r="A872" s="176"/>
    </row>
    <row r="873" spans="1:1">
      <c r="A873" s="176"/>
    </row>
    <row r="874" spans="1:1">
      <c r="A874" s="176"/>
    </row>
    <row r="875" spans="1:1">
      <c r="A875" s="176"/>
    </row>
    <row r="876" spans="1:1">
      <c r="A876" s="176"/>
    </row>
    <row r="877" spans="1:1">
      <c r="A877" s="176"/>
    </row>
    <row r="878" spans="1:1">
      <c r="A878" s="176"/>
    </row>
    <row r="879" spans="1:1">
      <c r="A879" s="176"/>
    </row>
    <row r="880" spans="1:1">
      <c r="A880" s="176"/>
    </row>
    <row r="881" spans="1:1">
      <c r="A881" s="176"/>
    </row>
    <row r="882" spans="1:1">
      <c r="A882" s="176"/>
    </row>
    <row r="883" spans="1:1">
      <c r="A883" s="176"/>
    </row>
    <row r="884" spans="1:1">
      <c r="A884" s="176"/>
    </row>
    <row r="885" spans="1:1">
      <c r="A885" s="176"/>
    </row>
    <row r="886" spans="1:1">
      <c r="A886" s="176"/>
    </row>
    <row r="887" spans="1:1">
      <c r="A887" s="176"/>
    </row>
    <row r="888" spans="1:1">
      <c r="A888" s="176"/>
    </row>
    <row r="889" spans="1:1">
      <c r="A889" s="176"/>
    </row>
    <row r="890" spans="1:1">
      <c r="A890" s="176"/>
    </row>
    <row r="891" spans="1:1">
      <c r="A891" s="176"/>
    </row>
    <row r="892" spans="1:1">
      <c r="A892" s="176"/>
    </row>
    <row r="893" spans="1:1">
      <c r="A893" s="176"/>
    </row>
    <row r="894" spans="1:1">
      <c r="A894" s="176"/>
    </row>
    <row r="895" spans="1:1">
      <c r="A895" s="176"/>
    </row>
    <row r="896" spans="1:1">
      <c r="A896" s="176"/>
    </row>
    <row r="897" spans="1:1">
      <c r="A897" s="176"/>
    </row>
    <row r="898" spans="1:1">
      <c r="A898" s="176"/>
    </row>
    <row r="899" spans="1:1">
      <c r="A899" s="176"/>
    </row>
    <row r="900" spans="1:1">
      <c r="A900" s="176"/>
    </row>
    <row r="901" spans="1:1">
      <c r="A901" s="176"/>
    </row>
    <row r="902" spans="1:1">
      <c r="A902" s="176"/>
    </row>
    <row r="903" spans="1:1">
      <c r="A903" s="176"/>
    </row>
    <row r="904" spans="1:1">
      <c r="A904" s="176"/>
    </row>
    <row r="905" spans="1:1">
      <c r="A905" s="176"/>
    </row>
    <row r="906" spans="1:1">
      <c r="A906" s="176"/>
    </row>
    <row r="907" spans="1:1">
      <c r="A907" s="176"/>
    </row>
    <row r="908" spans="1:1">
      <c r="A908" s="176"/>
    </row>
    <row r="909" spans="1:1">
      <c r="A909" s="176"/>
    </row>
    <row r="910" spans="1:1">
      <c r="A910" s="176"/>
    </row>
    <row r="911" spans="1:1">
      <c r="A911" s="176"/>
    </row>
    <row r="912" spans="1:1">
      <c r="A912" s="176"/>
    </row>
    <row r="913" spans="1:1">
      <c r="A913" s="176"/>
    </row>
    <row r="914" spans="1:1">
      <c r="A914" s="176"/>
    </row>
    <row r="915" spans="1:1">
      <c r="A915" s="176"/>
    </row>
    <row r="916" spans="1:1">
      <c r="A916" s="176"/>
    </row>
    <row r="917" spans="1:1">
      <c r="A917" s="176"/>
    </row>
    <row r="918" spans="1:1">
      <c r="A918" s="176"/>
    </row>
    <row r="919" spans="1:1">
      <c r="A919" s="176"/>
    </row>
    <row r="920" spans="1:1">
      <c r="A920" s="176"/>
    </row>
    <row r="921" spans="1:1">
      <c r="A921" s="176"/>
    </row>
    <row r="922" spans="1:1">
      <c r="A922" s="176"/>
    </row>
    <row r="923" spans="1:1">
      <c r="A923" s="176"/>
    </row>
    <row r="924" spans="1:1">
      <c r="A924" s="176"/>
    </row>
    <row r="925" spans="1:1">
      <c r="A925" s="176"/>
    </row>
    <row r="926" spans="1:1">
      <c r="A926" s="176"/>
    </row>
    <row r="927" spans="1:1">
      <c r="A927" s="176"/>
    </row>
    <row r="928" spans="1:1">
      <c r="A928" s="176"/>
    </row>
    <row r="929" spans="1:1">
      <c r="A929" s="176"/>
    </row>
    <row r="930" spans="1:1">
      <c r="A930" s="176"/>
    </row>
    <row r="931" spans="1:1">
      <c r="A931" s="176"/>
    </row>
    <row r="932" spans="1:1">
      <c r="A932" s="176"/>
    </row>
    <row r="933" spans="1:1">
      <c r="A933" s="176"/>
    </row>
    <row r="934" spans="1:1">
      <c r="A934" s="176"/>
    </row>
    <row r="935" spans="1:1">
      <c r="A935" s="176"/>
    </row>
    <row r="936" spans="1:1">
      <c r="A936" s="176"/>
    </row>
    <row r="937" spans="1:1">
      <c r="A937" s="176"/>
    </row>
    <row r="938" spans="1:1">
      <c r="A938" s="176"/>
    </row>
    <row r="939" spans="1:1">
      <c r="A939" s="176"/>
    </row>
    <row r="940" spans="1:1">
      <c r="A940" s="176"/>
    </row>
    <row r="941" spans="1:1">
      <c r="A941" s="176"/>
    </row>
    <row r="942" spans="1:1">
      <c r="A942" s="176"/>
    </row>
    <row r="943" spans="1:1">
      <c r="A943" s="176"/>
    </row>
    <row r="944" spans="1:1">
      <c r="A944" s="176"/>
    </row>
    <row r="945" spans="1:1">
      <c r="A945" s="176"/>
    </row>
    <row r="946" spans="1:1">
      <c r="A946" s="176"/>
    </row>
    <row r="947" spans="1:1">
      <c r="A947" s="176"/>
    </row>
    <row r="948" spans="1:1">
      <c r="A948" s="176"/>
    </row>
    <row r="949" spans="1:1">
      <c r="A949" s="176"/>
    </row>
    <row r="950" spans="1:1">
      <c r="A950" s="176"/>
    </row>
    <row r="951" spans="1:1">
      <c r="A951" s="176"/>
    </row>
    <row r="952" spans="1:1">
      <c r="A952" s="176"/>
    </row>
    <row r="953" spans="1:1">
      <c r="A953" s="176"/>
    </row>
    <row r="954" spans="1:1">
      <c r="A954" s="176"/>
    </row>
    <row r="955" spans="1:1">
      <c r="A955" s="176"/>
    </row>
    <row r="956" spans="1:1">
      <c r="A956" s="176"/>
    </row>
    <row r="957" spans="1:1">
      <c r="A957" s="176"/>
    </row>
    <row r="958" spans="1:1">
      <c r="A958" s="176"/>
    </row>
    <row r="959" spans="1:1">
      <c r="A959" s="176"/>
    </row>
    <row r="960" spans="1:1">
      <c r="A960" s="176"/>
    </row>
    <row r="961" spans="1:1">
      <c r="A961" s="176"/>
    </row>
    <row r="962" spans="1:1">
      <c r="A962" s="176"/>
    </row>
    <row r="963" spans="1:1">
      <c r="A963" s="176"/>
    </row>
    <row r="964" spans="1:1">
      <c r="A964" s="176"/>
    </row>
    <row r="965" spans="1:1">
      <c r="A965" s="176"/>
    </row>
    <row r="966" spans="1:1">
      <c r="A966" s="176"/>
    </row>
    <row r="967" spans="1:1">
      <c r="A967" s="176"/>
    </row>
    <row r="968" spans="1:1">
      <c r="A968" s="176"/>
    </row>
    <row r="969" spans="1:1">
      <c r="A969" s="176"/>
    </row>
    <row r="970" spans="1:1">
      <c r="A970" s="176"/>
    </row>
    <row r="971" spans="1:1">
      <c r="A971" s="176"/>
    </row>
    <row r="972" spans="1:1">
      <c r="A972" s="176"/>
    </row>
    <row r="973" spans="1:1">
      <c r="A973" s="176"/>
    </row>
    <row r="974" spans="1:1">
      <c r="A974" s="176"/>
    </row>
    <row r="975" spans="1:1">
      <c r="A975" s="176"/>
    </row>
    <row r="976" spans="1:1">
      <c r="A976" s="176"/>
    </row>
    <row r="977" spans="1:1">
      <c r="A977" s="176"/>
    </row>
    <row r="978" spans="1:1">
      <c r="A978" s="176"/>
    </row>
    <row r="979" spans="1:1">
      <c r="A979" s="176"/>
    </row>
    <row r="980" spans="1:1">
      <c r="A980" s="176"/>
    </row>
    <row r="981" spans="1:1">
      <c r="A981" s="176"/>
    </row>
    <row r="982" spans="1:1">
      <c r="A982" s="176"/>
    </row>
    <row r="983" spans="1:1">
      <c r="A983" s="176"/>
    </row>
    <row r="984" spans="1:1">
      <c r="A984" s="176"/>
    </row>
    <row r="985" spans="1:1">
      <c r="A985" s="176"/>
    </row>
    <row r="986" spans="1:1">
      <c r="A986" s="176"/>
    </row>
    <row r="987" spans="1:1">
      <c r="A987" s="176"/>
    </row>
    <row r="988" spans="1:1">
      <c r="A988" s="176"/>
    </row>
    <row r="989" spans="1:1">
      <c r="A989" s="176"/>
    </row>
    <row r="990" spans="1:1">
      <c r="A990" s="176"/>
    </row>
    <row r="991" spans="1:1">
      <c r="A991" s="176"/>
    </row>
    <row r="992" spans="1:1">
      <c r="A992" s="176"/>
    </row>
    <row r="993" spans="1:1">
      <c r="A993" s="176"/>
    </row>
    <row r="994" spans="1:1">
      <c r="A994" s="176"/>
    </row>
    <row r="995" spans="1:1">
      <c r="A995" s="176"/>
    </row>
    <row r="996" spans="1:1">
      <c r="A996" s="176"/>
    </row>
    <row r="997" spans="1:1">
      <c r="A997" s="176"/>
    </row>
    <row r="998" spans="1:1">
      <c r="A998" s="176"/>
    </row>
    <row r="999" spans="1:1">
      <c r="A999" s="176"/>
    </row>
    <row r="1000" spans="1:1">
      <c r="A1000" s="176"/>
    </row>
    <row r="1001" spans="1:1">
      <c r="A1001" s="176"/>
    </row>
    <row r="1002" spans="1:1">
      <c r="A1002" s="176"/>
    </row>
    <row r="1003" spans="1:1">
      <c r="A1003" s="176"/>
    </row>
    <row r="1004" spans="1:1">
      <c r="A1004" s="176"/>
    </row>
    <row r="1005" spans="1:1">
      <c r="A1005" s="176"/>
    </row>
    <row r="1006" spans="1:1">
      <c r="A1006" s="176"/>
    </row>
    <row r="1007" spans="1:1">
      <c r="A1007" s="176"/>
    </row>
    <row r="1008" spans="1:1">
      <c r="A1008" s="176"/>
    </row>
    <row r="1009" spans="1:1">
      <c r="A1009" s="176"/>
    </row>
    <row r="1010" spans="1:1">
      <c r="A1010" s="176"/>
    </row>
    <row r="1011" spans="1:1">
      <c r="A1011" s="176"/>
    </row>
    <row r="1012" spans="1:1">
      <c r="A1012" s="176"/>
    </row>
    <row r="1013" spans="1:1">
      <c r="A1013" s="176"/>
    </row>
    <row r="1014" spans="1:1">
      <c r="A1014" s="176"/>
    </row>
    <row r="1015" spans="1:1">
      <c r="A1015" s="176"/>
    </row>
    <row r="1016" spans="1:1">
      <c r="A1016" s="176"/>
    </row>
    <row r="1017" spans="1:1">
      <c r="A1017" s="176"/>
    </row>
    <row r="1018" spans="1:1">
      <c r="A1018" s="176"/>
    </row>
    <row r="1019" spans="1:1">
      <c r="A1019" s="176"/>
    </row>
    <row r="1020" spans="1:1">
      <c r="A1020" s="176"/>
    </row>
    <row r="1021" spans="1:1">
      <c r="A1021" s="176"/>
    </row>
    <row r="1022" spans="1:1">
      <c r="A1022" s="176"/>
    </row>
    <row r="1023" spans="1:1">
      <c r="A1023" s="176"/>
    </row>
    <row r="1024" spans="1:1">
      <c r="A1024" s="176"/>
    </row>
    <row r="1025" spans="1:1">
      <c r="A1025" s="176"/>
    </row>
    <row r="1026" spans="1:1">
      <c r="A1026" s="176"/>
    </row>
    <row r="1027" spans="1:1">
      <c r="A1027" s="176"/>
    </row>
    <row r="1028" spans="1:1">
      <c r="A1028" s="176"/>
    </row>
    <row r="1029" spans="1:1">
      <c r="A1029" s="176"/>
    </row>
    <row r="1030" spans="1:1">
      <c r="A1030" s="176"/>
    </row>
    <row r="1031" spans="1:1">
      <c r="A1031" s="176"/>
    </row>
    <row r="1032" spans="1:1">
      <c r="A1032" s="176"/>
    </row>
    <row r="1033" spans="1:1">
      <c r="A1033" s="176"/>
    </row>
    <row r="1034" spans="1:1">
      <c r="A1034" s="176"/>
    </row>
    <row r="1035" spans="1:1">
      <c r="A1035" s="176"/>
    </row>
    <row r="1036" spans="1:1">
      <c r="A1036" s="176"/>
    </row>
    <row r="1037" spans="1:1">
      <c r="A1037" s="176"/>
    </row>
    <row r="1038" spans="1:1">
      <c r="A1038" s="176"/>
    </row>
    <row r="1039" spans="1:1">
      <c r="A1039" s="176"/>
    </row>
    <row r="1040" spans="1:1">
      <c r="A1040" s="176"/>
    </row>
    <row r="1041" spans="1:1">
      <c r="A1041" s="176"/>
    </row>
    <row r="1042" spans="1:1">
      <c r="A1042" s="176"/>
    </row>
    <row r="1043" spans="1:1">
      <c r="A1043" s="176"/>
    </row>
    <row r="1044" spans="1:1">
      <c r="A1044" s="176"/>
    </row>
    <row r="1045" spans="1:1">
      <c r="A1045" s="176"/>
    </row>
    <row r="1046" spans="1:1">
      <c r="A1046" s="176"/>
    </row>
    <row r="1047" spans="1:1">
      <c r="A1047" s="176"/>
    </row>
    <row r="1048" spans="1:1">
      <c r="A1048" s="176"/>
    </row>
    <row r="1049" spans="1:1">
      <c r="A1049" s="176"/>
    </row>
    <row r="1050" spans="1:1">
      <c r="A1050" s="176"/>
    </row>
    <row r="1051" spans="1:1">
      <c r="A1051" s="176"/>
    </row>
    <row r="1052" spans="1:1">
      <c r="A1052" s="176"/>
    </row>
    <row r="1053" spans="1:1">
      <c r="A1053" s="176"/>
    </row>
    <row r="1054" spans="1:1">
      <c r="A1054" s="176"/>
    </row>
    <row r="1055" spans="1:1">
      <c r="A1055" s="176"/>
    </row>
    <row r="1056" spans="1:1">
      <c r="A1056" s="176"/>
    </row>
    <row r="1057" spans="1:1">
      <c r="A1057" s="176"/>
    </row>
    <row r="1058" spans="1:1">
      <c r="A1058" s="176"/>
    </row>
    <row r="1059" spans="1:1">
      <c r="A1059" s="176"/>
    </row>
    <row r="1060" spans="1:1">
      <c r="A1060" s="176"/>
    </row>
    <row r="1061" spans="1:1">
      <c r="A1061" s="176"/>
    </row>
    <row r="1062" spans="1:1">
      <c r="A1062" s="176"/>
    </row>
    <row r="1063" spans="1:1">
      <c r="A1063" s="176"/>
    </row>
    <row r="1064" spans="1:1">
      <c r="A1064" s="176"/>
    </row>
    <row r="1065" spans="1:1">
      <c r="A1065" s="176"/>
    </row>
    <row r="1066" spans="1:1">
      <c r="A1066" s="176"/>
    </row>
    <row r="1067" spans="1:1">
      <c r="A1067" s="176"/>
    </row>
    <row r="1068" spans="1:1">
      <c r="A1068" s="176"/>
    </row>
    <row r="1069" spans="1:1">
      <c r="A1069" s="176"/>
    </row>
    <row r="1070" spans="1:1">
      <c r="A1070" s="176"/>
    </row>
    <row r="1071" spans="1:1">
      <c r="A1071" s="176"/>
    </row>
    <row r="1072" spans="1:1">
      <c r="A1072" s="176"/>
    </row>
    <row r="1073" spans="1:1">
      <c r="A1073" s="176"/>
    </row>
    <row r="1074" spans="1:1">
      <c r="A1074" s="176"/>
    </row>
    <row r="1075" spans="1:1">
      <c r="A1075" s="176"/>
    </row>
    <row r="1076" spans="1:1">
      <c r="A1076" s="176"/>
    </row>
    <row r="1077" spans="1:1">
      <c r="A1077" s="176"/>
    </row>
    <row r="1078" spans="1:1">
      <c r="A1078" s="176"/>
    </row>
    <row r="1079" spans="1:1">
      <c r="A1079" s="176"/>
    </row>
    <row r="1080" spans="1:1">
      <c r="A1080" s="176"/>
    </row>
    <row r="1081" spans="1:1">
      <c r="A1081" s="176"/>
    </row>
    <row r="1082" spans="1:1">
      <c r="A1082" s="176"/>
    </row>
    <row r="1083" spans="1:1">
      <c r="A1083" s="176"/>
    </row>
    <row r="1084" spans="1:1">
      <c r="A1084" s="176"/>
    </row>
    <row r="1085" spans="1:1">
      <c r="A1085" s="176"/>
    </row>
    <row r="1086" spans="1:1">
      <c r="A1086" s="176"/>
    </row>
    <row r="1087" spans="1:1">
      <c r="A1087" s="176"/>
    </row>
    <row r="1088" spans="1:1">
      <c r="A1088" s="176"/>
    </row>
    <row r="1089" spans="1:1">
      <c r="A1089" s="176"/>
    </row>
    <row r="1090" spans="1:1">
      <c r="A1090" s="176"/>
    </row>
    <row r="1091" spans="1:1">
      <c r="A1091" s="176"/>
    </row>
    <row r="1092" spans="1:1">
      <c r="A1092" s="176"/>
    </row>
    <row r="1093" spans="1:1">
      <c r="A1093" s="176"/>
    </row>
    <row r="1094" spans="1:1">
      <c r="A1094" s="176"/>
    </row>
    <row r="1095" spans="1:1">
      <c r="A1095" s="176"/>
    </row>
    <row r="1096" spans="1:1">
      <c r="A1096" s="176"/>
    </row>
    <row r="1097" spans="1:1">
      <c r="A1097" s="176"/>
    </row>
    <row r="1098" spans="1:1">
      <c r="A1098" s="176"/>
    </row>
    <row r="1099" spans="1:1">
      <c r="A1099" s="176"/>
    </row>
    <row r="1100" spans="1:1">
      <c r="A1100" s="176"/>
    </row>
    <row r="1101" spans="1:1">
      <c r="A1101" s="176"/>
    </row>
    <row r="1102" spans="1:1">
      <c r="A1102" s="176"/>
    </row>
    <row r="1103" spans="1:1">
      <c r="A1103" s="176"/>
    </row>
    <row r="1104" spans="1:1">
      <c r="A1104" s="176"/>
    </row>
    <row r="1105" spans="1:1">
      <c r="A1105" s="176"/>
    </row>
    <row r="1106" spans="1:1">
      <c r="A1106" s="176"/>
    </row>
    <row r="1107" spans="1:1">
      <c r="A1107" s="176"/>
    </row>
    <row r="1108" spans="1:1">
      <c r="A1108" s="176"/>
    </row>
    <row r="1109" spans="1:1">
      <c r="A1109" s="176"/>
    </row>
    <row r="1110" spans="1:1">
      <c r="A1110" s="176"/>
    </row>
    <row r="1111" spans="1:1">
      <c r="A1111" s="176"/>
    </row>
    <row r="1112" spans="1:1">
      <c r="A1112" s="176"/>
    </row>
    <row r="1113" spans="1:1">
      <c r="A1113" s="176"/>
    </row>
    <row r="1114" spans="1:1">
      <c r="A1114" s="176"/>
    </row>
    <row r="1115" spans="1:1">
      <c r="A1115" s="176"/>
    </row>
    <row r="1116" spans="1:1">
      <c r="A1116" s="176"/>
    </row>
    <row r="1117" spans="1:1">
      <c r="A1117" s="176"/>
    </row>
    <row r="1118" spans="1:1">
      <c r="A1118" s="176"/>
    </row>
    <row r="1119" spans="1:1">
      <c r="A1119" s="176"/>
    </row>
    <row r="1120" spans="1:1">
      <c r="A1120" s="176"/>
    </row>
    <row r="1121" spans="1:1">
      <c r="A1121" s="176"/>
    </row>
    <row r="1122" spans="1:1">
      <c r="A1122" s="176"/>
    </row>
    <row r="1123" spans="1:1">
      <c r="A1123" s="176"/>
    </row>
    <row r="1124" spans="1:1">
      <c r="A1124" s="176"/>
    </row>
    <row r="1125" spans="1:1">
      <c r="A1125" s="176"/>
    </row>
    <row r="1126" spans="1:1">
      <c r="A1126" s="176"/>
    </row>
    <row r="1127" spans="1:1">
      <c r="A1127" s="176"/>
    </row>
    <row r="1128" spans="1:1">
      <c r="A1128" s="176"/>
    </row>
    <row r="1129" spans="1:1">
      <c r="A1129" s="176"/>
    </row>
    <row r="1130" spans="1:1">
      <c r="A1130" s="176"/>
    </row>
    <row r="1131" spans="1:1">
      <c r="A1131" s="176"/>
    </row>
    <row r="1132" spans="1:1">
      <c r="A1132" s="176"/>
    </row>
    <row r="1133" spans="1:1">
      <c r="A1133" s="176"/>
    </row>
    <row r="1134" spans="1:1">
      <c r="A1134" s="176"/>
    </row>
    <row r="1135" spans="1:1">
      <c r="A1135" s="176"/>
    </row>
    <row r="1136" spans="1:1">
      <c r="A1136" s="176"/>
    </row>
    <row r="1137" spans="1:1">
      <c r="A1137" s="176"/>
    </row>
    <row r="1138" spans="1:1">
      <c r="A1138" s="176"/>
    </row>
    <row r="1139" spans="1:1">
      <c r="A1139" s="176"/>
    </row>
    <row r="1140" spans="1:1">
      <c r="A1140" s="176"/>
    </row>
    <row r="1141" spans="1:1">
      <c r="A1141" s="176"/>
    </row>
    <row r="1142" spans="1:1">
      <c r="A1142" s="176"/>
    </row>
    <row r="1143" spans="1:1">
      <c r="A1143" s="176"/>
    </row>
    <row r="1144" spans="1:1">
      <c r="A1144" s="176"/>
    </row>
    <row r="1145" spans="1:1">
      <c r="A1145" s="176"/>
    </row>
    <row r="1146" spans="1:1">
      <c r="A1146" s="176"/>
    </row>
    <row r="1147" spans="1:1">
      <c r="A1147" s="176"/>
    </row>
    <row r="1148" spans="1:1">
      <c r="A1148" s="176"/>
    </row>
    <row r="1149" spans="1:1">
      <c r="A1149" s="176"/>
    </row>
    <row r="1150" spans="1:1">
      <c r="A1150" s="176"/>
    </row>
    <row r="1151" spans="1:1">
      <c r="A1151" s="176"/>
    </row>
    <row r="1152" spans="1:1">
      <c r="A1152" s="176"/>
    </row>
    <row r="1153" spans="1:1">
      <c r="A1153" s="176"/>
    </row>
    <row r="1154" spans="1:1">
      <c r="A1154" s="176"/>
    </row>
    <row r="1155" spans="1:1">
      <c r="A1155" s="176"/>
    </row>
    <row r="1156" spans="1:1">
      <c r="A1156" s="176"/>
    </row>
    <row r="1157" spans="1:1">
      <c r="A1157" s="176"/>
    </row>
    <row r="1158" spans="1:1">
      <c r="A1158" s="176"/>
    </row>
    <row r="1159" spans="1:1">
      <c r="A1159" s="176"/>
    </row>
    <row r="1160" spans="1:1">
      <c r="A1160" s="176"/>
    </row>
    <row r="1161" spans="1:1">
      <c r="A1161" s="176"/>
    </row>
    <row r="1162" spans="1:1">
      <c r="A1162" s="176"/>
    </row>
    <row r="1163" spans="1:1">
      <c r="A1163" s="176"/>
    </row>
    <row r="1164" spans="1:1">
      <c r="A1164" s="176"/>
    </row>
    <row r="1165" spans="1:1">
      <c r="A1165" s="176"/>
    </row>
    <row r="1166" spans="1:1">
      <c r="A1166" s="176"/>
    </row>
    <row r="1167" spans="1:1">
      <c r="A1167" s="176"/>
    </row>
    <row r="1168" spans="1:1">
      <c r="A1168" s="176"/>
    </row>
    <row r="1169" spans="1:1">
      <c r="A1169" s="176"/>
    </row>
    <row r="1170" spans="1:1">
      <c r="A1170" s="176"/>
    </row>
    <row r="1171" spans="1:1">
      <c r="A1171" s="176"/>
    </row>
    <row r="1172" spans="1:1">
      <c r="A1172" s="176"/>
    </row>
    <row r="1173" spans="1:1">
      <c r="A1173" s="176"/>
    </row>
    <row r="1174" spans="1:1">
      <c r="A1174" s="176"/>
    </row>
    <row r="1175" spans="1:1">
      <c r="A1175" s="176"/>
    </row>
    <row r="1176" spans="1:1">
      <c r="A1176" s="176"/>
    </row>
    <row r="1177" spans="1:1">
      <c r="A1177" s="176"/>
    </row>
    <row r="1178" spans="1:1">
      <c r="A1178" s="176"/>
    </row>
    <row r="1179" spans="1:1">
      <c r="A1179" s="176"/>
    </row>
    <row r="1180" spans="1:1">
      <c r="A1180" s="176"/>
    </row>
    <row r="1181" spans="1:1">
      <c r="A1181" s="176"/>
    </row>
    <row r="1182" spans="1:1">
      <c r="A1182" s="176"/>
    </row>
    <row r="1183" spans="1:1">
      <c r="A1183" s="176"/>
    </row>
    <row r="1184" spans="1:1">
      <c r="A1184" s="176"/>
    </row>
    <row r="1185" spans="1:1">
      <c r="A1185" s="176"/>
    </row>
    <row r="1186" spans="1:1">
      <c r="A1186" s="176"/>
    </row>
    <row r="1187" spans="1:1">
      <c r="A1187" s="176"/>
    </row>
    <row r="1188" spans="1:1">
      <c r="A1188" s="176"/>
    </row>
    <row r="1189" spans="1:1">
      <c r="A1189" s="176"/>
    </row>
    <row r="1190" spans="1:1">
      <c r="A1190" s="176"/>
    </row>
    <row r="1191" spans="1:1">
      <c r="A1191" s="176"/>
    </row>
    <row r="1192" spans="1:1">
      <c r="A1192" s="176"/>
    </row>
    <row r="1193" spans="1:1">
      <c r="A1193" s="176"/>
    </row>
    <row r="1194" spans="1:1">
      <c r="A1194" s="176"/>
    </row>
    <row r="1195" spans="1:1">
      <c r="A1195" s="176"/>
    </row>
    <row r="1196" spans="1:1">
      <c r="A1196" s="176"/>
    </row>
    <row r="1197" spans="1:1">
      <c r="A1197" s="176"/>
    </row>
    <row r="1198" spans="1:1">
      <c r="A1198" s="176"/>
    </row>
    <row r="1199" spans="1:1">
      <c r="A1199" s="176"/>
    </row>
    <row r="1200" spans="1:1">
      <c r="A1200" s="176"/>
    </row>
    <row r="1201" spans="1:1">
      <c r="A1201" s="176"/>
    </row>
    <row r="1202" spans="1:1">
      <c r="A1202" s="176"/>
    </row>
    <row r="1203" spans="1:1">
      <c r="A1203" s="176"/>
    </row>
    <row r="1204" spans="1:1">
      <c r="A1204" s="176"/>
    </row>
    <row r="1205" spans="1:1">
      <c r="A1205" s="176"/>
    </row>
    <row r="1206" spans="1:1">
      <c r="A1206" s="176"/>
    </row>
    <row r="1207" spans="1:1">
      <c r="A1207" s="176"/>
    </row>
    <row r="1208" spans="1:1">
      <c r="A1208" s="176"/>
    </row>
    <row r="1209" spans="1:1">
      <c r="A1209" s="176"/>
    </row>
    <row r="1210" spans="1:1">
      <c r="A1210" s="176"/>
    </row>
    <row r="1211" spans="1:1">
      <c r="A1211" s="176"/>
    </row>
    <row r="1212" spans="1:1">
      <c r="A1212" s="176"/>
    </row>
    <row r="1213" spans="1:1">
      <c r="A1213" s="176"/>
    </row>
    <row r="1214" spans="1:1">
      <c r="A1214" s="176"/>
    </row>
    <row r="1215" spans="1:1">
      <c r="A1215" s="176"/>
    </row>
    <row r="1216" spans="1:1">
      <c r="A1216" s="176"/>
    </row>
    <row r="1217" spans="1:1">
      <c r="A1217" s="176"/>
    </row>
    <row r="1218" spans="1:1">
      <c r="A1218" s="176"/>
    </row>
    <row r="1219" spans="1:1">
      <c r="A1219" s="176"/>
    </row>
    <row r="1220" spans="1:1">
      <c r="A1220" s="176"/>
    </row>
    <row r="1221" spans="1:1">
      <c r="A1221" s="176"/>
    </row>
    <row r="1222" spans="1:1">
      <c r="A1222" s="176"/>
    </row>
    <row r="1223" spans="1:1">
      <c r="A1223" s="176"/>
    </row>
    <row r="1224" spans="1:1">
      <c r="A1224" s="176"/>
    </row>
    <row r="1225" spans="1:1">
      <c r="A1225" s="176"/>
    </row>
    <row r="1226" spans="1:1">
      <c r="A1226" s="176"/>
    </row>
    <row r="1227" spans="1:1">
      <c r="A1227" s="176"/>
    </row>
    <row r="1228" spans="1:1">
      <c r="A1228" s="176"/>
    </row>
    <row r="1229" spans="1:1">
      <c r="A1229" s="176"/>
    </row>
    <row r="1230" spans="1:1">
      <c r="A1230" s="176"/>
    </row>
    <row r="1231" spans="1:1">
      <c r="A1231" s="176"/>
    </row>
    <row r="1232" spans="1:1">
      <c r="A1232" s="176"/>
    </row>
    <row r="1233" spans="1:1">
      <c r="A1233" s="176"/>
    </row>
    <row r="1234" spans="1:1">
      <c r="A1234" s="176"/>
    </row>
    <row r="1235" spans="1:1">
      <c r="A1235" s="176"/>
    </row>
    <row r="1236" spans="1:1">
      <c r="A1236" s="176"/>
    </row>
    <row r="1237" spans="1:1">
      <c r="A1237" s="176"/>
    </row>
    <row r="1238" spans="1:1">
      <c r="A1238" s="176"/>
    </row>
    <row r="1239" spans="1:1">
      <c r="A1239" s="176"/>
    </row>
    <row r="1240" spans="1:1">
      <c r="A1240" s="176"/>
    </row>
    <row r="1241" spans="1:1">
      <c r="A1241" s="176"/>
    </row>
    <row r="1242" spans="1:1">
      <c r="A1242" s="176"/>
    </row>
    <row r="1243" spans="1:1">
      <c r="A1243" s="176"/>
    </row>
    <row r="1244" spans="1:1">
      <c r="A1244" s="176"/>
    </row>
    <row r="1245" spans="1:1">
      <c r="A1245" s="176"/>
    </row>
    <row r="1246" spans="1:1">
      <c r="A1246" s="176"/>
    </row>
    <row r="1247" spans="1:1">
      <c r="A1247" s="176"/>
    </row>
    <row r="1248" spans="1:1">
      <c r="A1248" s="176"/>
    </row>
    <row r="1249" spans="1:1">
      <c r="A1249" s="176"/>
    </row>
    <row r="1250" spans="1:1">
      <c r="A1250" s="176"/>
    </row>
    <row r="1251" spans="1:1">
      <c r="A1251" s="176"/>
    </row>
    <row r="1252" spans="1:1">
      <c r="A1252" s="176"/>
    </row>
    <row r="1253" spans="1:1">
      <c r="A1253" s="176"/>
    </row>
    <row r="1254" spans="1:1">
      <c r="A1254" s="176"/>
    </row>
    <row r="1255" spans="1:1">
      <c r="A1255" s="176"/>
    </row>
    <row r="1256" spans="1:1">
      <c r="A1256" s="176"/>
    </row>
    <row r="1257" spans="1:1">
      <c r="A1257" s="176"/>
    </row>
    <row r="1258" spans="1:1">
      <c r="A1258" s="176"/>
    </row>
    <row r="1259" spans="1:1">
      <c r="A1259" s="176"/>
    </row>
    <row r="1260" spans="1:1">
      <c r="A1260" s="176"/>
    </row>
    <row r="1261" spans="1:1">
      <c r="A1261" s="176"/>
    </row>
    <row r="1262" spans="1:1">
      <c r="A1262" s="176"/>
    </row>
    <row r="1263" spans="1:1">
      <c r="A1263" s="176"/>
    </row>
    <row r="1264" spans="1:1">
      <c r="A1264" s="176"/>
    </row>
    <row r="1265" spans="1:1">
      <c r="A1265" s="176"/>
    </row>
    <row r="1266" spans="1:1">
      <c r="A1266" s="176"/>
    </row>
    <row r="1267" spans="1:1">
      <c r="A1267" s="176"/>
    </row>
    <row r="1268" spans="1:1">
      <c r="A1268" s="176"/>
    </row>
    <row r="1269" spans="1:1">
      <c r="A1269" s="176"/>
    </row>
    <row r="1270" spans="1:1">
      <c r="A1270" s="176"/>
    </row>
    <row r="1271" spans="1:1">
      <c r="A1271" s="176"/>
    </row>
    <row r="1272" spans="1:1">
      <c r="A1272" s="176"/>
    </row>
    <row r="1273" spans="1:1">
      <c r="A1273" s="176"/>
    </row>
    <row r="1274" spans="1:1">
      <c r="A1274" s="176"/>
    </row>
    <row r="1275" spans="1:1">
      <c r="A1275" s="176"/>
    </row>
    <row r="1276" spans="1:1">
      <c r="A1276" s="176"/>
    </row>
    <row r="1277" spans="1:1">
      <c r="A1277" s="176"/>
    </row>
    <row r="1278" spans="1:1">
      <c r="A1278" s="176"/>
    </row>
    <row r="1279" spans="1:1">
      <c r="A1279" s="176"/>
    </row>
    <row r="1280" spans="1:1">
      <c r="A1280" s="176"/>
    </row>
    <row r="1281" spans="1:1">
      <c r="A1281" s="176"/>
    </row>
    <row r="1282" spans="1:1">
      <c r="A1282" s="176"/>
    </row>
    <row r="1283" spans="1:1">
      <c r="A1283" s="176"/>
    </row>
    <row r="1284" spans="1:1">
      <c r="A1284" s="176"/>
    </row>
    <row r="1285" spans="1:1">
      <c r="A1285" s="176"/>
    </row>
    <row r="1286" spans="1:1">
      <c r="A1286" s="176"/>
    </row>
    <row r="1287" spans="1:1">
      <c r="A1287" s="176"/>
    </row>
    <row r="1288" spans="1:1">
      <c r="A1288" s="176"/>
    </row>
    <row r="1289" spans="1:1">
      <c r="A1289" s="176"/>
    </row>
    <row r="1290" spans="1:1">
      <c r="A1290" s="176"/>
    </row>
    <row r="1291" spans="1:1">
      <c r="A1291" s="176"/>
    </row>
    <row r="1292" spans="1:1">
      <c r="A1292" s="176"/>
    </row>
    <row r="1293" spans="1:1">
      <c r="A1293" s="176"/>
    </row>
    <row r="1294" spans="1:1">
      <c r="A1294" s="176"/>
    </row>
    <row r="1295" spans="1:1">
      <c r="A1295" s="176"/>
    </row>
    <row r="1296" spans="1:1">
      <c r="A1296" s="176"/>
    </row>
    <row r="1297" spans="1:1">
      <c r="A1297" s="176"/>
    </row>
    <row r="1298" spans="1:1">
      <c r="A1298" s="176"/>
    </row>
    <row r="1299" spans="1:1">
      <c r="A1299" s="176"/>
    </row>
    <row r="1300" spans="1:1">
      <c r="A1300" s="176"/>
    </row>
    <row r="1301" spans="1:1">
      <c r="A1301" s="176"/>
    </row>
    <row r="1302" spans="1:1">
      <c r="A1302" s="176"/>
    </row>
    <row r="1303" spans="1:1">
      <c r="A1303" s="176"/>
    </row>
    <row r="1304" spans="1:1">
      <c r="A1304" s="176"/>
    </row>
    <row r="1305" spans="1:1">
      <c r="A1305" s="176"/>
    </row>
    <row r="1306" spans="1:1">
      <c r="A1306" s="176"/>
    </row>
    <row r="1307" spans="1:1">
      <c r="A1307" s="176"/>
    </row>
    <row r="1308" spans="1:1">
      <c r="A1308" s="176"/>
    </row>
    <row r="1309" spans="1:1">
      <c r="A1309" s="176"/>
    </row>
    <row r="1310" spans="1:1">
      <c r="A1310" s="176"/>
    </row>
    <row r="1311" spans="1:1">
      <c r="A1311" s="176"/>
    </row>
    <row r="1312" spans="1:1">
      <c r="A1312" s="176"/>
    </row>
    <row r="1313" spans="1:1">
      <c r="A1313" s="176"/>
    </row>
    <row r="1314" spans="1:1">
      <c r="A1314" s="176"/>
    </row>
    <row r="1315" spans="1:1">
      <c r="A1315" s="176"/>
    </row>
    <row r="1316" spans="1:1">
      <c r="A1316" s="176"/>
    </row>
    <row r="1317" spans="1:1">
      <c r="A1317" s="176"/>
    </row>
    <row r="1318" spans="1:1">
      <c r="A1318" s="176"/>
    </row>
    <row r="1319" spans="1:1">
      <c r="A1319" s="176"/>
    </row>
    <row r="1320" spans="1:1">
      <c r="A1320" s="176"/>
    </row>
    <row r="1321" spans="1:1">
      <c r="A1321" s="176"/>
    </row>
    <row r="1322" spans="1:1">
      <c r="A1322" s="176"/>
    </row>
    <row r="1323" spans="1:1">
      <c r="A1323" s="176"/>
    </row>
    <row r="1324" spans="1:1">
      <c r="A1324" s="176"/>
    </row>
    <row r="1325" spans="1:1">
      <c r="A1325" s="176"/>
    </row>
    <row r="1326" spans="1:1">
      <c r="A1326" s="176"/>
    </row>
    <row r="1327" spans="1:1">
      <c r="A1327" s="176"/>
    </row>
    <row r="1328" spans="1:1">
      <c r="A1328" s="176"/>
    </row>
    <row r="1329" spans="1:1">
      <c r="A1329" s="176"/>
    </row>
    <row r="1330" spans="1:1">
      <c r="A1330" s="176"/>
    </row>
    <row r="1331" spans="1:1">
      <c r="A1331" s="176"/>
    </row>
    <row r="1332" spans="1:1">
      <c r="A1332" s="176"/>
    </row>
    <row r="1333" spans="1:1">
      <c r="A1333" s="176"/>
    </row>
    <row r="1334" spans="1:1">
      <c r="A1334" s="176"/>
    </row>
    <row r="1335" spans="1:1">
      <c r="A1335" s="176"/>
    </row>
    <row r="1336" spans="1:1">
      <c r="A1336" s="176"/>
    </row>
    <row r="1337" spans="1:1">
      <c r="A1337" s="176"/>
    </row>
    <row r="1338" spans="1:1">
      <c r="A1338" s="176"/>
    </row>
    <row r="1339" spans="1:1">
      <c r="A1339" s="176"/>
    </row>
    <row r="1340" spans="1:1">
      <c r="A1340" s="176"/>
    </row>
    <row r="1341" spans="1:1">
      <c r="A1341" s="176"/>
    </row>
    <row r="1342" spans="1:1">
      <c r="A1342" s="176"/>
    </row>
    <row r="1343" spans="1:1">
      <c r="A1343" s="176"/>
    </row>
    <row r="1344" spans="1:1">
      <c r="A1344" s="176"/>
    </row>
    <row r="1345" spans="1:1">
      <c r="A1345" s="176"/>
    </row>
    <row r="1346" spans="1:1">
      <c r="A1346" s="176"/>
    </row>
    <row r="1347" spans="1:1">
      <c r="A1347" s="176"/>
    </row>
    <row r="1348" spans="1:1">
      <c r="A1348" s="176"/>
    </row>
    <row r="1349" spans="1:1">
      <c r="A1349" s="176"/>
    </row>
    <row r="1350" spans="1:1">
      <c r="A1350" s="176"/>
    </row>
    <row r="1351" spans="1:1">
      <c r="A1351" s="176"/>
    </row>
    <row r="1352" spans="1:1">
      <c r="A1352" s="176"/>
    </row>
    <row r="1353" spans="1:1">
      <c r="A1353" s="176"/>
    </row>
    <row r="1354" spans="1:1">
      <c r="A1354" s="176"/>
    </row>
    <row r="1355" spans="1:1">
      <c r="A1355" s="176"/>
    </row>
    <row r="1356" spans="1:1">
      <c r="A1356" s="176"/>
    </row>
    <row r="1357" spans="1:1">
      <c r="A1357" s="176"/>
    </row>
    <row r="1358" spans="1:1">
      <c r="A1358" s="176"/>
    </row>
    <row r="1359" spans="1:1">
      <c r="A1359" s="176"/>
    </row>
    <row r="1360" spans="1:1">
      <c r="A1360" s="176"/>
    </row>
    <row r="1361" spans="1:1">
      <c r="A1361" s="176"/>
    </row>
    <row r="1362" spans="1:1">
      <c r="A1362" s="176"/>
    </row>
    <row r="1363" spans="1:1">
      <c r="A1363" s="176"/>
    </row>
    <row r="1364" spans="1:1">
      <c r="A1364" s="176"/>
    </row>
    <row r="1365" spans="1:1">
      <c r="A1365" s="176"/>
    </row>
    <row r="1366" spans="1:1">
      <c r="A1366" s="176"/>
    </row>
    <row r="1367" spans="1:1">
      <c r="A1367" s="176"/>
    </row>
    <row r="1368" spans="1:1">
      <c r="A1368" s="176"/>
    </row>
    <row r="1369" spans="1:1">
      <c r="A1369" s="176"/>
    </row>
    <row r="1370" spans="1:1">
      <c r="A1370" s="176"/>
    </row>
    <row r="1371" spans="1:1">
      <c r="A1371" s="176"/>
    </row>
    <row r="1372" spans="1:1">
      <c r="A1372" s="176"/>
    </row>
    <row r="1373" spans="1:1">
      <c r="A1373" s="176"/>
    </row>
    <row r="1374" spans="1:1">
      <c r="A1374" s="176"/>
    </row>
    <row r="1375" spans="1:1">
      <c r="A1375" s="176"/>
    </row>
    <row r="1376" spans="1:1">
      <c r="A1376" s="176"/>
    </row>
    <row r="1377" spans="1:1">
      <c r="A1377" s="176"/>
    </row>
    <row r="1378" spans="1:1">
      <c r="A1378" s="176"/>
    </row>
    <row r="1379" spans="1:1">
      <c r="A1379" s="176"/>
    </row>
    <row r="1380" spans="1:1">
      <c r="A1380" s="176"/>
    </row>
    <row r="1381" spans="1:1">
      <c r="A1381" s="176"/>
    </row>
    <row r="1382" spans="1:1">
      <c r="A1382" s="176"/>
    </row>
    <row r="1383" spans="1:1">
      <c r="A1383" s="176"/>
    </row>
    <row r="1384" spans="1:1">
      <c r="A1384" s="176"/>
    </row>
    <row r="1385" spans="1:1">
      <c r="A1385" s="176"/>
    </row>
    <row r="1386" spans="1:1">
      <c r="A1386" s="176"/>
    </row>
    <row r="1387" spans="1:1">
      <c r="A1387" s="176"/>
    </row>
    <row r="1388" spans="1:1">
      <c r="A1388" s="176"/>
    </row>
    <row r="1389" spans="1:1">
      <c r="A1389" s="176"/>
    </row>
    <row r="1390" spans="1:1">
      <c r="A1390" s="176"/>
    </row>
    <row r="1391" spans="1:1">
      <c r="A1391" s="176"/>
    </row>
    <row r="1392" spans="1:1">
      <c r="A1392" s="176"/>
    </row>
    <row r="1393" spans="1:1">
      <c r="A1393" s="176"/>
    </row>
    <row r="1394" spans="1:1">
      <c r="A1394" s="176"/>
    </row>
    <row r="1395" spans="1:1">
      <c r="A1395" s="176"/>
    </row>
    <row r="1396" spans="1:1">
      <c r="A1396" s="176"/>
    </row>
    <row r="1397" spans="1:1">
      <c r="A1397" s="176"/>
    </row>
    <row r="1398" spans="1:1">
      <c r="A1398" s="176"/>
    </row>
    <row r="1399" spans="1:1">
      <c r="A1399" s="176"/>
    </row>
    <row r="1400" spans="1:1">
      <c r="A1400" s="176"/>
    </row>
    <row r="1401" spans="1:1">
      <c r="A1401" s="176"/>
    </row>
    <row r="1402" spans="1:1">
      <c r="A1402" s="176"/>
    </row>
    <row r="1403" spans="1:1">
      <c r="A1403" s="176"/>
    </row>
    <row r="1404" spans="1:1">
      <c r="A1404" s="176"/>
    </row>
    <row r="1405" spans="1:1">
      <c r="A1405" s="176"/>
    </row>
    <row r="1406" spans="1:1">
      <c r="A1406" s="176"/>
    </row>
    <row r="1407" spans="1:1">
      <c r="A1407" s="176"/>
    </row>
    <row r="1408" spans="1:1">
      <c r="A1408" s="176"/>
    </row>
    <row r="1409" spans="1:1">
      <c r="A1409" s="176"/>
    </row>
    <row r="1410" spans="1:1">
      <c r="A1410" s="176"/>
    </row>
    <row r="1411" spans="1:1">
      <c r="A1411" s="176"/>
    </row>
    <row r="1412" spans="1:1">
      <c r="A1412" s="176"/>
    </row>
    <row r="1413" spans="1:1">
      <c r="A1413" s="176"/>
    </row>
    <row r="1414" spans="1:1">
      <c r="A1414" s="176"/>
    </row>
    <row r="1415" spans="1:1">
      <c r="A1415" s="176"/>
    </row>
    <row r="1416" spans="1:1">
      <c r="A1416" s="176"/>
    </row>
    <row r="1417" spans="1:1">
      <c r="A1417" s="176"/>
    </row>
    <row r="1418" spans="1:1">
      <c r="A1418" s="176"/>
    </row>
    <row r="1419" spans="1:1">
      <c r="A1419" s="176"/>
    </row>
    <row r="1420" spans="1:1">
      <c r="A1420" s="176"/>
    </row>
    <row r="1421" spans="1:1">
      <c r="A1421" s="176"/>
    </row>
    <row r="1422" spans="1:1">
      <c r="A1422" s="176"/>
    </row>
    <row r="1423" spans="1:1">
      <c r="A1423" s="176"/>
    </row>
    <row r="1424" spans="1:1">
      <c r="A1424" s="176"/>
    </row>
    <row r="1425" spans="1:1">
      <c r="A1425" s="176"/>
    </row>
    <row r="1426" spans="1:1">
      <c r="A1426" s="176"/>
    </row>
    <row r="1427" spans="1:1">
      <c r="A1427" s="176"/>
    </row>
    <row r="1428" spans="1:1">
      <c r="A1428" s="176"/>
    </row>
    <row r="1429" spans="1:1">
      <c r="A1429" s="176"/>
    </row>
    <row r="1430" spans="1:1">
      <c r="A1430" s="176"/>
    </row>
    <row r="1431" spans="1:1">
      <c r="A1431" s="176"/>
    </row>
    <row r="1432" spans="1:1">
      <c r="A1432" s="176"/>
    </row>
    <row r="1433" spans="1:1">
      <c r="A1433" s="176"/>
    </row>
    <row r="1434" spans="1:1">
      <c r="A1434" s="176"/>
    </row>
    <row r="1435" spans="1:1">
      <c r="A1435" s="176"/>
    </row>
    <row r="1436" spans="1:1">
      <c r="A1436" s="176"/>
    </row>
    <row r="1437" spans="1:1">
      <c r="A1437" s="176"/>
    </row>
    <row r="1438" spans="1:1">
      <c r="A1438" s="176"/>
    </row>
    <row r="1439" spans="1:1">
      <c r="A1439" s="176"/>
    </row>
    <row r="1440" spans="1:1">
      <c r="A1440" s="176"/>
    </row>
    <row r="1441" spans="1:1">
      <c r="A1441" s="176"/>
    </row>
    <row r="1442" spans="1:1">
      <c r="A1442" s="176"/>
    </row>
    <row r="1443" spans="1:1">
      <c r="A1443" s="176"/>
    </row>
    <row r="1444" spans="1:1">
      <c r="A1444" s="176"/>
    </row>
    <row r="1445" spans="1:1">
      <c r="A1445" s="176"/>
    </row>
    <row r="1446" spans="1:1">
      <c r="A1446" s="176"/>
    </row>
    <row r="1447" spans="1:1">
      <c r="A1447" s="176"/>
    </row>
    <row r="1448" spans="1:1">
      <c r="A1448" s="176"/>
    </row>
    <row r="1449" spans="1:1">
      <c r="A1449" s="176"/>
    </row>
    <row r="1450" spans="1:1">
      <c r="A1450" s="176"/>
    </row>
    <row r="1451" spans="1:1">
      <c r="A1451" s="176"/>
    </row>
    <row r="1452" spans="1:1">
      <c r="A1452" s="176"/>
    </row>
    <row r="1453" spans="1:1">
      <c r="A1453" s="176"/>
    </row>
    <row r="1454" spans="1:1">
      <c r="A1454" s="176"/>
    </row>
    <row r="1455" spans="1:1">
      <c r="A1455" s="176"/>
    </row>
    <row r="1456" spans="1:1">
      <c r="A1456" s="176"/>
    </row>
    <row r="1457" spans="1:1">
      <c r="A1457" s="176"/>
    </row>
    <row r="1458" spans="1:1">
      <c r="A1458" s="176"/>
    </row>
    <row r="1459" spans="1:1">
      <c r="A1459" s="176"/>
    </row>
    <row r="1460" spans="1:1">
      <c r="A1460" s="176"/>
    </row>
    <row r="1461" spans="1:1">
      <c r="A1461" s="176"/>
    </row>
    <row r="1462" spans="1:1">
      <c r="A1462" s="176"/>
    </row>
    <row r="1463" spans="1:1">
      <c r="A1463" s="176"/>
    </row>
    <row r="1464" spans="1:1">
      <c r="A1464" s="176"/>
    </row>
    <row r="1465" spans="1:1">
      <c r="A1465" s="176"/>
    </row>
    <row r="1466" spans="1:1">
      <c r="A1466" s="176"/>
    </row>
    <row r="1467" spans="1:1">
      <c r="A1467" s="176"/>
    </row>
    <row r="1468" spans="1:1">
      <c r="A1468" s="176"/>
    </row>
    <row r="1469" spans="1:1">
      <c r="A1469" s="176"/>
    </row>
    <row r="1470" spans="1:1">
      <c r="A1470" s="176"/>
    </row>
    <row r="1471" spans="1:1">
      <c r="A1471" s="176"/>
    </row>
    <row r="1472" spans="1:1">
      <c r="A1472" s="176"/>
    </row>
    <row r="1473" spans="1:1">
      <c r="A1473" s="176"/>
    </row>
    <row r="1474" spans="1:1">
      <c r="A1474" s="176"/>
    </row>
    <row r="1475" spans="1:1">
      <c r="A1475" s="176"/>
    </row>
    <row r="1476" spans="1:1">
      <c r="A1476" s="176"/>
    </row>
    <row r="1477" spans="1:1">
      <c r="A1477" s="176"/>
    </row>
    <row r="1478" spans="1:1">
      <c r="A1478" s="176"/>
    </row>
    <row r="1479" spans="1:1">
      <c r="A1479" s="176"/>
    </row>
    <row r="1480" spans="1:1">
      <c r="A1480" s="176"/>
    </row>
    <row r="1481" spans="1:1">
      <c r="A1481" s="176"/>
    </row>
    <row r="1482" spans="1:1">
      <c r="A1482" s="176"/>
    </row>
    <row r="1483" spans="1:1">
      <c r="A1483" s="176"/>
    </row>
    <row r="1484" spans="1:1">
      <c r="A1484" s="176"/>
    </row>
    <row r="1485" spans="1:1">
      <c r="A1485" s="176"/>
    </row>
    <row r="1486" spans="1:1">
      <c r="A1486" s="176"/>
    </row>
    <row r="1487" spans="1:1">
      <c r="A1487" s="176"/>
    </row>
    <row r="1488" spans="1:1">
      <c r="A1488" s="176"/>
    </row>
    <row r="1489" spans="1:1">
      <c r="A1489" s="176"/>
    </row>
    <row r="1490" spans="1:1">
      <c r="A1490" s="176"/>
    </row>
    <row r="1491" spans="1:1">
      <c r="A1491" s="176"/>
    </row>
    <row r="1492" spans="1:1">
      <c r="A1492" s="176"/>
    </row>
    <row r="1493" spans="1:1">
      <c r="A1493" s="176"/>
    </row>
    <row r="1494" spans="1:1">
      <c r="A1494" s="176"/>
    </row>
    <row r="1495" spans="1:1">
      <c r="A1495" s="176"/>
    </row>
    <row r="1496" spans="1:1">
      <c r="A1496" s="176"/>
    </row>
    <row r="1497" spans="1:1">
      <c r="A1497" s="176"/>
    </row>
    <row r="1498" spans="1:1">
      <c r="A1498" s="176"/>
    </row>
    <row r="1499" spans="1:1">
      <c r="A1499" s="176"/>
    </row>
    <row r="1500" spans="1:1">
      <c r="A1500" s="176"/>
    </row>
    <row r="1501" spans="1:1">
      <c r="A1501" s="176"/>
    </row>
    <row r="1502" spans="1:1">
      <c r="A1502" s="176"/>
    </row>
    <row r="1503" spans="1:1">
      <c r="A1503" s="176"/>
    </row>
    <row r="1504" spans="1:1">
      <c r="A1504" s="176"/>
    </row>
    <row r="1505" spans="1:1">
      <c r="A1505" s="176"/>
    </row>
    <row r="1506" spans="1:1">
      <c r="A1506" s="176"/>
    </row>
    <row r="1507" spans="1:1">
      <c r="A1507" s="176"/>
    </row>
    <row r="1508" spans="1:1">
      <c r="A1508" s="176"/>
    </row>
    <row r="1509" spans="1:1">
      <c r="A1509" s="176"/>
    </row>
    <row r="1510" spans="1:1">
      <c r="A1510" s="176"/>
    </row>
    <row r="1511" spans="1:1">
      <c r="A1511" s="176"/>
    </row>
    <row r="1512" spans="1:1">
      <c r="A1512" s="176"/>
    </row>
    <row r="1513" spans="1:1">
      <c r="A1513" s="176"/>
    </row>
    <row r="1514" spans="1:1">
      <c r="A1514" s="176"/>
    </row>
    <row r="1515" spans="1:1">
      <c r="A1515" s="176"/>
    </row>
    <row r="1516" spans="1:1">
      <c r="A1516" s="176"/>
    </row>
    <row r="1517" spans="1:1">
      <c r="A1517" s="176"/>
    </row>
    <row r="1518" spans="1:1">
      <c r="A1518" s="176"/>
    </row>
    <row r="1519" spans="1:1">
      <c r="A1519" s="176"/>
    </row>
    <row r="1520" spans="1:1">
      <c r="A1520" s="176"/>
    </row>
    <row r="1521" spans="1:1">
      <c r="A1521" s="176"/>
    </row>
    <row r="1522" spans="1:1">
      <c r="A1522" s="176"/>
    </row>
    <row r="1523" spans="1:1">
      <c r="A1523" s="176"/>
    </row>
    <row r="1524" spans="1:1">
      <c r="A1524" s="176"/>
    </row>
    <row r="1525" spans="1:1">
      <c r="A1525" s="176"/>
    </row>
    <row r="1526" spans="1:1">
      <c r="A1526" s="176"/>
    </row>
    <row r="1527" spans="1:1">
      <c r="A1527" s="176"/>
    </row>
    <row r="1528" spans="1:1">
      <c r="A1528" s="176"/>
    </row>
    <row r="1529" spans="1:1">
      <c r="A1529" s="176"/>
    </row>
    <row r="1530" spans="1:1">
      <c r="A1530" s="176"/>
    </row>
    <row r="1531" spans="1:1">
      <c r="A1531" s="176"/>
    </row>
    <row r="1532" spans="1:1">
      <c r="A1532" s="176"/>
    </row>
    <row r="1533" spans="1:1">
      <c r="A1533" s="176"/>
    </row>
    <row r="1534" spans="1:1">
      <c r="A1534" s="176"/>
    </row>
    <row r="1535" spans="1:1">
      <c r="A1535" s="176"/>
    </row>
    <row r="1536" spans="1:1">
      <c r="A1536" s="176"/>
    </row>
    <row r="1537" spans="1:1">
      <c r="A1537" s="176"/>
    </row>
    <row r="1538" spans="1:1">
      <c r="A1538" s="176"/>
    </row>
    <row r="1539" spans="1:1">
      <c r="A1539" s="176"/>
    </row>
    <row r="1540" spans="1:1">
      <c r="A1540" s="176"/>
    </row>
    <row r="1541" spans="1:1">
      <c r="A1541" s="176"/>
    </row>
    <row r="1542" spans="1:1">
      <c r="A1542" s="176"/>
    </row>
    <row r="1543" spans="1:1">
      <c r="A1543" s="176"/>
    </row>
    <row r="1544" spans="1:1">
      <c r="A1544" s="176"/>
    </row>
    <row r="1545" spans="1:1">
      <c r="A1545" s="176"/>
    </row>
    <row r="1546" spans="1:1">
      <c r="A1546" s="176"/>
    </row>
    <row r="1547" spans="1:1">
      <c r="A1547" s="176"/>
    </row>
    <row r="1548" spans="1:1">
      <c r="A1548" s="176"/>
    </row>
    <row r="1549" spans="1:1">
      <c r="A1549" s="176"/>
    </row>
    <row r="1550" spans="1:1">
      <c r="A1550" s="176"/>
    </row>
    <row r="1551" spans="1:1">
      <c r="A1551" s="176"/>
    </row>
    <row r="1552" spans="1:1">
      <c r="A1552" s="176"/>
    </row>
    <row r="1553" spans="1:1">
      <c r="A1553" s="176"/>
    </row>
    <row r="1554" spans="1:1">
      <c r="A1554" s="176"/>
    </row>
    <row r="1555" spans="1:1">
      <c r="A1555" s="176"/>
    </row>
    <row r="1556" spans="1:1">
      <c r="A1556" s="176"/>
    </row>
    <row r="1557" spans="1:1">
      <c r="A1557" s="176"/>
    </row>
    <row r="1558" spans="1:1">
      <c r="A1558" s="176"/>
    </row>
    <row r="1559" spans="1:1">
      <c r="A1559" s="176"/>
    </row>
    <row r="1560" spans="1:1">
      <c r="A1560" s="176"/>
    </row>
    <row r="1561" spans="1:1">
      <c r="A1561" s="176"/>
    </row>
    <row r="1562" spans="1:1">
      <c r="A1562" s="176"/>
    </row>
    <row r="1563" spans="1:1">
      <c r="A1563" s="176"/>
    </row>
    <row r="1564" spans="1:1">
      <c r="A1564" s="176"/>
    </row>
    <row r="1565" spans="1:1">
      <c r="A1565" s="176"/>
    </row>
    <row r="1566" spans="1:1">
      <c r="A1566" s="176"/>
    </row>
    <row r="1567" spans="1:1">
      <c r="A1567" s="176"/>
    </row>
    <row r="1568" spans="1:1">
      <c r="A1568" s="176"/>
    </row>
    <row r="1569" spans="1:1">
      <c r="A1569" s="176"/>
    </row>
    <row r="1570" spans="1:1">
      <c r="A1570" s="176"/>
    </row>
    <row r="1571" spans="1:1">
      <c r="A1571" s="176"/>
    </row>
    <row r="1572" spans="1:1">
      <c r="A1572" s="176"/>
    </row>
    <row r="1573" spans="1:1">
      <c r="A1573" s="176"/>
    </row>
    <row r="1574" spans="1:1">
      <c r="A1574" s="176"/>
    </row>
    <row r="1575" spans="1:1">
      <c r="A1575" s="176"/>
    </row>
    <row r="1576" spans="1:1">
      <c r="A1576" s="176"/>
    </row>
    <row r="1577" spans="1:1">
      <c r="A1577" s="176"/>
    </row>
    <row r="1578" spans="1:1">
      <c r="A1578" s="176"/>
    </row>
    <row r="1579" spans="1:1">
      <c r="A1579" s="176"/>
    </row>
    <row r="1580" spans="1:1">
      <c r="A1580" s="176"/>
    </row>
    <row r="1581" spans="1:1">
      <c r="A1581" s="176"/>
    </row>
    <row r="1582" spans="1:1">
      <c r="A1582" s="176"/>
    </row>
    <row r="1583" spans="1:1">
      <c r="A1583" s="176"/>
    </row>
    <row r="1584" spans="1:1">
      <c r="A1584" s="176"/>
    </row>
    <row r="1585" spans="1:1">
      <c r="A1585" s="176"/>
    </row>
    <row r="1586" spans="1:1">
      <c r="A1586" s="176"/>
    </row>
    <row r="1587" spans="1:1">
      <c r="A1587" s="176"/>
    </row>
    <row r="1588" spans="1:1">
      <c r="A1588" s="176"/>
    </row>
    <row r="1589" spans="1:1">
      <c r="A1589" s="176"/>
    </row>
    <row r="1590" spans="1:1">
      <c r="A1590" s="176"/>
    </row>
    <row r="1591" spans="1:1">
      <c r="A1591" s="176"/>
    </row>
    <row r="1592" spans="1:1">
      <c r="A1592" s="176"/>
    </row>
    <row r="1593" spans="1:1">
      <c r="A1593" s="176"/>
    </row>
    <row r="1594" spans="1:1">
      <c r="A1594" s="176"/>
    </row>
    <row r="1595" spans="1:1">
      <c r="A1595" s="176"/>
    </row>
    <row r="1596" spans="1:1">
      <c r="A1596" s="176"/>
    </row>
    <row r="1597" spans="1:1">
      <c r="A1597" s="176"/>
    </row>
    <row r="1598" spans="1:1">
      <c r="A1598" s="176"/>
    </row>
    <row r="1599" spans="1:1">
      <c r="A1599" s="176"/>
    </row>
    <row r="1600" spans="1:1">
      <c r="A1600" s="176"/>
    </row>
    <row r="1601" spans="1:1">
      <c r="A1601" s="176"/>
    </row>
    <row r="1602" spans="1:1">
      <c r="A1602" s="176"/>
    </row>
    <row r="1603" spans="1:1">
      <c r="A1603" s="176"/>
    </row>
    <row r="1604" spans="1:1">
      <c r="A1604" s="176"/>
    </row>
    <row r="1605" spans="1:1">
      <c r="A1605" s="176"/>
    </row>
    <row r="1606" spans="1:1">
      <c r="A1606" s="176"/>
    </row>
    <row r="1607" spans="1:1">
      <c r="A1607" s="176"/>
    </row>
    <row r="1608" spans="1:1">
      <c r="A1608" s="176"/>
    </row>
    <row r="1609" spans="1:1">
      <c r="A1609" s="176"/>
    </row>
    <row r="1610" spans="1:1">
      <c r="A1610" s="176"/>
    </row>
    <row r="1611" spans="1:1">
      <c r="A1611" s="176"/>
    </row>
    <row r="1612" spans="1:1">
      <c r="A1612" s="176"/>
    </row>
    <row r="1613" spans="1:1">
      <c r="A1613" s="176"/>
    </row>
    <row r="1614" spans="1:1">
      <c r="A1614" s="176"/>
    </row>
    <row r="1615" spans="1:1">
      <c r="A1615" s="176"/>
    </row>
    <row r="1616" spans="1:1">
      <c r="A1616" s="176"/>
    </row>
    <row r="1617" spans="1:1">
      <c r="A1617" s="176"/>
    </row>
    <row r="1618" spans="1:1">
      <c r="A1618" s="176"/>
    </row>
    <row r="1619" spans="1:1">
      <c r="A1619" s="176"/>
    </row>
    <row r="1620" spans="1:1">
      <c r="A1620" s="176"/>
    </row>
    <row r="1621" spans="1:1">
      <c r="A1621" s="176"/>
    </row>
    <row r="1622" spans="1:1">
      <c r="A1622" s="176"/>
    </row>
    <row r="1623" spans="1:1">
      <c r="A1623" s="176"/>
    </row>
    <row r="1624" spans="1:1">
      <c r="A1624" s="176"/>
    </row>
    <row r="1625" spans="1:1">
      <c r="A1625" s="176"/>
    </row>
    <row r="1626" spans="1:1">
      <c r="A1626" s="176"/>
    </row>
    <row r="1627" spans="1:1">
      <c r="A1627" s="176"/>
    </row>
    <row r="1628" spans="1:1">
      <c r="A1628" s="176"/>
    </row>
    <row r="1629" spans="1:1">
      <c r="A1629" s="176"/>
    </row>
    <row r="1630" spans="1:1">
      <c r="A1630" s="176"/>
    </row>
    <row r="1631" spans="1:1">
      <c r="A1631" s="176"/>
    </row>
    <row r="1632" spans="1:1">
      <c r="A1632" s="176"/>
    </row>
    <row r="1633" spans="1:1">
      <c r="A1633" s="176"/>
    </row>
    <row r="1634" spans="1:1">
      <c r="A1634" s="176"/>
    </row>
    <row r="1635" spans="1:1">
      <c r="A1635" s="176"/>
    </row>
    <row r="1636" spans="1:1">
      <c r="A1636" s="176"/>
    </row>
    <row r="1637" spans="1:1">
      <c r="A1637" s="176"/>
    </row>
    <row r="1638" spans="1:1">
      <c r="A1638" s="176"/>
    </row>
    <row r="1639" spans="1:1">
      <c r="A1639" s="176"/>
    </row>
    <row r="1640" spans="1:1">
      <c r="A1640" s="176"/>
    </row>
    <row r="1641" spans="1:1">
      <c r="A1641" s="176"/>
    </row>
    <row r="1642" spans="1:1">
      <c r="A1642" s="176"/>
    </row>
    <row r="1643" spans="1:1">
      <c r="A1643" s="176"/>
    </row>
    <row r="1644" spans="1:1">
      <c r="A1644" s="176"/>
    </row>
    <row r="1645" spans="1:1">
      <c r="A1645" s="176"/>
    </row>
    <row r="1646" spans="1:1">
      <c r="A1646" s="176"/>
    </row>
    <row r="1647" spans="1:1">
      <c r="A1647" s="176"/>
    </row>
    <row r="1648" spans="1:1">
      <c r="A1648" s="176"/>
    </row>
    <row r="1649" spans="1:1">
      <c r="A1649" s="176"/>
    </row>
    <row r="1650" spans="1:1">
      <c r="A1650" s="176"/>
    </row>
    <row r="1651" spans="1:1">
      <c r="A1651" s="176"/>
    </row>
    <row r="1652" spans="1:1">
      <c r="A1652" s="176"/>
    </row>
    <row r="1653" spans="1:1">
      <c r="A1653" s="176"/>
    </row>
    <row r="1654" spans="1:1">
      <c r="A1654" s="176"/>
    </row>
    <row r="1655" spans="1:1">
      <c r="A1655" s="176"/>
    </row>
    <row r="1656" spans="1:1">
      <c r="A1656" s="176"/>
    </row>
    <row r="1657" spans="1:1">
      <c r="A1657" s="176"/>
    </row>
    <row r="1658" spans="1:1">
      <c r="A1658" s="176"/>
    </row>
    <row r="1659" spans="1:1">
      <c r="A1659" s="176"/>
    </row>
    <row r="1660" spans="1:1">
      <c r="A1660" s="176"/>
    </row>
    <row r="1661" spans="1:1">
      <c r="A1661" s="176"/>
    </row>
    <row r="1662" spans="1:1">
      <c r="A1662" s="176"/>
    </row>
    <row r="1663" spans="1:1">
      <c r="A1663" s="176"/>
    </row>
    <row r="1664" spans="1:1">
      <c r="A1664" s="176"/>
    </row>
    <row r="1665" spans="1:1">
      <c r="A1665" s="176"/>
    </row>
    <row r="1666" spans="1:1">
      <c r="A1666" s="176"/>
    </row>
    <row r="1667" spans="1:1">
      <c r="A1667" s="176"/>
    </row>
    <row r="1668" spans="1:1">
      <c r="A1668" s="176"/>
    </row>
    <row r="1669" spans="1:1">
      <c r="A1669" s="176"/>
    </row>
    <row r="1670" spans="1:1">
      <c r="A1670" s="176"/>
    </row>
    <row r="1671" spans="1:1">
      <c r="A1671" s="176"/>
    </row>
    <row r="1672" spans="1:1">
      <c r="A1672" s="176"/>
    </row>
    <row r="1673" spans="1:1">
      <c r="A1673" s="176"/>
    </row>
    <row r="1674" spans="1:1">
      <c r="A1674" s="176"/>
    </row>
    <row r="1675" spans="1:1">
      <c r="A1675" s="176"/>
    </row>
    <row r="1676" spans="1:1">
      <c r="A1676" s="176"/>
    </row>
    <row r="1677" spans="1:1">
      <c r="A1677" s="176"/>
    </row>
    <row r="1678" spans="1:1">
      <c r="A1678" s="176"/>
    </row>
    <row r="1679" spans="1:1">
      <c r="A1679" s="176"/>
    </row>
    <row r="1680" spans="1:1">
      <c r="A1680" s="176"/>
    </row>
    <row r="1681" spans="1:1">
      <c r="A1681" s="176"/>
    </row>
    <row r="1682" spans="1:1">
      <c r="A1682" s="176"/>
    </row>
    <row r="1683" spans="1:1">
      <c r="A1683" s="176"/>
    </row>
    <row r="1684" spans="1:1">
      <c r="A1684" s="176"/>
    </row>
    <row r="1685" spans="1:1">
      <c r="A1685" s="176"/>
    </row>
    <row r="1686" spans="1:1">
      <c r="A1686" s="176"/>
    </row>
    <row r="1687" spans="1:1">
      <c r="A1687" s="176"/>
    </row>
    <row r="1688" spans="1:1">
      <c r="A1688" s="176"/>
    </row>
    <row r="1689" spans="1:1">
      <c r="A1689" s="176"/>
    </row>
    <row r="1690" spans="1:1">
      <c r="A1690" s="176"/>
    </row>
    <row r="1691" spans="1:1">
      <c r="A1691" s="176"/>
    </row>
    <row r="1692" spans="1:1">
      <c r="A1692" s="176"/>
    </row>
    <row r="1693" spans="1:1">
      <c r="A1693" s="176"/>
    </row>
    <row r="1694" spans="1:1">
      <c r="A1694" s="176"/>
    </row>
    <row r="1695" spans="1:1">
      <c r="A1695" s="176"/>
    </row>
    <row r="1696" spans="1:1">
      <c r="A1696" s="176"/>
    </row>
    <row r="1697" spans="1:1">
      <c r="A1697" s="176"/>
    </row>
    <row r="1698" spans="1:1">
      <c r="A1698" s="176"/>
    </row>
    <row r="1699" spans="1:1">
      <c r="A1699" s="176"/>
    </row>
    <row r="1700" spans="1:1">
      <c r="A1700" s="176"/>
    </row>
    <row r="1701" spans="1:1">
      <c r="A1701" s="176"/>
    </row>
    <row r="1702" spans="1:1">
      <c r="A1702" s="176"/>
    </row>
    <row r="1703" spans="1:1">
      <c r="A1703" s="176"/>
    </row>
    <row r="1704" spans="1:1">
      <c r="A1704" s="176"/>
    </row>
    <row r="1705" spans="1:1">
      <c r="A1705" s="176"/>
    </row>
    <row r="1706" spans="1:1">
      <c r="A1706" s="176"/>
    </row>
    <row r="1707" spans="1:1">
      <c r="A1707" s="176"/>
    </row>
    <row r="1708" spans="1:1">
      <c r="A1708" s="176"/>
    </row>
    <row r="1709" spans="1:1">
      <c r="A1709" s="176"/>
    </row>
    <row r="1710" spans="1:1">
      <c r="A1710" s="176"/>
    </row>
    <row r="1711" spans="1:1">
      <c r="A1711" s="176"/>
    </row>
    <row r="1712" spans="1:1">
      <c r="A1712" s="176"/>
    </row>
    <row r="1713" spans="1:1">
      <c r="A1713" s="176"/>
    </row>
    <row r="1714" spans="1:1">
      <c r="A1714" s="176"/>
    </row>
    <row r="1715" spans="1:1">
      <c r="A1715" s="176"/>
    </row>
    <row r="1716" spans="1:1">
      <c r="A1716" s="176"/>
    </row>
    <row r="1717" spans="1:1">
      <c r="A1717" s="176"/>
    </row>
    <row r="1718" spans="1:1">
      <c r="A1718" s="176"/>
    </row>
    <row r="1719" spans="1:1">
      <c r="A1719" s="176"/>
    </row>
    <row r="1720" spans="1:1">
      <c r="A1720" s="176"/>
    </row>
    <row r="1721" spans="1:1">
      <c r="A1721" s="176"/>
    </row>
    <row r="1722" spans="1:1">
      <c r="A1722" s="176"/>
    </row>
    <row r="1723" spans="1:1">
      <c r="A1723" s="176"/>
    </row>
    <row r="1724" spans="1:1">
      <c r="A1724" s="176"/>
    </row>
    <row r="1725" spans="1:1">
      <c r="A1725" s="176"/>
    </row>
    <row r="1726" spans="1:1">
      <c r="A1726" s="176"/>
    </row>
    <row r="1727" spans="1:1">
      <c r="A1727" s="176"/>
    </row>
    <row r="1728" spans="1:1">
      <c r="A1728" s="176"/>
    </row>
    <row r="1729" spans="1:1">
      <c r="A1729" s="176"/>
    </row>
    <row r="1730" spans="1:1">
      <c r="A1730" s="176"/>
    </row>
    <row r="1731" spans="1:1">
      <c r="A1731" s="176"/>
    </row>
    <row r="1732" spans="1:1">
      <c r="A1732" s="176"/>
    </row>
    <row r="1733" spans="1:1">
      <c r="A1733" s="176"/>
    </row>
    <row r="1734" spans="1:1">
      <c r="A1734" s="176"/>
    </row>
    <row r="1735" spans="1:1">
      <c r="A1735" s="176"/>
    </row>
    <row r="1736" spans="1:1">
      <c r="A1736" s="176"/>
    </row>
    <row r="1737" spans="1:1">
      <c r="A1737" s="176"/>
    </row>
    <row r="1738" spans="1:1">
      <c r="A1738" s="176"/>
    </row>
    <row r="1739" spans="1:1">
      <c r="A1739" s="176"/>
    </row>
    <row r="1740" spans="1:1">
      <c r="A1740" s="176"/>
    </row>
    <row r="1741" spans="1:1">
      <c r="A1741" s="176"/>
    </row>
    <row r="1742" spans="1:1">
      <c r="A1742" s="176"/>
    </row>
    <row r="1743" spans="1:1">
      <c r="A1743" s="176"/>
    </row>
    <row r="1744" spans="1:1">
      <c r="A1744" s="176"/>
    </row>
    <row r="1745" spans="1:1">
      <c r="A1745" s="176"/>
    </row>
    <row r="1746" spans="1:1">
      <c r="A1746" s="176"/>
    </row>
    <row r="1747" spans="1:1">
      <c r="A1747" s="176"/>
    </row>
    <row r="1748" spans="1:1">
      <c r="A1748" s="176"/>
    </row>
    <row r="1749" spans="1:1">
      <c r="A1749" s="176"/>
    </row>
    <row r="1750" spans="1:1">
      <c r="A1750" s="176"/>
    </row>
    <row r="1751" spans="1:1">
      <c r="A1751" s="176"/>
    </row>
    <row r="1752" spans="1:1">
      <c r="A1752" s="176"/>
    </row>
    <row r="1753" spans="1:1">
      <c r="A1753" s="176"/>
    </row>
    <row r="1754" spans="1:1">
      <c r="A1754" s="176"/>
    </row>
    <row r="1755" spans="1:1">
      <c r="A1755" s="176"/>
    </row>
    <row r="1756" spans="1:1">
      <c r="A1756" s="176"/>
    </row>
    <row r="1757" spans="1:1">
      <c r="A1757" s="176"/>
    </row>
    <row r="1758" spans="1:1">
      <c r="A1758" s="176"/>
    </row>
    <row r="1759" spans="1:1">
      <c r="A1759" s="176"/>
    </row>
    <row r="1760" spans="1:1">
      <c r="A1760" s="176"/>
    </row>
    <row r="1761" spans="1:1">
      <c r="A1761" s="176"/>
    </row>
    <row r="1762" spans="1:1">
      <c r="A1762" s="176"/>
    </row>
    <row r="1763" spans="1:1">
      <c r="A1763" s="176"/>
    </row>
    <row r="1764" spans="1:1">
      <c r="A1764" s="176"/>
    </row>
    <row r="1765" spans="1:1">
      <c r="A1765" s="176"/>
    </row>
    <row r="1766" spans="1:1">
      <c r="A1766" s="176"/>
    </row>
    <row r="1767" spans="1:1">
      <c r="A1767" s="176"/>
    </row>
    <row r="1768" spans="1:1">
      <c r="A1768" s="176"/>
    </row>
    <row r="1769" spans="1:1">
      <c r="A1769" s="176"/>
    </row>
    <row r="1770" spans="1:1">
      <c r="A1770" s="176"/>
    </row>
    <row r="1771" spans="1:1">
      <c r="A1771" s="176"/>
    </row>
    <row r="1772" spans="1:1">
      <c r="A1772" s="176"/>
    </row>
    <row r="1773" spans="1:1">
      <c r="A1773" s="176"/>
    </row>
    <row r="1774" spans="1:1">
      <c r="A1774" s="176"/>
    </row>
    <row r="1775" spans="1:1">
      <c r="A1775" s="176"/>
    </row>
    <row r="1776" spans="1:1">
      <c r="A1776" s="176"/>
    </row>
    <row r="1777" spans="1:1">
      <c r="A1777" s="176"/>
    </row>
    <row r="1778" spans="1:1">
      <c r="A1778" s="176"/>
    </row>
    <row r="1779" spans="1:1">
      <c r="A1779" s="176"/>
    </row>
    <row r="1780" spans="1:1">
      <c r="A1780" s="176"/>
    </row>
    <row r="1781" spans="1:1">
      <c r="A1781" s="176"/>
    </row>
    <row r="1782" spans="1:1">
      <c r="A1782" s="176"/>
    </row>
    <row r="1783" spans="1:1">
      <c r="A1783" s="176"/>
    </row>
    <row r="1784" spans="1:1">
      <c r="A1784" s="176"/>
    </row>
    <row r="1785" spans="1:1">
      <c r="A1785" s="176"/>
    </row>
    <row r="1786" spans="1:1">
      <c r="A1786" s="176"/>
    </row>
    <row r="1787" spans="1:1">
      <c r="A1787" s="176"/>
    </row>
    <row r="1788" spans="1:1">
      <c r="A1788" s="176"/>
    </row>
    <row r="1789" spans="1:1">
      <c r="A1789" s="176"/>
    </row>
    <row r="1790" spans="1:1">
      <c r="A1790" s="176"/>
    </row>
    <row r="1791" spans="1:1">
      <c r="A1791" s="176"/>
    </row>
    <row r="1792" spans="1:1">
      <c r="A1792" s="176"/>
    </row>
    <row r="1793" spans="1:1">
      <c r="A1793" s="176"/>
    </row>
    <row r="1794" spans="1:1">
      <c r="A1794" s="176"/>
    </row>
    <row r="1795" spans="1:1">
      <c r="A1795" s="176"/>
    </row>
    <row r="1796" spans="1:1">
      <c r="A1796" s="176"/>
    </row>
    <row r="1797" spans="1:1">
      <c r="A1797" s="176"/>
    </row>
    <row r="1798" spans="1:1">
      <c r="A1798" s="176"/>
    </row>
    <row r="1799" spans="1:1">
      <c r="A1799" s="176"/>
    </row>
    <row r="1800" spans="1:1">
      <c r="A1800" s="176"/>
    </row>
    <row r="1801" spans="1:1">
      <c r="A1801" s="176"/>
    </row>
    <row r="1802" spans="1:1">
      <c r="A1802" s="176"/>
    </row>
    <row r="1803" spans="1:1">
      <c r="A1803" s="176"/>
    </row>
    <row r="1804" spans="1:1">
      <c r="A1804" s="176"/>
    </row>
    <row r="1805" spans="1:1">
      <c r="A1805" s="176"/>
    </row>
    <row r="1806" spans="1:1">
      <c r="A1806" s="176"/>
    </row>
    <row r="1807" spans="1:1">
      <c r="A1807" s="176"/>
    </row>
    <row r="1808" spans="1:1">
      <c r="A1808" s="176"/>
    </row>
    <row r="1809" spans="1:1">
      <c r="A1809" s="176"/>
    </row>
    <row r="1810" spans="1:1">
      <c r="A1810" s="176"/>
    </row>
    <row r="1811" spans="1:1">
      <c r="A1811" s="176"/>
    </row>
    <row r="1812" spans="1:1">
      <c r="A1812" s="176"/>
    </row>
    <row r="1813" spans="1:1">
      <c r="A1813" s="176"/>
    </row>
    <row r="1814" spans="1:1">
      <c r="A1814" s="176"/>
    </row>
    <row r="1815" spans="1:1">
      <c r="A1815" s="176"/>
    </row>
    <row r="1816" spans="1:1">
      <c r="A1816" s="176"/>
    </row>
    <row r="1817" spans="1:1">
      <c r="A1817" s="176"/>
    </row>
    <row r="1818" spans="1:1">
      <c r="A1818" s="176"/>
    </row>
    <row r="1819" spans="1:1">
      <c r="A1819" s="176"/>
    </row>
    <row r="1820" spans="1:1">
      <c r="A1820" s="176"/>
    </row>
    <row r="1821" spans="1:1">
      <c r="A1821" s="176"/>
    </row>
    <row r="1822" spans="1:1">
      <c r="A1822" s="176"/>
    </row>
    <row r="1823" spans="1:1">
      <c r="A1823" s="176"/>
    </row>
    <row r="1824" spans="1:1">
      <c r="A1824" s="176"/>
    </row>
    <row r="1825" spans="1:1">
      <c r="A1825" s="176"/>
    </row>
    <row r="1826" spans="1:1">
      <c r="A1826" s="176"/>
    </row>
    <row r="1827" spans="1:1">
      <c r="A1827" s="176"/>
    </row>
    <row r="1828" spans="1:1">
      <c r="A1828" s="176"/>
    </row>
    <row r="1829" spans="1:1">
      <c r="A1829" s="176"/>
    </row>
    <row r="1830" spans="1:1">
      <c r="A1830" s="176"/>
    </row>
    <row r="1831" spans="1:1">
      <c r="A1831" s="176"/>
    </row>
    <row r="1832" spans="1:1">
      <c r="A1832" s="176"/>
    </row>
    <row r="1833" spans="1:1">
      <c r="A1833" s="176"/>
    </row>
    <row r="1834" spans="1:1">
      <c r="A1834" s="176"/>
    </row>
    <row r="1835" spans="1:1">
      <c r="A1835" s="176"/>
    </row>
    <row r="1836" spans="1:1">
      <c r="A1836" s="176"/>
    </row>
    <row r="1837" spans="1:1">
      <c r="A1837" s="176"/>
    </row>
    <row r="1838" spans="1:1">
      <c r="A1838" s="176"/>
    </row>
    <row r="1839" spans="1:1">
      <c r="A1839" s="176"/>
    </row>
    <row r="1840" spans="1:1">
      <c r="A1840" s="176"/>
    </row>
    <row r="1841" spans="1:1">
      <c r="A1841" s="176"/>
    </row>
    <row r="1842" spans="1:1">
      <c r="A1842" s="176"/>
    </row>
    <row r="1843" spans="1:1">
      <c r="A1843" s="176"/>
    </row>
    <row r="1844" spans="1:1">
      <c r="A1844" s="176"/>
    </row>
    <row r="1845" spans="1:1">
      <c r="A1845" s="176"/>
    </row>
    <row r="1846" spans="1:1">
      <c r="A1846" s="176"/>
    </row>
    <row r="1847" spans="1:1">
      <c r="A1847" s="176"/>
    </row>
    <row r="1848" spans="1:1">
      <c r="A1848" s="176"/>
    </row>
    <row r="1849" spans="1:1">
      <c r="A1849" s="176"/>
    </row>
    <row r="1850" spans="1:1">
      <c r="A1850" s="176"/>
    </row>
    <row r="1851" spans="1:1">
      <c r="A1851" s="176"/>
    </row>
    <row r="1852" spans="1:1">
      <c r="A1852" s="176"/>
    </row>
    <row r="1853" spans="1:1">
      <c r="A1853" s="176"/>
    </row>
    <row r="1854" spans="1:1">
      <c r="A1854" s="176"/>
    </row>
    <row r="1855" spans="1:1">
      <c r="A1855" s="176"/>
    </row>
    <row r="1856" spans="1:1">
      <c r="A1856" s="176"/>
    </row>
    <row r="1857" spans="1:1">
      <c r="A1857" s="176"/>
    </row>
    <row r="1858" spans="1:1">
      <c r="A1858" s="176"/>
    </row>
    <row r="1859" spans="1:1">
      <c r="A1859" s="176"/>
    </row>
    <row r="1860" spans="1:1">
      <c r="A1860" s="176"/>
    </row>
    <row r="1861" spans="1:1">
      <c r="A1861" s="176"/>
    </row>
    <row r="1862" spans="1:1">
      <c r="A1862" s="176"/>
    </row>
    <row r="1863" spans="1:1">
      <c r="A1863" s="176"/>
    </row>
    <row r="1864" spans="1:1">
      <c r="A1864" s="176"/>
    </row>
    <row r="1865" spans="1:1">
      <c r="A1865" s="176"/>
    </row>
    <row r="1866" spans="1:1">
      <c r="A1866" s="176"/>
    </row>
    <row r="1867" spans="1:1">
      <c r="A1867" s="176"/>
    </row>
    <row r="1868" spans="1:1">
      <c r="A1868" s="176"/>
    </row>
    <row r="1869" spans="1:1">
      <c r="A1869" s="176"/>
    </row>
    <row r="1870" spans="1:1">
      <c r="A1870" s="176"/>
    </row>
    <row r="1871" spans="1:1">
      <c r="A1871" s="176"/>
    </row>
    <row r="1872" spans="1:1">
      <c r="A1872" s="176"/>
    </row>
    <row r="1873" spans="1:1">
      <c r="A1873" s="176"/>
    </row>
    <row r="1874" spans="1:1">
      <c r="A1874" s="176"/>
    </row>
    <row r="1875" spans="1:1">
      <c r="A1875" s="176"/>
    </row>
    <row r="1876" spans="1:1">
      <c r="A1876" s="176"/>
    </row>
    <row r="1877" spans="1:1">
      <c r="A1877" s="176"/>
    </row>
    <row r="1878" spans="1:1">
      <c r="A1878" s="176"/>
    </row>
    <row r="1879" spans="1:1">
      <c r="A1879" s="176"/>
    </row>
    <row r="1880" spans="1:1">
      <c r="A1880" s="176"/>
    </row>
    <row r="1881" spans="1:1">
      <c r="A1881" s="176"/>
    </row>
    <row r="1882" spans="1:1">
      <c r="A1882" s="176"/>
    </row>
    <row r="1883" spans="1:1">
      <c r="A1883" s="176"/>
    </row>
    <row r="1884" spans="1:1">
      <c r="A1884" s="176"/>
    </row>
    <row r="1885" spans="1:1">
      <c r="A1885" s="176"/>
    </row>
    <row r="1886" spans="1:1">
      <c r="A1886" s="176"/>
    </row>
    <row r="1887" spans="1:1">
      <c r="A1887" s="176"/>
    </row>
    <row r="1888" spans="1:1">
      <c r="A1888" s="176"/>
    </row>
    <row r="1889" spans="1:1">
      <c r="A1889" s="176"/>
    </row>
    <row r="1890" spans="1:1">
      <c r="A1890" s="176"/>
    </row>
    <row r="1891" spans="1:1">
      <c r="A1891" s="176"/>
    </row>
    <row r="1892" spans="1:1">
      <c r="A1892" s="176"/>
    </row>
    <row r="1893" spans="1:1">
      <c r="A1893" s="176"/>
    </row>
    <row r="1894" spans="1:1">
      <c r="A1894" s="176"/>
    </row>
    <row r="1895" spans="1:1">
      <c r="A1895" s="176"/>
    </row>
    <row r="1896" spans="1:1">
      <c r="A1896" s="176"/>
    </row>
    <row r="1897" spans="1:1">
      <c r="A1897" s="176"/>
    </row>
    <row r="1898" spans="1:1">
      <c r="A1898" s="176"/>
    </row>
    <row r="1899" spans="1:1">
      <c r="A1899" s="176"/>
    </row>
    <row r="1900" spans="1:1">
      <c r="A1900" s="176"/>
    </row>
    <row r="1901" spans="1:1">
      <c r="A1901" s="176"/>
    </row>
    <row r="1902" spans="1:1">
      <c r="A1902" s="176"/>
    </row>
    <row r="1903" spans="1:1">
      <c r="A1903" s="176"/>
    </row>
    <row r="1904" spans="1:1">
      <c r="A1904" s="176"/>
    </row>
    <row r="1905" spans="1:1">
      <c r="A1905" s="176"/>
    </row>
    <row r="1906" spans="1:1">
      <c r="A1906" s="176"/>
    </row>
    <row r="1907" spans="1:1">
      <c r="A1907" s="176"/>
    </row>
    <row r="1908" spans="1:1">
      <c r="A1908" s="176"/>
    </row>
    <row r="1909" spans="1:1">
      <c r="A1909" s="176"/>
    </row>
    <row r="1910" spans="1:1">
      <c r="A1910" s="176"/>
    </row>
    <row r="1911" spans="1:1">
      <c r="A1911" s="176"/>
    </row>
    <row r="1912" spans="1:1">
      <c r="A1912" s="176"/>
    </row>
    <row r="1913" spans="1:1">
      <c r="A1913" s="176"/>
    </row>
    <row r="1914" spans="1:1">
      <c r="A1914" s="176"/>
    </row>
    <row r="1915" spans="1:1">
      <c r="A1915" s="176"/>
    </row>
    <row r="1916" spans="1:1">
      <c r="A1916" s="176"/>
    </row>
    <row r="1917" spans="1:1">
      <c r="A1917" s="176"/>
    </row>
    <row r="1918" spans="1:1">
      <c r="A1918" s="176"/>
    </row>
    <row r="1919" spans="1:1">
      <c r="A1919" s="176"/>
    </row>
    <row r="1920" spans="1:1">
      <c r="A1920" s="176"/>
    </row>
    <row r="1921" spans="1:1">
      <c r="A1921" s="176"/>
    </row>
    <row r="1922" spans="1:1">
      <c r="A1922" s="176"/>
    </row>
    <row r="1923" spans="1:1">
      <c r="A1923" s="176"/>
    </row>
    <row r="1924" spans="1:1">
      <c r="A1924" s="176"/>
    </row>
    <row r="1925" spans="1:1">
      <c r="A1925" s="176"/>
    </row>
    <row r="1926" spans="1:1">
      <c r="A1926" s="176"/>
    </row>
    <row r="1927" spans="1:1">
      <c r="A1927" s="176"/>
    </row>
    <row r="1928" spans="1:1">
      <c r="A1928" s="176"/>
    </row>
    <row r="1929" spans="1:1">
      <c r="A1929" s="176"/>
    </row>
    <row r="1930" spans="1:1">
      <c r="A1930" s="176"/>
    </row>
    <row r="1931" spans="1:1">
      <c r="A1931" s="176"/>
    </row>
    <row r="1932" spans="1:1">
      <c r="A1932" s="176"/>
    </row>
    <row r="1933" spans="1:1">
      <c r="A1933" s="176"/>
    </row>
    <row r="1934" spans="1:1">
      <c r="A1934" s="176"/>
    </row>
    <row r="1935" spans="1:1">
      <c r="A1935" s="176"/>
    </row>
    <row r="1936" spans="1:1">
      <c r="A1936" s="176"/>
    </row>
    <row r="1937" spans="1:1">
      <c r="A1937" s="176"/>
    </row>
    <row r="1938" spans="1:1">
      <c r="A1938" s="176"/>
    </row>
    <row r="1939" spans="1:1">
      <c r="A1939" s="176"/>
    </row>
    <row r="1940" spans="1:1">
      <c r="A1940" s="176"/>
    </row>
    <row r="1941" spans="1:1">
      <c r="A1941" s="176"/>
    </row>
    <row r="1942" spans="1:1">
      <c r="A1942" s="176"/>
    </row>
    <row r="1943" spans="1:1">
      <c r="A1943" s="176"/>
    </row>
    <row r="1944" spans="1:1">
      <c r="A1944" s="176"/>
    </row>
    <row r="1945" spans="1:1">
      <c r="A1945" s="176"/>
    </row>
    <row r="1946" spans="1:1">
      <c r="A1946" s="176"/>
    </row>
    <row r="1947" spans="1:1">
      <c r="A1947" s="176"/>
    </row>
    <row r="1948" spans="1:1">
      <c r="A1948" s="176"/>
    </row>
    <row r="1949" spans="1:1">
      <c r="A1949" s="176"/>
    </row>
    <row r="1950" spans="1:1">
      <c r="A1950" s="176"/>
    </row>
    <row r="1951" spans="1:1">
      <c r="A1951" s="176"/>
    </row>
    <row r="1952" spans="1:1">
      <c r="A1952" s="176"/>
    </row>
    <row r="1953" spans="1:1">
      <c r="A1953" s="176"/>
    </row>
    <row r="1954" spans="1:1">
      <c r="A1954" s="176"/>
    </row>
    <row r="1955" spans="1:1">
      <c r="A1955" s="176"/>
    </row>
    <row r="1956" spans="1:1">
      <c r="A1956" s="176"/>
    </row>
    <row r="1957" spans="1:1">
      <c r="A1957" s="176"/>
    </row>
    <row r="1958" spans="1:1">
      <c r="A1958" s="176"/>
    </row>
    <row r="1959" spans="1:1">
      <c r="A1959" s="176"/>
    </row>
    <row r="1960" spans="1:1">
      <c r="A1960" s="176"/>
    </row>
    <row r="1961" spans="1:1">
      <c r="A1961" s="176"/>
    </row>
    <row r="1962" spans="1:1">
      <c r="A1962" s="176"/>
    </row>
    <row r="1963" spans="1:1">
      <c r="A1963" s="176"/>
    </row>
    <row r="1964" spans="1:1">
      <c r="A1964" s="176"/>
    </row>
    <row r="1965" spans="1:1">
      <c r="A1965" s="176"/>
    </row>
    <row r="1966" spans="1:1">
      <c r="A1966" s="176"/>
    </row>
    <row r="1967" spans="1:1">
      <c r="A1967" s="176"/>
    </row>
    <row r="1968" spans="1:1">
      <c r="A1968" s="176"/>
    </row>
    <row r="1969" spans="1:1">
      <c r="A1969" s="176"/>
    </row>
    <row r="1970" spans="1:1">
      <c r="A1970" s="176"/>
    </row>
    <row r="1971" spans="1:1">
      <c r="A1971" s="176"/>
    </row>
    <row r="1972" spans="1:1">
      <c r="A1972" s="176"/>
    </row>
    <row r="1973" spans="1:1">
      <c r="A1973" s="176"/>
    </row>
    <row r="1974" spans="1:1">
      <c r="A1974" s="176"/>
    </row>
    <row r="1975" spans="1:1">
      <c r="A1975" s="176"/>
    </row>
    <row r="1976" spans="1:1">
      <c r="A1976" s="176"/>
    </row>
    <row r="1977" spans="1:1">
      <c r="A1977" s="176"/>
    </row>
    <row r="1978" spans="1:1">
      <c r="A1978" s="176"/>
    </row>
    <row r="1979" spans="1:1">
      <c r="A1979" s="176"/>
    </row>
    <row r="1980" spans="1:1">
      <c r="A1980" s="176"/>
    </row>
    <row r="1981" spans="1:1">
      <c r="A1981" s="176"/>
    </row>
    <row r="1982" spans="1:1">
      <c r="A1982" s="176"/>
    </row>
    <row r="1983" spans="1:1">
      <c r="A1983" s="176"/>
    </row>
    <row r="1984" spans="1:1">
      <c r="A1984" s="176"/>
    </row>
    <row r="1985" spans="1:1">
      <c r="A1985" s="176"/>
    </row>
    <row r="1986" spans="1:1">
      <c r="A1986" s="176"/>
    </row>
    <row r="1987" spans="1:1">
      <c r="A1987" s="176"/>
    </row>
    <row r="1988" spans="1:1">
      <c r="A1988" s="176"/>
    </row>
    <row r="1989" spans="1:1">
      <c r="A1989" s="176"/>
    </row>
    <row r="1990" spans="1:1">
      <c r="A1990" s="176"/>
    </row>
    <row r="1991" spans="1:1">
      <c r="A1991" s="176"/>
    </row>
    <row r="1992" spans="1:1">
      <c r="A1992" s="176"/>
    </row>
    <row r="1993" spans="1:1">
      <c r="A1993" s="176"/>
    </row>
    <row r="1994" spans="1:1">
      <c r="A1994" s="176"/>
    </row>
    <row r="1995" spans="1:1">
      <c r="A1995" s="176"/>
    </row>
    <row r="1996" spans="1:1">
      <c r="A1996" s="176"/>
    </row>
    <row r="1997" spans="1:1">
      <c r="A1997" s="176"/>
    </row>
    <row r="1998" spans="1:1">
      <c r="A1998" s="176"/>
    </row>
    <row r="1999" spans="1:1">
      <c r="A1999" s="176"/>
    </row>
    <row r="2000" spans="1:1">
      <c r="A2000" s="176"/>
    </row>
    <row r="2001" spans="1:1">
      <c r="A2001" s="176"/>
    </row>
    <row r="2002" spans="1:1">
      <c r="A2002" s="176"/>
    </row>
    <row r="2003" spans="1:1">
      <c r="A2003" s="176"/>
    </row>
    <row r="2004" spans="1:1">
      <c r="A2004" s="176"/>
    </row>
    <row r="2005" spans="1:1">
      <c r="A2005" s="176"/>
    </row>
    <row r="2006" spans="1:1">
      <c r="A2006" s="176"/>
    </row>
    <row r="2007" spans="1:1">
      <c r="A2007" s="176"/>
    </row>
    <row r="2008" spans="1:1">
      <c r="A2008" s="176"/>
    </row>
    <row r="2009" spans="1:1">
      <c r="A2009" s="176"/>
    </row>
    <row r="2010" spans="1:1">
      <c r="A2010" s="176"/>
    </row>
    <row r="2011" spans="1:1">
      <c r="A2011" s="176"/>
    </row>
    <row r="2012" spans="1:1">
      <c r="A2012" s="176"/>
    </row>
    <row r="2013" spans="1:1">
      <c r="A2013" s="176"/>
    </row>
    <row r="2014" spans="1:1">
      <c r="A2014" s="176"/>
    </row>
    <row r="2015" spans="1:1">
      <c r="A2015" s="176"/>
    </row>
    <row r="2016" spans="1:1">
      <c r="A2016" s="176"/>
    </row>
    <row r="2017" spans="1:1">
      <c r="A2017" s="176"/>
    </row>
    <row r="2018" spans="1:1">
      <c r="A2018" s="176"/>
    </row>
    <row r="2019" spans="1:1">
      <c r="A2019" s="176"/>
    </row>
    <row r="2020" spans="1:1">
      <c r="A2020" s="176"/>
    </row>
    <row r="2021" spans="1:1">
      <c r="A2021" s="176"/>
    </row>
    <row r="2022" spans="1:1">
      <c r="A2022" s="176"/>
    </row>
    <row r="2023" spans="1:1">
      <c r="A2023" s="176"/>
    </row>
    <row r="2024" spans="1:1">
      <c r="A2024" s="176"/>
    </row>
    <row r="2025" spans="1:1">
      <c r="A2025" s="176"/>
    </row>
    <row r="2026" spans="1:1">
      <c r="A2026" s="176"/>
    </row>
    <row r="2027" spans="1:1">
      <c r="A2027" s="176"/>
    </row>
    <row r="2028" spans="1:1">
      <c r="A2028" s="176"/>
    </row>
    <row r="2029" spans="1:1">
      <c r="A2029" s="176"/>
    </row>
    <row r="2030" spans="1:1">
      <c r="A2030" s="176"/>
    </row>
    <row r="2031" spans="1:1">
      <c r="A2031" s="176"/>
    </row>
    <row r="2032" spans="1:1">
      <c r="A2032" s="176"/>
    </row>
    <row r="2033" spans="1:1">
      <c r="A2033" s="176"/>
    </row>
    <row r="2034" spans="1:1">
      <c r="A2034" s="176"/>
    </row>
    <row r="2035" spans="1:1">
      <c r="A2035" s="176"/>
    </row>
    <row r="2036" spans="1:1">
      <c r="A2036" s="176"/>
    </row>
    <row r="2037" spans="1:1">
      <c r="A2037" s="176"/>
    </row>
    <row r="2038" spans="1:1">
      <c r="A2038" s="176"/>
    </row>
    <row r="2039" spans="1:1">
      <c r="A2039" s="176"/>
    </row>
    <row r="2040" spans="1:1">
      <c r="A2040" s="176"/>
    </row>
    <row r="2041" spans="1:1">
      <c r="A2041" s="176"/>
    </row>
    <row r="2042" spans="1:1">
      <c r="A2042" s="176"/>
    </row>
    <row r="2043" spans="1:1">
      <c r="A2043" s="176"/>
    </row>
    <row r="2044" spans="1:1">
      <c r="A2044" s="176"/>
    </row>
    <row r="2045" spans="1:1">
      <c r="A2045" s="176"/>
    </row>
    <row r="2046" spans="1:1">
      <c r="A2046" s="176"/>
    </row>
    <row r="2047" spans="1:1">
      <c r="A2047" s="176"/>
    </row>
    <row r="2048" spans="1:1">
      <c r="A2048" s="176"/>
    </row>
    <row r="2049" spans="1:1">
      <c r="A2049" s="176"/>
    </row>
    <row r="2050" spans="1:1">
      <c r="A2050" s="176"/>
    </row>
    <row r="2051" spans="1:1">
      <c r="A2051" s="176"/>
    </row>
    <row r="2052" spans="1:1">
      <c r="A2052" s="176"/>
    </row>
    <row r="2053" spans="1:1">
      <c r="A2053" s="176"/>
    </row>
    <row r="2054" spans="1:1">
      <c r="A2054" s="176"/>
    </row>
    <row r="2055" spans="1:1">
      <c r="A2055" s="176"/>
    </row>
    <row r="2056" spans="1:1">
      <c r="A2056" s="176"/>
    </row>
    <row r="2057" spans="1:1">
      <c r="A2057" s="176"/>
    </row>
    <row r="2058" spans="1:1">
      <c r="A2058" s="176"/>
    </row>
    <row r="2059" spans="1:1">
      <c r="A2059" s="176"/>
    </row>
    <row r="2060" spans="1:1">
      <c r="A2060" s="176"/>
    </row>
    <row r="2061" spans="1:1">
      <c r="A2061" s="176"/>
    </row>
    <row r="2062" spans="1:1">
      <c r="A2062" s="176"/>
    </row>
    <row r="2063" spans="1:1">
      <c r="A2063" s="176"/>
    </row>
    <row r="2064" spans="1:1">
      <c r="A2064" s="176"/>
    </row>
    <row r="2065" spans="1:1">
      <c r="A2065" s="176"/>
    </row>
    <row r="2066" spans="1:1">
      <c r="A2066" s="176"/>
    </row>
    <row r="2067" spans="1:1">
      <c r="A2067" s="176"/>
    </row>
    <row r="2068" spans="1:1">
      <c r="A2068" s="176"/>
    </row>
    <row r="2069" spans="1:1">
      <c r="A2069" s="176"/>
    </row>
    <row r="2070" spans="1:1">
      <c r="A2070" s="176"/>
    </row>
    <row r="2071" spans="1:1">
      <c r="A2071" s="176"/>
    </row>
    <row r="2072" spans="1:1">
      <c r="A2072" s="176"/>
    </row>
    <row r="2073" spans="1:1">
      <c r="A2073" s="176"/>
    </row>
    <row r="2074" spans="1:1">
      <c r="A2074" s="176"/>
    </row>
    <row r="2075" spans="1:1">
      <c r="A2075" s="176"/>
    </row>
    <row r="2076" spans="1:1">
      <c r="A2076" s="176"/>
    </row>
    <row r="2077" spans="1:1">
      <c r="A2077" s="176"/>
    </row>
    <row r="2078" spans="1:1">
      <c r="A2078" s="176"/>
    </row>
    <row r="2079" spans="1:1">
      <c r="A2079" s="176"/>
    </row>
    <row r="2080" spans="1:1">
      <c r="A2080" s="176"/>
    </row>
    <row r="2081" spans="1:1">
      <c r="A2081" s="176"/>
    </row>
    <row r="2082" spans="1:1">
      <c r="A2082" s="176"/>
    </row>
    <row r="2083" spans="1:1">
      <c r="A2083" s="176"/>
    </row>
    <row r="2084" spans="1:1">
      <c r="A2084" s="176"/>
    </row>
    <row r="2085" spans="1:1">
      <c r="A2085" s="176"/>
    </row>
    <row r="2086" spans="1:1">
      <c r="A2086" s="176"/>
    </row>
    <row r="2087" spans="1:1">
      <c r="A2087" s="176"/>
    </row>
    <row r="2088" spans="1:1">
      <c r="A2088" s="176"/>
    </row>
    <row r="2089" spans="1:1">
      <c r="A2089" s="176"/>
    </row>
    <row r="2090" spans="1:1">
      <c r="A2090" s="176"/>
    </row>
    <row r="2091" spans="1:1">
      <c r="A2091" s="176"/>
    </row>
    <row r="2092" spans="1:1">
      <c r="A2092" s="176"/>
    </row>
    <row r="2093" spans="1:1">
      <c r="A2093" s="176"/>
    </row>
    <row r="2094" spans="1:1">
      <c r="A2094" s="176"/>
    </row>
    <row r="2095" spans="1:1">
      <c r="A2095" s="176"/>
    </row>
    <row r="2096" spans="1:1">
      <c r="A2096" s="176"/>
    </row>
    <row r="2097" spans="1:1">
      <c r="A2097" s="176"/>
    </row>
    <row r="2098" spans="1:1">
      <c r="A2098" s="176"/>
    </row>
    <row r="2099" spans="1:1">
      <c r="A2099" s="176"/>
    </row>
    <row r="2100" spans="1:1">
      <c r="A2100" s="176"/>
    </row>
    <row r="2101" spans="1:1">
      <c r="A2101" s="176"/>
    </row>
    <row r="2102" spans="1:1">
      <c r="A2102" s="176"/>
    </row>
    <row r="2103" spans="1:1">
      <c r="A2103" s="176"/>
    </row>
    <row r="2104" spans="1:1">
      <c r="A2104" s="176"/>
    </row>
    <row r="2105" spans="1:1">
      <c r="A2105" s="176"/>
    </row>
    <row r="2106" spans="1:1">
      <c r="A2106" s="176"/>
    </row>
    <row r="2107" spans="1:1">
      <c r="A2107" s="176"/>
    </row>
    <row r="2108" spans="1:1">
      <c r="A2108" s="176"/>
    </row>
    <row r="2109" spans="1:1">
      <c r="A2109" s="176"/>
    </row>
    <row r="2110" spans="1:1">
      <c r="A2110" s="176"/>
    </row>
    <row r="2111" spans="1:1">
      <c r="A2111" s="176"/>
    </row>
    <row r="2112" spans="1:1">
      <c r="A2112" s="176"/>
    </row>
    <row r="2113" spans="1:1">
      <c r="A2113" s="176"/>
    </row>
    <row r="2114" spans="1:1">
      <c r="A2114" s="176"/>
    </row>
    <row r="2115" spans="1:1">
      <c r="A2115" s="176"/>
    </row>
    <row r="2116" spans="1:1">
      <c r="A2116" s="176"/>
    </row>
    <row r="2117" spans="1:1">
      <c r="A2117" s="176"/>
    </row>
    <row r="2118" spans="1:1">
      <c r="A2118" s="176"/>
    </row>
    <row r="2119" spans="1:1">
      <c r="A2119" s="176"/>
    </row>
    <row r="2120" spans="1:1">
      <c r="A2120" s="176"/>
    </row>
    <row r="2121" spans="1:1">
      <c r="A2121" s="176"/>
    </row>
    <row r="2122" spans="1:1">
      <c r="A2122" s="176"/>
    </row>
    <row r="2123" spans="1:1">
      <c r="A2123" s="176"/>
    </row>
    <row r="2124" spans="1:1">
      <c r="A2124" s="176"/>
    </row>
    <row r="2125" spans="1:1">
      <c r="A2125" s="176"/>
    </row>
    <row r="2126" spans="1:1">
      <c r="A2126" s="176"/>
    </row>
    <row r="2127" spans="1:1">
      <c r="A2127" s="176"/>
    </row>
    <row r="2128" spans="1:1">
      <c r="A2128" s="176"/>
    </row>
    <row r="2129" spans="1:1">
      <c r="A2129" s="176"/>
    </row>
    <row r="2130" spans="1:1">
      <c r="A2130" s="176"/>
    </row>
    <row r="2131" spans="1:1">
      <c r="A2131" s="176"/>
    </row>
    <row r="2132" spans="1:1">
      <c r="A2132" s="176"/>
    </row>
    <row r="2133" spans="1:1">
      <c r="A2133" s="176"/>
    </row>
    <row r="2134" spans="1:1">
      <c r="A2134" s="176"/>
    </row>
    <row r="2135" spans="1:1">
      <c r="A2135" s="176"/>
    </row>
    <row r="2136" spans="1:1">
      <c r="A2136" s="176"/>
    </row>
    <row r="2137" spans="1:1">
      <c r="A2137" s="176"/>
    </row>
    <row r="2138" spans="1:1">
      <c r="A2138" s="176"/>
    </row>
    <row r="2139" spans="1:1">
      <c r="A2139" s="176"/>
    </row>
    <row r="2140" spans="1:1">
      <c r="A2140" s="176"/>
    </row>
    <row r="2141" spans="1:1">
      <c r="A2141" s="176"/>
    </row>
    <row r="2142" spans="1:1">
      <c r="A2142" s="176"/>
    </row>
    <row r="2143" spans="1:1">
      <c r="A2143" s="176"/>
    </row>
    <row r="2144" spans="1:1">
      <c r="A2144" s="176"/>
    </row>
    <row r="2145" spans="1:1">
      <c r="A2145" s="176"/>
    </row>
    <row r="2146" spans="1:1">
      <c r="A2146" s="176"/>
    </row>
    <row r="2147" spans="1:1">
      <c r="A2147" s="176"/>
    </row>
    <row r="2148" spans="1:1">
      <c r="A2148" s="176"/>
    </row>
    <row r="2149" spans="1:1">
      <c r="A2149" s="176"/>
    </row>
    <row r="2150" spans="1:1">
      <c r="A2150" s="176"/>
    </row>
    <row r="2151" spans="1:1">
      <c r="A2151" s="176"/>
    </row>
    <row r="2152" spans="1:1">
      <c r="A2152" s="176"/>
    </row>
    <row r="2153" spans="1:1">
      <c r="A2153" s="176"/>
    </row>
    <row r="2154" spans="1:1">
      <c r="A2154" s="176"/>
    </row>
    <row r="2155" spans="1:1">
      <c r="A2155" s="176"/>
    </row>
    <row r="2156" spans="1:1">
      <c r="A2156" s="176"/>
    </row>
    <row r="2157" spans="1:1">
      <c r="A2157" s="176"/>
    </row>
    <row r="2158" spans="1:1">
      <c r="A2158" s="176"/>
    </row>
    <row r="2159" spans="1:1">
      <c r="A2159" s="176"/>
    </row>
    <row r="2160" spans="1:1">
      <c r="A2160" s="176"/>
    </row>
    <row r="2161" spans="1:1">
      <c r="A2161" s="176"/>
    </row>
    <row r="2162" spans="1:1">
      <c r="A2162" s="176"/>
    </row>
    <row r="2163" spans="1:1">
      <c r="A2163" s="176"/>
    </row>
    <row r="2164" spans="1:1">
      <c r="A2164" s="176"/>
    </row>
    <row r="2165" spans="1:1">
      <c r="A2165" s="176"/>
    </row>
    <row r="2166" spans="1:1">
      <c r="A2166" s="176"/>
    </row>
    <row r="2167" spans="1:1">
      <c r="A2167" s="176"/>
    </row>
    <row r="2168" spans="1:1">
      <c r="A2168" s="176"/>
    </row>
    <row r="2169" spans="1:1">
      <c r="A2169" s="176"/>
    </row>
    <row r="2170" spans="1:1">
      <c r="A2170" s="176"/>
    </row>
    <row r="2171" spans="1:1">
      <c r="A2171" s="176"/>
    </row>
    <row r="2172" spans="1:1">
      <c r="A2172" s="176"/>
    </row>
    <row r="2173" spans="1:1">
      <c r="A2173" s="176"/>
    </row>
    <row r="2174" spans="1:1">
      <c r="A2174" s="176"/>
    </row>
    <row r="2175" spans="1:1">
      <c r="A2175" s="176"/>
    </row>
    <row r="2176" spans="1:1">
      <c r="A2176" s="176"/>
    </row>
    <row r="2177" spans="1:1">
      <c r="A2177" s="176"/>
    </row>
    <row r="2178" spans="1:1">
      <c r="A2178" s="176"/>
    </row>
    <row r="2179" spans="1:1">
      <c r="A2179" s="176"/>
    </row>
    <row r="2180" spans="1:1">
      <c r="A2180" s="176"/>
    </row>
    <row r="2181" spans="1:1">
      <c r="A2181" s="176"/>
    </row>
    <row r="2182" spans="1:1">
      <c r="A2182" s="176"/>
    </row>
    <row r="2183" spans="1:1">
      <c r="A2183" s="176"/>
    </row>
    <row r="2184" spans="1:1">
      <c r="A2184" s="176"/>
    </row>
    <row r="2185" spans="1:1">
      <c r="A2185" s="176"/>
    </row>
    <row r="2186" spans="1:1">
      <c r="A2186" s="176"/>
    </row>
    <row r="2187" spans="1:1">
      <c r="A2187" s="176"/>
    </row>
    <row r="2188" spans="1:1">
      <c r="A2188" s="176"/>
    </row>
    <row r="2189" spans="1:1">
      <c r="A2189" s="176"/>
    </row>
    <row r="2190" spans="1:1">
      <c r="A2190" s="176"/>
    </row>
    <row r="2191" spans="1:1">
      <c r="A2191" s="176"/>
    </row>
    <row r="2192" spans="1:1">
      <c r="A2192" s="176"/>
    </row>
    <row r="2193" spans="1:1">
      <c r="A2193" s="176"/>
    </row>
    <row r="2194" spans="1:1">
      <c r="A2194" s="176"/>
    </row>
    <row r="2195" spans="1:1">
      <c r="A2195" s="176"/>
    </row>
    <row r="2196" spans="1:1">
      <c r="A2196" s="176"/>
    </row>
    <row r="2197" spans="1:1">
      <c r="A2197" s="176"/>
    </row>
    <row r="2198" spans="1:1">
      <c r="A2198" s="176"/>
    </row>
    <row r="2199" spans="1:1">
      <c r="A2199" s="176"/>
    </row>
    <row r="2200" spans="1:1">
      <c r="A2200" s="176"/>
    </row>
    <row r="2201" spans="1:1">
      <c r="A2201" s="176"/>
    </row>
    <row r="2202" spans="1:1">
      <c r="A2202" s="176"/>
    </row>
    <row r="2203" spans="1:1">
      <c r="A2203" s="176"/>
    </row>
    <row r="2204" spans="1:1">
      <c r="A2204" s="176"/>
    </row>
    <row r="2205" spans="1:1">
      <c r="A2205" s="176"/>
    </row>
    <row r="2206" spans="1:1">
      <c r="A2206" s="176"/>
    </row>
    <row r="2207" spans="1:1">
      <c r="A2207" s="176"/>
    </row>
    <row r="2208" spans="1:1">
      <c r="A2208" s="176"/>
    </row>
    <row r="2209" spans="1:1">
      <c r="A2209" s="176"/>
    </row>
    <row r="2210" spans="1:1">
      <c r="A2210" s="176"/>
    </row>
    <row r="2211" spans="1:1">
      <c r="A2211" s="176"/>
    </row>
    <row r="2212" spans="1:1">
      <c r="A2212" s="176"/>
    </row>
    <row r="2213" spans="1:1">
      <c r="A2213" s="176"/>
    </row>
    <row r="2214" spans="1:1">
      <c r="A2214" s="176"/>
    </row>
    <row r="2215" spans="1:1">
      <c r="A2215" s="176"/>
    </row>
    <row r="2216" spans="1:1">
      <c r="A2216" s="176"/>
    </row>
    <row r="2217" spans="1:1">
      <c r="A2217" s="176"/>
    </row>
    <row r="2218" spans="1:1">
      <c r="A2218" s="176"/>
    </row>
    <row r="2219" spans="1:1">
      <c r="A2219" s="176"/>
    </row>
    <row r="2220" spans="1:1">
      <c r="A2220" s="176"/>
    </row>
    <row r="2221" spans="1:1">
      <c r="A2221" s="176"/>
    </row>
    <row r="2222" spans="1:1">
      <c r="A2222" s="176"/>
    </row>
    <row r="2223" spans="1:1">
      <c r="A2223" s="176"/>
    </row>
    <row r="2224" spans="1:1">
      <c r="A2224" s="176"/>
    </row>
    <row r="2225" spans="1:1">
      <c r="A2225" s="176"/>
    </row>
    <row r="2226" spans="1:1">
      <c r="A2226" s="176"/>
    </row>
    <row r="2227" spans="1:1">
      <c r="A2227" s="176"/>
    </row>
    <row r="2228" spans="1:1">
      <c r="A2228" s="176"/>
    </row>
    <row r="2229" spans="1:1">
      <c r="A2229" s="176"/>
    </row>
    <row r="2230" spans="1:1">
      <c r="A2230" s="176"/>
    </row>
    <row r="2231" spans="1:1">
      <c r="A2231" s="176"/>
    </row>
    <row r="2232" spans="1:1">
      <c r="A2232" s="176"/>
    </row>
    <row r="2233" spans="1:1">
      <c r="A2233" s="176"/>
    </row>
    <row r="2234" spans="1:1">
      <c r="A2234" s="176"/>
    </row>
    <row r="2235" spans="1:1">
      <c r="A2235" s="176"/>
    </row>
    <row r="2236" spans="1:1">
      <c r="A2236" s="176"/>
    </row>
    <row r="2237" spans="1:1">
      <c r="A2237" s="176"/>
    </row>
    <row r="2238" spans="1:1">
      <c r="A2238" s="176"/>
    </row>
    <row r="2239" spans="1:1">
      <c r="A2239" s="176"/>
    </row>
    <row r="2240" spans="1:1">
      <c r="A2240" s="176"/>
    </row>
    <row r="2241" spans="1:1">
      <c r="A2241" s="176"/>
    </row>
    <row r="2242" spans="1:1">
      <c r="A2242" s="176"/>
    </row>
    <row r="2243" spans="1:1">
      <c r="A2243" s="176"/>
    </row>
    <row r="2244" spans="1:1">
      <c r="A2244" s="176"/>
    </row>
    <row r="2245" spans="1:1">
      <c r="A2245" s="176"/>
    </row>
    <row r="2246" spans="1:1">
      <c r="A2246" s="176"/>
    </row>
    <row r="2247" spans="1:1">
      <c r="A2247" s="176"/>
    </row>
    <row r="2248" spans="1:1">
      <c r="A2248" s="176"/>
    </row>
    <row r="2249" spans="1:1">
      <c r="A2249" s="176"/>
    </row>
    <row r="2250" spans="1:1">
      <c r="A2250" s="176"/>
    </row>
    <row r="2251" spans="1:1">
      <c r="A2251" s="176"/>
    </row>
    <row r="2252" spans="1:1">
      <c r="A2252" s="176"/>
    </row>
    <row r="2253" spans="1:1">
      <c r="A2253" s="176"/>
    </row>
    <row r="2254" spans="1:1">
      <c r="A2254" s="176"/>
    </row>
    <row r="2255" spans="1:1">
      <c r="A2255" s="176"/>
    </row>
    <row r="2256" spans="1:1">
      <c r="A2256" s="176"/>
    </row>
    <row r="2257" spans="1:1">
      <c r="A2257" s="176"/>
    </row>
    <row r="2258" spans="1:1">
      <c r="A2258" s="176"/>
    </row>
    <row r="2259" spans="1:1">
      <c r="A2259" s="176"/>
    </row>
    <row r="2260" spans="1:1">
      <c r="A2260" s="176"/>
    </row>
    <row r="2261" spans="1:1">
      <c r="A2261" s="176"/>
    </row>
    <row r="2262" spans="1:1">
      <c r="A2262" s="176"/>
    </row>
    <row r="2263" spans="1:1">
      <c r="A2263" s="176"/>
    </row>
    <row r="2264" spans="1:1">
      <c r="A2264" s="176"/>
    </row>
    <row r="2265" spans="1:1">
      <c r="A2265" s="176"/>
    </row>
    <row r="2266" spans="1:1">
      <c r="A2266" s="176"/>
    </row>
    <row r="2267" spans="1:1">
      <c r="A2267" s="176"/>
    </row>
    <row r="2268" spans="1:1">
      <c r="A2268" s="176"/>
    </row>
    <row r="2269" spans="1:1">
      <c r="A2269" s="176"/>
    </row>
    <row r="2270" spans="1:1">
      <c r="A2270" s="176"/>
    </row>
    <row r="2271" spans="1:1">
      <c r="A2271" s="176"/>
    </row>
    <row r="2272" spans="1:1">
      <c r="A2272" s="176"/>
    </row>
    <row r="2273" spans="1:1">
      <c r="A2273" s="176"/>
    </row>
    <row r="2274" spans="1:1">
      <c r="A2274" s="176"/>
    </row>
    <row r="2275" spans="1:1">
      <c r="A2275" s="176"/>
    </row>
    <row r="2276" spans="1:1">
      <c r="A2276" s="176"/>
    </row>
    <row r="2277" spans="1:1">
      <c r="A2277" s="176"/>
    </row>
    <row r="2278" spans="1:1">
      <c r="A2278" s="176"/>
    </row>
    <row r="2279" spans="1:1">
      <c r="A2279" s="176"/>
    </row>
    <row r="2280" spans="1:1">
      <c r="A2280" s="176"/>
    </row>
    <row r="2281" spans="1:1">
      <c r="A2281" s="176"/>
    </row>
    <row r="2282" spans="1:1">
      <c r="A2282" s="176"/>
    </row>
    <row r="2283" spans="1:1">
      <c r="A2283" s="176"/>
    </row>
    <row r="2284" spans="1:1">
      <c r="A2284" s="176"/>
    </row>
    <row r="2285" spans="1:1">
      <c r="A2285" s="176"/>
    </row>
    <row r="2286" spans="1:1">
      <c r="A2286" s="176"/>
    </row>
    <row r="2287" spans="1:1">
      <c r="A2287" s="176"/>
    </row>
    <row r="2288" spans="1:1">
      <c r="A2288" s="176"/>
    </row>
    <row r="2289" spans="1:1">
      <c r="A2289" s="176"/>
    </row>
    <row r="2290" spans="1:1">
      <c r="A2290" s="176"/>
    </row>
    <row r="2291" spans="1:1">
      <c r="A2291" s="176"/>
    </row>
    <row r="2292" spans="1:1">
      <c r="A2292" s="176"/>
    </row>
    <row r="2293" spans="1:1">
      <c r="A2293" s="176"/>
    </row>
    <row r="2294" spans="1:1">
      <c r="A2294" s="176"/>
    </row>
    <row r="2295" spans="1:1">
      <c r="A2295" s="176"/>
    </row>
    <row r="2296" spans="1:1">
      <c r="A2296" s="176"/>
    </row>
    <row r="2297" spans="1:1">
      <c r="A2297" s="176"/>
    </row>
    <row r="2298" spans="1:1">
      <c r="A2298" s="176"/>
    </row>
    <row r="2299" spans="1:1">
      <c r="A2299" s="176"/>
    </row>
    <row r="2300" spans="1:1">
      <c r="A2300" s="176"/>
    </row>
    <row r="2301" spans="1:1">
      <c r="A2301" s="176"/>
    </row>
    <row r="2302" spans="1:1">
      <c r="A2302" s="176"/>
    </row>
    <row r="2303" spans="1:1">
      <c r="A2303" s="176"/>
    </row>
    <row r="2304" spans="1:1">
      <c r="A2304" s="176"/>
    </row>
    <row r="2305" spans="1:1">
      <c r="A2305" s="176"/>
    </row>
    <row r="2306" spans="1:1">
      <c r="A2306" s="176"/>
    </row>
    <row r="2307" spans="1:1">
      <c r="A2307" s="176"/>
    </row>
    <row r="2308" spans="1:1">
      <c r="A2308" s="176"/>
    </row>
    <row r="2309" spans="1:1">
      <c r="A2309" s="176"/>
    </row>
    <row r="2310" spans="1:1">
      <c r="A2310" s="176"/>
    </row>
    <row r="2311" spans="1:1">
      <c r="A2311" s="176"/>
    </row>
    <row r="2312" spans="1:1">
      <c r="A2312" s="176"/>
    </row>
    <row r="2313" spans="1:1">
      <c r="A2313" s="176"/>
    </row>
    <row r="2314" spans="1:1">
      <c r="A2314" s="176"/>
    </row>
    <row r="2315" spans="1:1">
      <c r="A2315" s="176"/>
    </row>
    <row r="2316" spans="1:1">
      <c r="A2316" s="176"/>
    </row>
    <row r="2317" spans="1:1">
      <c r="A2317" s="176"/>
    </row>
    <row r="2318" spans="1:1">
      <c r="A2318" s="176"/>
    </row>
    <row r="2319" spans="1:1">
      <c r="A2319" s="176"/>
    </row>
    <row r="2320" spans="1:1">
      <c r="A2320" s="176"/>
    </row>
    <row r="2321" spans="1:1">
      <c r="A2321" s="176"/>
    </row>
    <row r="2322" spans="1:1">
      <c r="A2322" s="176"/>
    </row>
    <row r="2323" spans="1:1">
      <c r="A2323" s="176"/>
    </row>
    <row r="2324" spans="1:1">
      <c r="A2324" s="176"/>
    </row>
    <row r="2325" spans="1:1">
      <c r="A2325" s="176"/>
    </row>
    <row r="2326" spans="1:1">
      <c r="A2326" s="176"/>
    </row>
    <row r="2327" spans="1:1">
      <c r="A2327" s="176"/>
    </row>
    <row r="2328" spans="1:1">
      <c r="A2328" s="176"/>
    </row>
    <row r="2329" spans="1:1">
      <c r="A2329" s="176"/>
    </row>
    <row r="2330" spans="1:1">
      <c r="A2330" s="176"/>
    </row>
    <row r="2331" spans="1:1">
      <c r="A2331" s="176"/>
    </row>
    <row r="2332" spans="1:1">
      <c r="A2332" s="176"/>
    </row>
    <row r="2333" spans="1:1">
      <c r="A2333" s="176"/>
    </row>
    <row r="2334" spans="1:1">
      <c r="A2334" s="176"/>
    </row>
    <row r="2335" spans="1:1">
      <c r="A2335" s="176"/>
    </row>
    <row r="2336" spans="1:1">
      <c r="A2336" s="176"/>
    </row>
    <row r="2337" spans="1:1">
      <c r="A2337" s="176"/>
    </row>
    <row r="2338" spans="1:1">
      <c r="A2338" s="176"/>
    </row>
    <row r="2339" spans="1:1">
      <c r="A2339" s="176"/>
    </row>
    <row r="2340" spans="1:1">
      <c r="A2340" s="176"/>
    </row>
    <row r="2341" spans="1:1">
      <c r="A2341" s="176"/>
    </row>
    <row r="2342" spans="1:1">
      <c r="A2342" s="176"/>
    </row>
    <row r="2343" spans="1:1">
      <c r="A2343" s="176"/>
    </row>
    <row r="2344" spans="1:1">
      <c r="A2344" s="176"/>
    </row>
    <row r="2345" spans="1:1">
      <c r="A2345" s="176"/>
    </row>
    <row r="2346" spans="1:1">
      <c r="A2346" s="176"/>
    </row>
    <row r="2347" spans="1:1">
      <c r="A2347" s="176"/>
    </row>
    <row r="2348" spans="1:1">
      <c r="A2348" s="176"/>
    </row>
    <row r="2349" spans="1:1">
      <c r="A2349" s="176"/>
    </row>
    <row r="2350" spans="1:1">
      <c r="A2350" s="176"/>
    </row>
    <row r="2351" spans="1:1">
      <c r="A2351" s="176"/>
    </row>
    <row r="2352" spans="1:1">
      <c r="A2352" s="176"/>
    </row>
    <row r="2353" spans="1:1">
      <c r="A2353" s="176"/>
    </row>
    <row r="2354" spans="1:1">
      <c r="A2354" s="176"/>
    </row>
    <row r="2355" spans="1:1">
      <c r="A2355" s="176"/>
    </row>
    <row r="2356" spans="1:1">
      <c r="A2356" s="176"/>
    </row>
    <row r="2357" spans="1:1">
      <c r="A2357" s="176"/>
    </row>
    <row r="2358" spans="1:1">
      <c r="A2358" s="176"/>
    </row>
    <row r="2359" spans="1:1">
      <c r="A2359" s="176"/>
    </row>
    <row r="2360" spans="1:1">
      <c r="A2360" s="176"/>
    </row>
    <row r="2361" spans="1:1">
      <c r="A2361" s="176"/>
    </row>
    <row r="2362" spans="1:1">
      <c r="A2362" s="176"/>
    </row>
    <row r="2363" spans="1:1">
      <c r="A2363" s="176"/>
    </row>
    <row r="2364" spans="1:1">
      <c r="A2364" s="176"/>
    </row>
    <row r="2365" spans="1:1">
      <c r="A2365" s="176"/>
    </row>
    <row r="2366" spans="1:1">
      <c r="A2366" s="176"/>
    </row>
    <row r="2367" spans="1:1">
      <c r="A2367" s="176"/>
    </row>
    <row r="2368" spans="1:1">
      <c r="A2368" s="176"/>
    </row>
    <row r="2369" spans="1:1">
      <c r="A2369" s="176"/>
    </row>
    <row r="2370" spans="1:1">
      <c r="A2370" s="176"/>
    </row>
    <row r="2371" spans="1:1">
      <c r="A2371" s="176"/>
    </row>
    <row r="2372" spans="1:1">
      <c r="A2372" s="176"/>
    </row>
    <row r="2373" spans="1:1">
      <c r="A2373" s="176"/>
    </row>
    <row r="2374" spans="1:1">
      <c r="A2374" s="176"/>
    </row>
    <row r="2375" spans="1:1">
      <c r="A2375" s="176"/>
    </row>
    <row r="2376" spans="1:1">
      <c r="A2376" s="176"/>
    </row>
    <row r="2377" spans="1:1">
      <c r="A2377" s="176"/>
    </row>
    <row r="2378" spans="1:1">
      <c r="A2378" s="176"/>
    </row>
    <row r="2379" spans="1:1">
      <c r="A2379" s="176"/>
    </row>
    <row r="2380" spans="1:1">
      <c r="A2380" s="176"/>
    </row>
    <row r="2381" spans="1:1">
      <c r="A2381" s="176"/>
    </row>
    <row r="2382" spans="1:1">
      <c r="A2382" s="176"/>
    </row>
    <row r="2383" spans="1:1">
      <c r="A2383" s="176"/>
    </row>
    <row r="2384" spans="1:1">
      <c r="A2384" s="176"/>
    </row>
    <row r="2385" spans="1:1">
      <c r="A2385" s="176"/>
    </row>
    <row r="2386" spans="1:1">
      <c r="A2386" s="176"/>
    </row>
    <row r="2387" spans="1:1">
      <c r="A2387" s="176"/>
    </row>
    <row r="2388" spans="1:1">
      <c r="A2388" s="176"/>
    </row>
    <row r="2389" spans="1:1">
      <c r="A2389" s="176"/>
    </row>
    <row r="2390" spans="1:1">
      <c r="A2390" s="176"/>
    </row>
    <row r="2391" spans="1:1">
      <c r="A2391" s="176"/>
    </row>
    <row r="2392" spans="1:1">
      <c r="A2392" s="176"/>
    </row>
    <row r="2393" spans="1:1">
      <c r="A2393" s="176"/>
    </row>
    <row r="2394" spans="1:1">
      <c r="A2394" s="176"/>
    </row>
    <row r="2395" spans="1:1">
      <c r="A2395" s="176"/>
    </row>
    <row r="2396" spans="1:1">
      <c r="A2396" s="176"/>
    </row>
    <row r="2397" spans="1:1">
      <c r="A2397" s="176"/>
    </row>
    <row r="2398" spans="1:1">
      <c r="A2398" s="176"/>
    </row>
    <row r="2399" spans="1:1">
      <c r="A2399" s="176"/>
    </row>
    <row r="2400" spans="1:1">
      <c r="A2400" s="176"/>
    </row>
    <row r="2401" spans="1:1">
      <c r="A2401" s="176"/>
    </row>
    <row r="2402" spans="1:1">
      <c r="A2402" s="176"/>
    </row>
    <row r="2403" spans="1:1">
      <c r="A2403" s="176"/>
    </row>
    <row r="2404" spans="1:1">
      <c r="A2404" s="176"/>
    </row>
    <row r="2405" spans="1:1">
      <c r="A2405" s="176"/>
    </row>
    <row r="2406" spans="1:1">
      <c r="A2406" s="176"/>
    </row>
    <row r="2407" spans="1:1">
      <c r="A2407" s="176"/>
    </row>
    <row r="2408" spans="1:1">
      <c r="A2408" s="176"/>
    </row>
    <row r="2409" spans="1:1">
      <c r="A2409" s="176"/>
    </row>
    <row r="2410" spans="1:1">
      <c r="A2410" s="176"/>
    </row>
    <row r="2411" spans="1:1">
      <c r="A2411" s="176"/>
    </row>
    <row r="2412" spans="1:1">
      <c r="A2412" s="176"/>
    </row>
    <row r="2413" spans="1:1">
      <c r="A2413" s="176"/>
    </row>
    <row r="2414" spans="1:1">
      <c r="A2414" s="176"/>
    </row>
    <row r="2415" spans="1:1">
      <c r="A2415" s="176"/>
    </row>
    <row r="2416" spans="1:1">
      <c r="A2416" s="176"/>
    </row>
    <row r="2417" spans="1:1">
      <c r="A2417" s="176"/>
    </row>
    <row r="2418" spans="1:1">
      <c r="A2418" s="176"/>
    </row>
    <row r="2419" spans="1:1">
      <c r="A2419" s="176"/>
    </row>
    <row r="2420" spans="1:1">
      <c r="A2420" s="176"/>
    </row>
    <row r="2421" spans="1:1">
      <c r="A2421" s="176"/>
    </row>
    <row r="2422" spans="1:1">
      <c r="A2422" s="176"/>
    </row>
    <row r="2423" spans="1:1">
      <c r="A2423" s="176"/>
    </row>
    <row r="2424" spans="1:1">
      <c r="A2424" s="176"/>
    </row>
    <row r="2425" spans="1:1">
      <c r="A2425" s="176"/>
    </row>
    <row r="2426" spans="1:1">
      <c r="A2426" s="176"/>
    </row>
    <row r="2427" spans="1:1">
      <c r="A2427" s="176"/>
    </row>
    <row r="2428" spans="1:1">
      <c r="A2428" s="176"/>
    </row>
    <row r="2429" spans="1:1">
      <c r="A2429" s="176"/>
    </row>
    <row r="2430" spans="1:1">
      <c r="A2430" s="176"/>
    </row>
    <row r="2431" spans="1:1">
      <c r="A2431" s="176"/>
    </row>
    <row r="2432" spans="1:1">
      <c r="A2432" s="176"/>
    </row>
    <row r="2433" spans="1:1">
      <c r="A2433" s="176"/>
    </row>
    <row r="2434" spans="1:1">
      <c r="A2434" s="176"/>
    </row>
    <row r="2435" spans="1:1">
      <c r="A2435" s="176"/>
    </row>
    <row r="2436" spans="1:1">
      <c r="A2436" s="176"/>
    </row>
    <row r="2437" spans="1:1">
      <c r="A2437" s="176"/>
    </row>
    <row r="2438" spans="1:1">
      <c r="A2438" s="176"/>
    </row>
    <row r="2439" spans="1:1">
      <c r="A2439" s="176"/>
    </row>
    <row r="2440" spans="1:1">
      <c r="A2440" s="176"/>
    </row>
    <row r="2441" spans="1:1">
      <c r="A2441" s="176"/>
    </row>
    <row r="2442" spans="1:1">
      <c r="A2442" s="176"/>
    </row>
    <row r="2443" spans="1:1">
      <c r="A2443" s="176"/>
    </row>
    <row r="2444" spans="1:1">
      <c r="A2444" s="176"/>
    </row>
    <row r="2445" spans="1:1">
      <c r="A2445" s="176"/>
    </row>
    <row r="2446" spans="1:1">
      <c r="A2446" s="176"/>
    </row>
    <row r="2447" spans="1:1">
      <c r="A2447" s="176"/>
    </row>
    <row r="2448" spans="1:1">
      <c r="A2448" s="176"/>
    </row>
    <row r="2449" spans="1:1">
      <c r="A2449" s="176"/>
    </row>
    <row r="2450" spans="1:1">
      <c r="A2450" s="176"/>
    </row>
    <row r="2451" spans="1:1">
      <c r="A2451" s="176"/>
    </row>
    <row r="2452" spans="1:1">
      <c r="A2452" s="176"/>
    </row>
    <row r="2453" spans="1:1">
      <c r="A2453" s="176"/>
    </row>
    <row r="2454" spans="1:1">
      <c r="A2454" s="176"/>
    </row>
    <row r="2455" spans="1:1">
      <c r="A2455" s="176"/>
    </row>
    <row r="2456" spans="1:1">
      <c r="A2456" s="176"/>
    </row>
    <row r="2457" spans="1:1">
      <c r="A2457" s="176"/>
    </row>
    <row r="2458" spans="1:1">
      <c r="A2458" s="176"/>
    </row>
    <row r="2459" spans="1:1">
      <c r="A2459" s="176"/>
    </row>
    <row r="2460" spans="1:1">
      <c r="A2460" s="176"/>
    </row>
    <row r="2461" spans="1:1">
      <c r="A2461" s="176"/>
    </row>
    <row r="2462" spans="1:1">
      <c r="A2462" s="176"/>
    </row>
    <row r="2463" spans="1:1">
      <c r="A2463" s="176"/>
    </row>
    <row r="2464" spans="1:1">
      <c r="A2464" s="176"/>
    </row>
    <row r="2465" spans="1:1">
      <c r="A2465" s="176"/>
    </row>
    <row r="2466" spans="1:1">
      <c r="A2466" s="176"/>
    </row>
    <row r="2467" spans="1:1">
      <c r="A2467" s="176"/>
    </row>
    <row r="2468" spans="1:1">
      <c r="A2468" s="176"/>
    </row>
    <row r="2469" spans="1:1">
      <c r="A2469" s="176"/>
    </row>
    <row r="2470" spans="1:1">
      <c r="A2470" s="176"/>
    </row>
    <row r="2471" spans="1:1">
      <c r="A2471" s="176"/>
    </row>
    <row r="2472" spans="1:1">
      <c r="A2472" s="176"/>
    </row>
    <row r="2473" spans="1:1">
      <c r="A2473" s="176"/>
    </row>
    <row r="2474" spans="1:1">
      <c r="A2474" s="176"/>
    </row>
    <row r="2475" spans="1:1">
      <c r="A2475" s="176"/>
    </row>
    <row r="2476" spans="1:1">
      <c r="A2476" s="176"/>
    </row>
    <row r="2477" spans="1:1">
      <c r="A2477" s="176"/>
    </row>
    <row r="2478" spans="1:1">
      <c r="A2478" s="176"/>
    </row>
    <row r="2479" spans="1:1">
      <c r="A2479" s="176"/>
    </row>
    <row r="2480" spans="1:1">
      <c r="A2480" s="176"/>
    </row>
    <row r="2481" spans="1:1">
      <c r="A2481" s="176"/>
    </row>
    <row r="2482" spans="1:1">
      <c r="A2482" s="176"/>
    </row>
    <row r="2483" spans="1:1">
      <c r="A2483" s="176"/>
    </row>
    <row r="2484" spans="1:1">
      <c r="A2484" s="176"/>
    </row>
    <row r="2485" spans="1:1">
      <c r="A2485" s="176"/>
    </row>
    <row r="2486" spans="1:1">
      <c r="A2486" s="176"/>
    </row>
    <row r="2487" spans="1:1">
      <c r="A2487" s="176"/>
    </row>
    <row r="2488" spans="1:1">
      <c r="A2488" s="176"/>
    </row>
    <row r="2489" spans="1:1">
      <c r="A2489" s="176"/>
    </row>
    <row r="2490" spans="1:1">
      <c r="A2490" s="176"/>
    </row>
    <row r="2491" spans="1:1">
      <c r="A2491" s="176"/>
    </row>
    <row r="2492" spans="1:1">
      <c r="A2492" s="176"/>
    </row>
    <row r="2493" spans="1:1">
      <c r="A2493" s="176"/>
    </row>
    <row r="2494" spans="1:1">
      <c r="A2494" s="176"/>
    </row>
    <row r="2495" spans="1:1">
      <c r="A2495" s="176"/>
    </row>
    <row r="2496" spans="1:1">
      <c r="A2496" s="176"/>
    </row>
    <row r="2497" spans="1:1">
      <c r="A2497" s="176"/>
    </row>
    <row r="2498" spans="1:1">
      <c r="A2498" s="176"/>
    </row>
    <row r="2499" spans="1:1">
      <c r="A2499" s="176"/>
    </row>
    <row r="2500" spans="1:1">
      <c r="A2500" s="176"/>
    </row>
    <row r="2501" spans="1:1">
      <c r="A2501" s="176"/>
    </row>
    <row r="2502" spans="1:1">
      <c r="A2502" s="176"/>
    </row>
    <row r="2503" spans="1:1">
      <c r="A2503" s="176"/>
    </row>
    <row r="2504" spans="1:1">
      <c r="A2504" s="176"/>
    </row>
    <row r="2505" spans="1:1">
      <c r="A2505" s="176"/>
    </row>
    <row r="2506" spans="1:1">
      <c r="A2506" s="176"/>
    </row>
    <row r="2507" spans="1:1">
      <c r="A2507" s="176"/>
    </row>
    <row r="2508" spans="1:1">
      <c r="A2508" s="176"/>
    </row>
    <row r="2509" spans="1:1">
      <c r="A2509" s="176"/>
    </row>
    <row r="2510" spans="1:1">
      <c r="A2510" s="176"/>
    </row>
    <row r="2511" spans="1:1">
      <c r="A2511" s="176"/>
    </row>
    <row r="2512" spans="1:1">
      <c r="A2512" s="176"/>
    </row>
    <row r="2513" spans="1:1">
      <c r="A2513" s="176"/>
    </row>
    <row r="2514" spans="1:1">
      <c r="A2514" s="176"/>
    </row>
    <row r="2515" spans="1:1">
      <c r="A2515" s="176"/>
    </row>
    <row r="2516" spans="1:1">
      <c r="A2516" s="176"/>
    </row>
    <row r="2517" spans="1:1">
      <c r="A2517" s="176"/>
    </row>
    <row r="2518" spans="1:1">
      <c r="A2518" s="176"/>
    </row>
    <row r="2519" spans="1:1">
      <c r="A2519" s="176"/>
    </row>
    <row r="2520" spans="1:1">
      <c r="A2520" s="176"/>
    </row>
    <row r="2521" spans="1:1">
      <c r="A2521" s="176"/>
    </row>
    <row r="2522" spans="1:1">
      <c r="A2522" s="176"/>
    </row>
    <row r="2523" spans="1:1">
      <c r="A2523" s="176"/>
    </row>
    <row r="2524" spans="1:1">
      <c r="A2524" s="176"/>
    </row>
    <row r="2525" spans="1:1">
      <c r="A2525" s="176"/>
    </row>
    <row r="2526" spans="1:1">
      <c r="A2526" s="176"/>
    </row>
    <row r="2527" spans="1:1">
      <c r="A2527" s="176"/>
    </row>
    <row r="2528" spans="1:1">
      <c r="A2528" s="176"/>
    </row>
    <row r="2529" spans="1:1">
      <c r="A2529" s="176"/>
    </row>
    <row r="2530" spans="1:1">
      <c r="A2530" s="176"/>
    </row>
    <row r="2531" spans="1:1">
      <c r="A2531" s="176"/>
    </row>
    <row r="2532" spans="1:1">
      <c r="A2532" s="176"/>
    </row>
    <row r="2533" spans="1:1">
      <c r="A2533" s="176"/>
    </row>
    <row r="2534" spans="1:1">
      <c r="A2534" s="176"/>
    </row>
    <row r="2535" spans="1:1">
      <c r="A2535" s="176"/>
    </row>
    <row r="2536" spans="1:1">
      <c r="A2536" s="176"/>
    </row>
    <row r="2537" spans="1:1">
      <c r="A2537" s="176"/>
    </row>
    <row r="2538" spans="1:1">
      <c r="A2538" s="176"/>
    </row>
    <row r="2539" spans="1:1">
      <c r="A2539" s="176"/>
    </row>
    <row r="2540" spans="1:1">
      <c r="A2540" s="176"/>
    </row>
    <row r="2541" spans="1:1">
      <c r="A2541" s="176"/>
    </row>
    <row r="2542" spans="1:1">
      <c r="A2542" s="176"/>
    </row>
    <row r="2543" spans="1:1">
      <c r="A2543" s="176"/>
    </row>
    <row r="2544" spans="1:1">
      <c r="A2544" s="176"/>
    </row>
    <row r="2545" spans="1:1">
      <c r="A2545" s="176"/>
    </row>
    <row r="2546" spans="1:1">
      <c r="A2546" s="176"/>
    </row>
    <row r="2547" spans="1:1">
      <c r="A2547" s="176"/>
    </row>
    <row r="2548" spans="1:1">
      <c r="A2548" s="176"/>
    </row>
    <row r="2549" spans="1:1">
      <c r="A2549" s="176"/>
    </row>
    <row r="2550" spans="1:1">
      <c r="A2550" s="176"/>
    </row>
    <row r="2551" spans="1:1">
      <c r="A2551" s="176"/>
    </row>
    <row r="2552" spans="1:1">
      <c r="A2552" s="176"/>
    </row>
    <row r="2553" spans="1:1">
      <c r="A2553" s="176"/>
    </row>
    <row r="2554" spans="1:1">
      <c r="A2554" s="176"/>
    </row>
    <row r="2555" spans="1:1">
      <c r="A2555" s="176"/>
    </row>
    <row r="2556" spans="1:1">
      <c r="A2556" s="176"/>
    </row>
    <row r="2557" spans="1:1">
      <c r="A2557" s="176"/>
    </row>
    <row r="2558" spans="1:1">
      <c r="A2558" s="176"/>
    </row>
    <row r="2559" spans="1:1">
      <c r="A2559" s="176"/>
    </row>
    <row r="2560" spans="1:1">
      <c r="A2560" s="176"/>
    </row>
    <row r="2561" spans="1:1">
      <c r="A2561" s="176"/>
    </row>
    <row r="2562" spans="1:1">
      <c r="A2562" s="176"/>
    </row>
    <row r="2563" spans="1:1">
      <c r="A2563" s="176"/>
    </row>
    <row r="2564" spans="1:1">
      <c r="A2564" s="176"/>
    </row>
    <row r="2565" spans="1:1">
      <c r="A2565" s="176"/>
    </row>
    <row r="2566" spans="1:1">
      <c r="A2566" s="176"/>
    </row>
    <row r="2567" spans="1:1">
      <c r="A2567" s="176"/>
    </row>
    <row r="2568" spans="1:1">
      <c r="A2568" s="176"/>
    </row>
    <row r="2569" spans="1:1">
      <c r="A2569" s="176"/>
    </row>
    <row r="2570" spans="1:1">
      <c r="A2570" s="176"/>
    </row>
    <row r="2571" spans="1:1">
      <c r="A2571" s="176"/>
    </row>
    <row r="2572" spans="1:1">
      <c r="A2572" s="176"/>
    </row>
    <row r="2573" spans="1:1">
      <c r="A2573" s="176"/>
    </row>
    <row r="2574" spans="1:1">
      <c r="A2574" s="176"/>
    </row>
    <row r="2575" spans="1:1">
      <c r="A2575" s="176"/>
    </row>
    <row r="2576" spans="1:1">
      <c r="A2576" s="176"/>
    </row>
    <row r="2577" spans="1:1">
      <c r="A2577" s="176"/>
    </row>
    <row r="2578" spans="1:1">
      <c r="A2578" s="176"/>
    </row>
    <row r="2579" spans="1:1">
      <c r="A2579" s="176"/>
    </row>
    <row r="2580" spans="1:1">
      <c r="A2580" s="176"/>
    </row>
    <row r="2581" spans="1:1">
      <c r="A2581" s="176"/>
    </row>
    <row r="2582" spans="1:1">
      <c r="A2582" s="176"/>
    </row>
    <row r="2583" spans="1:1">
      <c r="A2583" s="176"/>
    </row>
    <row r="2584" spans="1:1">
      <c r="A2584" s="176"/>
    </row>
    <row r="2585" spans="1:1">
      <c r="A2585" s="176"/>
    </row>
    <row r="2586" spans="1:1">
      <c r="A2586" s="176"/>
    </row>
    <row r="2587" spans="1:1">
      <c r="A2587" s="176"/>
    </row>
    <row r="2588" spans="1:1">
      <c r="A2588" s="176"/>
    </row>
    <row r="2589" spans="1:1">
      <c r="A2589" s="176"/>
    </row>
    <row r="2590" spans="1:1">
      <c r="A2590" s="176"/>
    </row>
    <row r="2591" spans="1:1">
      <c r="A2591" s="176"/>
    </row>
    <row r="2592" spans="1:1">
      <c r="A2592" s="176"/>
    </row>
    <row r="2593" spans="1:1">
      <c r="A2593" s="176"/>
    </row>
    <row r="2594" spans="1:1">
      <c r="A2594" s="176"/>
    </row>
    <row r="2595" spans="1:1">
      <c r="A2595" s="176"/>
    </row>
    <row r="2596" spans="1:1">
      <c r="A2596" s="176"/>
    </row>
    <row r="2597" spans="1:1">
      <c r="A2597" s="176"/>
    </row>
    <row r="2598" spans="1:1">
      <c r="A2598" s="176"/>
    </row>
    <row r="2599" spans="1:1">
      <c r="A2599" s="176"/>
    </row>
    <row r="2600" spans="1:1">
      <c r="A2600" s="176"/>
    </row>
    <row r="2601" spans="1:1">
      <c r="A2601" s="176"/>
    </row>
    <row r="2602" spans="1:1">
      <c r="A2602" s="176"/>
    </row>
    <row r="2603" spans="1:1">
      <c r="A2603" s="176"/>
    </row>
    <row r="2604" spans="1:1">
      <c r="A2604" s="176"/>
    </row>
    <row r="2605" spans="1:1">
      <c r="A2605" s="176"/>
    </row>
    <row r="2606" spans="1:1">
      <c r="A2606" s="176"/>
    </row>
    <row r="2607" spans="1:1">
      <c r="A2607" s="176"/>
    </row>
    <row r="2608" spans="1:1">
      <c r="A2608" s="176"/>
    </row>
    <row r="2609" spans="1:1">
      <c r="A2609" s="176"/>
    </row>
    <row r="2610" spans="1:1">
      <c r="A2610" s="176"/>
    </row>
    <row r="2611" spans="1:1">
      <c r="A2611" s="176"/>
    </row>
    <row r="2612" spans="1:1">
      <c r="A2612" s="176"/>
    </row>
    <row r="2613" spans="1:1">
      <c r="A2613" s="176"/>
    </row>
    <row r="2614" spans="1:1">
      <c r="A2614" s="176"/>
    </row>
    <row r="2615" spans="1:1">
      <c r="A2615" s="176"/>
    </row>
    <row r="2616" spans="1:1">
      <c r="A2616" s="176"/>
    </row>
    <row r="2617" spans="1:1">
      <c r="A2617" s="176"/>
    </row>
    <row r="2618" spans="1:1">
      <c r="A2618" s="176"/>
    </row>
    <row r="2619" spans="1:1">
      <c r="A2619" s="176"/>
    </row>
    <row r="2620" spans="1:1">
      <c r="A2620" s="176"/>
    </row>
    <row r="2621" spans="1:1">
      <c r="A2621" s="176"/>
    </row>
    <row r="2622" spans="1:1">
      <c r="A2622" s="176"/>
    </row>
    <row r="2623" spans="1:1">
      <c r="A2623" s="176"/>
    </row>
    <row r="2624" spans="1:1">
      <c r="A2624" s="176"/>
    </row>
    <row r="2625" spans="1:1">
      <c r="A2625" s="176"/>
    </row>
    <row r="2626" spans="1:1">
      <c r="A2626" s="176"/>
    </row>
    <row r="2627" spans="1:1">
      <c r="A2627" s="176"/>
    </row>
    <row r="2628" spans="1:1">
      <c r="A2628" s="176"/>
    </row>
    <row r="2629" spans="1:1">
      <c r="A2629" s="176"/>
    </row>
    <row r="2630" spans="1:1">
      <c r="A2630" s="176"/>
    </row>
    <row r="2631" spans="1:1">
      <c r="A2631" s="176"/>
    </row>
    <row r="2632" spans="1:1">
      <c r="A2632" s="176"/>
    </row>
    <row r="2633" spans="1:1">
      <c r="A2633" s="176"/>
    </row>
    <row r="2634" spans="1:1">
      <c r="A2634" s="176"/>
    </row>
    <row r="2635" spans="1:1">
      <c r="A2635" s="176"/>
    </row>
    <row r="2636" spans="1:1">
      <c r="A2636" s="176"/>
    </row>
    <row r="2637" spans="1:1">
      <c r="A2637" s="176"/>
    </row>
    <row r="2638" spans="1:1">
      <c r="A2638" s="176"/>
    </row>
    <row r="2639" spans="1:1">
      <c r="A2639" s="176"/>
    </row>
    <row r="2640" spans="1:1">
      <c r="A2640" s="176"/>
    </row>
    <row r="2641" spans="1:1">
      <c r="A2641" s="176"/>
    </row>
    <row r="2642" spans="1:1">
      <c r="A2642" s="176"/>
    </row>
    <row r="2643" spans="1:1">
      <c r="A2643" s="176"/>
    </row>
    <row r="2644" spans="1:1">
      <c r="A2644" s="176"/>
    </row>
    <row r="2645" spans="1:1">
      <c r="A2645" s="176"/>
    </row>
    <row r="2646" spans="1:1">
      <c r="A2646" s="176"/>
    </row>
    <row r="2647" spans="1:1">
      <c r="A2647" s="176"/>
    </row>
    <row r="2648" spans="1:1">
      <c r="A2648" s="176"/>
    </row>
    <row r="2649" spans="1:1">
      <c r="A2649" s="176"/>
    </row>
    <row r="2650" spans="1:1">
      <c r="A2650" s="176"/>
    </row>
    <row r="2651" spans="1:1">
      <c r="A2651" s="176"/>
    </row>
    <row r="2652" spans="1:1">
      <c r="A2652" s="176"/>
    </row>
    <row r="2653" spans="1:1">
      <c r="A2653" s="176"/>
    </row>
    <row r="2654" spans="1:1">
      <c r="A2654" s="176"/>
    </row>
    <row r="2655" spans="1:1">
      <c r="A2655" s="176"/>
    </row>
    <row r="2656" spans="1:1">
      <c r="A2656" s="176"/>
    </row>
    <row r="2657" spans="1:1">
      <c r="A2657" s="176"/>
    </row>
    <row r="2658" spans="1:1">
      <c r="A2658" s="176"/>
    </row>
    <row r="2659" spans="1:1">
      <c r="A2659" s="176"/>
    </row>
    <row r="2660" spans="1:1">
      <c r="A2660" s="176"/>
    </row>
    <row r="2661" spans="1:1">
      <c r="A2661" s="176"/>
    </row>
    <row r="2662" spans="1:1">
      <c r="A2662" s="176"/>
    </row>
    <row r="2663" spans="1:1">
      <c r="A2663" s="176"/>
    </row>
    <row r="2664" spans="1:1">
      <c r="A2664" s="176"/>
    </row>
    <row r="2665" spans="1:1">
      <c r="A2665" s="176"/>
    </row>
    <row r="2666" spans="1:1">
      <c r="A2666" s="176"/>
    </row>
    <row r="2667" spans="1:1">
      <c r="A2667" s="176"/>
    </row>
    <row r="2668" spans="1:1">
      <c r="A2668" s="176"/>
    </row>
    <row r="2669" spans="1:1">
      <c r="A2669" s="176"/>
    </row>
    <row r="2670" spans="1:1">
      <c r="A2670" s="176"/>
    </row>
    <row r="2671" spans="1:1">
      <c r="A2671" s="176"/>
    </row>
    <row r="2672" spans="1:1">
      <c r="A2672" s="176"/>
    </row>
    <row r="2673" spans="1:1">
      <c r="A2673" s="176"/>
    </row>
    <row r="2674" spans="1:1">
      <c r="A2674" s="176"/>
    </row>
    <row r="2675" spans="1:1">
      <c r="A2675" s="176"/>
    </row>
    <row r="2676" spans="1:1">
      <c r="A2676" s="176"/>
    </row>
    <row r="2677" spans="1:1">
      <c r="A2677" s="176"/>
    </row>
    <row r="2678" spans="1:1">
      <c r="A2678" s="176"/>
    </row>
    <row r="2679" spans="1:1">
      <c r="A2679" s="176"/>
    </row>
    <row r="2680" spans="1:1">
      <c r="A2680" s="176"/>
    </row>
    <row r="2681" spans="1:1">
      <c r="A2681" s="176"/>
    </row>
    <row r="2682" spans="1:1">
      <c r="A2682" s="176"/>
    </row>
    <row r="2683" spans="1:1">
      <c r="A2683" s="176"/>
    </row>
    <row r="2684" spans="1:1">
      <c r="A2684" s="176"/>
    </row>
    <row r="2685" spans="1:1">
      <c r="A2685" s="176"/>
    </row>
    <row r="2686" spans="1:1">
      <c r="A2686" s="176"/>
    </row>
    <row r="2687" spans="1:1">
      <c r="A2687" s="176"/>
    </row>
    <row r="2688" spans="1:1">
      <c r="A2688" s="176"/>
    </row>
    <row r="2689" spans="1:1">
      <c r="A2689" s="176"/>
    </row>
    <row r="2690" spans="1:1">
      <c r="A2690" s="176"/>
    </row>
    <row r="2691" spans="1:1">
      <c r="A2691" s="176"/>
    </row>
    <row r="2692" spans="1:1">
      <c r="A2692" s="176"/>
    </row>
    <row r="2693" spans="1:1">
      <c r="A2693" s="176"/>
    </row>
    <row r="2694" spans="1:1">
      <c r="A2694" s="176"/>
    </row>
    <row r="2695" spans="1:1">
      <c r="A2695" s="176"/>
    </row>
    <row r="2696" spans="1:1">
      <c r="A2696" s="176"/>
    </row>
    <row r="2697" spans="1:1">
      <c r="A2697" s="176"/>
    </row>
    <row r="2698" spans="1:1">
      <c r="A2698" s="176"/>
    </row>
    <row r="2699" spans="1:1">
      <c r="A2699" s="176"/>
    </row>
    <row r="2700" spans="1:1">
      <c r="A2700" s="176"/>
    </row>
    <row r="2701" spans="1:1">
      <c r="A2701" s="176"/>
    </row>
    <row r="2702" spans="1:1">
      <c r="A2702" s="176"/>
    </row>
    <row r="2703" spans="1:1">
      <c r="A2703" s="176"/>
    </row>
    <row r="2704" spans="1:1">
      <c r="A2704" s="176"/>
    </row>
    <row r="2705" spans="1:1">
      <c r="A2705" s="176"/>
    </row>
    <row r="2706" spans="1:1">
      <c r="A2706" s="176"/>
    </row>
    <row r="2707" spans="1:1">
      <c r="A2707" s="176"/>
    </row>
    <row r="2708" spans="1:1">
      <c r="A2708" s="176"/>
    </row>
    <row r="2709" spans="1:1">
      <c r="A2709" s="176"/>
    </row>
    <row r="2710" spans="1:1">
      <c r="A2710" s="176"/>
    </row>
    <row r="2711" spans="1:1">
      <c r="A2711" s="176"/>
    </row>
    <row r="2712" spans="1:1">
      <c r="A2712" s="176"/>
    </row>
    <row r="2713" spans="1:1">
      <c r="A2713" s="176"/>
    </row>
    <row r="2714" spans="1:1">
      <c r="A2714" s="176"/>
    </row>
    <row r="2715" spans="1:1">
      <c r="A2715" s="176"/>
    </row>
    <row r="2716" spans="1:1">
      <c r="A2716" s="176"/>
    </row>
    <row r="2717" spans="1:1">
      <c r="A2717" s="176"/>
    </row>
    <row r="2718" spans="1:1">
      <c r="A2718" s="176"/>
    </row>
    <row r="2719" spans="1:1">
      <c r="A2719" s="176"/>
    </row>
    <row r="2720" spans="1:1">
      <c r="A2720" s="176"/>
    </row>
    <row r="2721" spans="1:1">
      <c r="A2721" s="176"/>
    </row>
    <row r="2722" spans="1:1">
      <c r="A2722" s="176"/>
    </row>
    <row r="2723" spans="1:1">
      <c r="A2723" s="176"/>
    </row>
    <row r="2724" spans="1:1">
      <c r="A2724" s="176"/>
    </row>
    <row r="2725" spans="1:1">
      <c r="A2725" s="176"/>
    </row>
    <row r="2726" spans="1:1">
      <c r="A2726" s="176"/>
    </row>
    <row r="2727" spans="1:1">
      <c r="A2727" s="176"/>
    </row>
    <row r="2728" spans="1:1">
      <c r="A2728" s="176"/>
    </row>
    <row r="2729" spans="1:1">
      <c r="A2729" s="176"/>
    </row>
    <row r="2730" spans="1:1">
      <c r="A2730" s="176"/>
    </row>
    <row r="2731" spans="1:1">
      <c r="A2731" s="176"/>
    </row>
    <row r="2732" spans="1:1">
      <c r="A2732" s="176"/>
    </row>
    <row r="2733" spans="1:1">
      <c r="A2733" s="176"/>
    </row>
    <row r="2734" spans="1:1">
      <c r="A2734" s="176"/>
    </row>
    <row r="2735" spans="1:1">
      <c r="A2735" s="176"/>
    </row>
    <row r="2736" spans="1:1">
      <c r="A2736" s="176"/>
    </row>
    <row r="2737" spans="1:1">
      <c r="A2737" s="176"/>
    </row>
    <row r="2738" spans="1:1">
      <c r="A2738" s="176"/>
    </row>
    <row r="2739" spans="1:1">
      <c r="A2739" s="176"/>
    </row>
    <row r="2740" spans="1:1">
      <c r="A2740" s="176"/>
    </row>
    <row r="2741" spans="1:1">
      <c r="A2741" s="176"/>
    </row>
    <row r="2742" spans="1:1">
      <c r="A2742" s="176"/>
    </row>
    <row r="2743" spans="1:1">
      <c r="A2743" s="176"/>
    </row>
    <row r="2744" spans="1:1">
      <c r="A2744" s="176"/>
    </row>
    <row r="2745" spans="1:1">
      <c r="A2745" s="176"/>
    </row>
    <row r="2746" spans="1:1">
      <c r="A2746" s="176"/>
    </row>
    <row r="2747" spans="1:1">
      <c r="A2747" s="176"/>
    </row>
    <row r="2748" spans="1:1">
      <c r="A2748" s="176"/>
    </row>
    <row r="2749" spans="1:1">
      <c r="A2749" s="176"/>
    </row>
    <row r="2750" spans="1:1">
      <c r="A2750" s="176"/>
    </row>
    <row r="2751" spans="1:1">
      <c r="A2751" s="176"/>
    </row>
    <row r="2752" spans="1:1">
      <c r="A2752" s="176"/>
    </row>
    <row r="2753" spans="1:1">
      <c r="A2753" s="176"/>
    </row>
    <row r="2754" spans="1:1">
      <c r="A2754" s="176"/>
    </row>
    <row r="2755" spans="1:1">
      <c r="A2755" s="176"/>
    </row>
    <row r="2756" spans="1:1">
      <c r="A2756" s="176"/>
    </row>
    <row r="2757" spans="1:1">
      <c r="A2757" s="176"/>
    </row>
    <row r="2758" spans="1:1">
      <c r="A2758" s="176"/>
    </row>
    <row r="2759" spans="1:1">
      <c r="A2759" s="176"/>
    </row>
    <row r="2760" spans="1:1">
      <c r="A2760" s="176"/>
    </row>
    <row r="2761" spans="1:1">
      <c r="A2761" s="176"/>
    </row>
    <row r="2762" spans="1:1">
      <c r="A2762" s="176"/>
    </row>
    <row r="2763" spans="1:1">
      <c r="A2763" s="176"/>
    </row>
    <row r="2764" spans="1:1">
      <c r="A2764" s="176"/>
    </row>
    <row r="2765" spans="1:1">
      <c r="A2765" s="176"/>
    </row>
    <row r="2766" spans="1:1">
      <c r="A2766" s="176"/>
    </row>
    <row r="2767" spans="1:1">
      <c r="A2767" s="176"/>
    </row>
    <row r="2768" spans="1:1">
      <c r="A2768" s="176"/>
    </row>
    <row r="2769" spans="1:1">
      <c r="A2769" s="176"/>
    </row>
    <row r="2770" spans="1:1">
      <c r="A2770" s="176"/>
    </row>
    <row r="2771" spans="1:1">
      <c r="A2771" s="176"/>
    </row>
    <row r="2772" spans="1:1">
      <c r="A2772" s="176"/>
    </row>
    <row r="2773" spans="1:1">
      <c r="A2773" s="176"/>
    </row>
    <row r="2774" spans="1:1">
      <c r="A2774" s="176"/>
    </row>
    <row r="2775" spans="1:1">
      <c r="A2775" s="176"/>
    </row>
    <row r="2776" spans="1:1">
      <c r="A2776" s="176"/>
    </row>
    <row r="2777" spans="1:1">
      <c r="A2777" s="176"/>
    </row>
    <row r="2778" spans="1:1">
      <c r="A2778" s="176"/>
    </row>
    <row r="2779" spans="1:1">
      <c r="A2779" s="176"/>
    </row>
    <row r="2780" spans="1:1">
      <c r="A2780" s="176"/>
    </row>
    <row r="2781" spans="1:1">
      <c r="A2781" s="176"/>
    </row>
    <row r="2782" spans="1:1">
      <c r="A2782" s="176"/>
    </row>
    <row r="2783" spans="1:1">
      <c r="A2783" s="176"/>
    </row>
    <row r="2784" spans="1:1">
      <c r="A2784" s="176"/>
    </row>
    <row r="2785" spans="1:1">
      <c r="A2785" s="176"/>
    </row>
    <row r="2786" spans="1:1">
      <c r="A2786" s="176"/>
    </row>
    <row r="2787" spans="1:1">
      <c r="A2787" s="176"/>
    </row>
    <row r="2788" spans="1:1">
      <c r="A2788" s="176"/>
    </row>
    <row r="2789" spans="1:1">
      <c r="A2789" s="176"/>
    </row>
    <row r="2790" spans="1:1">
      <c r="A2790" s="176"/>
    </row>
    <row r="2791" spans="1:1">
      <c r="A2791" s="176"/>
    </row>
    <row r="2792" spans="1:1">
      <c r="A2792" s="176"/>
    </row>
    <row r="2793" spans="1:1">
      <c r="A2793" s="176"/>
    </row>
    <row r="2794" spans="1:1">
      <c r="A2794" s="176"/>
    </row>
    <row r="2795" spans="1:1">
      <c r="A2795" s="176"/>
    </row>
    <row r="2796" spans="1:1">
      <c r="A2796" s="176"/>
    </row>
    <row r="2797" spans="1:1">
      <c r="A2797" s="176"/>
    </row>
    <row r="2798" spans="1:1">
      <c r="A2798" s="176"/>
    </row>
    <row r="2799" spans="1:1">
      <c r="A2799" s="176"/>
    </row>
    <row r="2800" spans="1:1">
      <c r="A2800" s="176"/>
    </row>
    <row r="2801" spans="1:1">
      <c r="A2801" s="176"/>
    </row>
    <row r="2802" spans="1:1">
      <c r="A2802" s="176"/>
    </row>
    <row r="2803" spans="1:1">
      <c r="A2803" s="176"/>
    </row>
    <row r="2804" spans="1:1">
      <c r="A2804" s="176"/>
    </row>
    <row r="2805" spans="1:1">
      <c r="A2805" s="176"/>
    </row>
    <row r="2806" spans="1:1">
      <c r="A2806" s="176"/>
    </row>
    <row r="2807" spans="1:1">
      <c r="A2807" s="176"/>
    </row>
    <row r="2808" spans="1:1">
      <c r="A2808" s="176"/>
    </row>
    <row r="2809" spans="1:1">
      <c r="A2809" s="176"/>
    </row>
    <row r="2810" spans="1:1">
      <c r="A2810" s="176"/>
    </row>
    <row r="2811" spans="1:1">
      <c r="A2811" s="176"/>
    </row>
    <row r="2812" spans="1:1">
      <c r="A2812" s="176"/>
    </row>
    <row r="2813" spans="1:1">
      <c r="A2813" s="176"/>
    </row>
    <row r="2814" spans="1:1">
      <c r="A2814" s="176"/>
    </row>
    <row r="2815" spans="1:1">
      <c r="A2815" s="176"/>
    </row>
    <row r="2816" spans="1:1">
      <c r="A2816" s="176"/>
    </row>
    <row r="2817" spans="1:1">
      <c r="A2817" s="176"/>
    </row>
    <row r="2818" spans="1:1">
      <c r="A2818" s="176"/>
    </row>
    <row r="2819" spans="1:1">
      <c r="A2819" s="176"/>
    </row>
    <row r="2820" spans="1:1">
      <c r="A2820" s="176"/>
    </row>
    <row r="2821" spans="1:1">
      <c r="A2821" s="176"/>
    </row>
    <row r="2822" spans="1:1">
      <c r="A2822" s="176"/>
    </row>
    <row r="2823" spans="1:1">
      <c r="A2823" s="176"/>
    </row>
    <row r="2824" spans="1:1">
      <c r="A2824" s="176"/>
    </row>
    <row r="2825" spans="1:1">
      <c r="A2825" s="176"/>
    </row>
    <row r="2826" spans="1:1">
      <c r="A2826" s="176"/>
    </row>
    <row r="2827" spans="1:1">
      <c r="A2827" s="176"/>
    </row>
    <row r="2828" spans="1:1">
      <c r="A2828" s="176"/>
    </row>
    <row r="2829" spans="1:1">
      <c r="A2829" s="176"/>
    </row>
    <row r="2830" spans="1:1">
      <c r="A2830" s="176"/>
    </row>
    <row r="2831" spans="1:1">
      <c r="A2831" s="176"/>
    </row>
    <row r="2832" spans="1:1">
      <c r="A2832" s="176"/>
    </row>
    <row r="2833" spans="1:1">
      <c r="A2833" s="176"/>
    </row>
    <row r="2834" spans="1:1">
      <c r="A2834" s="176"/>
    </row>
    <row r="2835" spans="1:1">
      <c r="A2835" s="176"/>
    </row>
    <row r="2836" spans="1:1">
      <c r="A2836" s="176"/>
    </row>
    <row r="2837" spans="1:1">
      <c r="A2837" s="176"/>
    </row>
    <row r="2838" spans="1:1">
      <c r="A2838" s="176"/>
    </row>
    <row r="2839" spans="1:1">
      <c r="A2839" s="176"/>
    </row>
    <row r="2840" spans="1:1">
      <c r="A2840" s="176"/>
    </row>
    <row r="2841" spans="1:1">
      <c r="A2841" s="176"/>
    </row>
    <row r="2842" spans="1:1">
      <c r="A2842" s="176"/>
    </row>
    <row r="2843" spans="1:1">
      <c r="A2843" s="176"/>
    </row>
    <row r="2844" spans="1:1">
      <c r="A2844" s="176"/>
    </row>
    <row r="2845" spans="1:1">
      <c r="A2845" s="176"/>
    </row>
    <row r="2846" spans="1:1">
      <c r="A2846" s="176"/>
    </row>
    <row r="2847" spans="1:1">
      <c r="A2847" s="176"/>
    </row>
    <row r="2848" spans="1:1">
      <c r="A2848" s="176"/>
    </row>
    <row r="2849" spans="1:1">
      <c r="A2849" s="176"/>
    </row>
    <row r="2850" spans="1:1">
      <c r="A2850" s="176"/>
    </row>
    <row r="2851" spans="1:1">
      <c r="A2851" s="176"/>
    </row>
    <row r="2852" spans="1:1">
      <c r="A2852" s="176"/>
    </row>
    <row r="2853" spans="1:1">
      <c r="A2853" s="176"/>
    </row>
    <row r="2854" spans="1:1">
      <c r="A2854" s="176"/>
    </row>
    <row r="2855" spans="1:1">
      <c r="A2855" s="176"/>
    </row>
    <row r="2856" spans="1:1">
      <c r="A2856" s="176"/>
    </row>
    <row r="2857" spans="1:1">
      <c r="A2857" s="176"/>
    </row>
    <row r="2858" spans="1:1">
      <c r="A2858" s="176"/>
    </row>
    <row r="2859" spans="1:1">
      <c r="A2859" s="176"/>
    </row>
    <row r="2860" spans="1:1">
      <c r="A2860" s="176"/>
    </row>
    <row r="2861" spans="1:1">
      <c r="A2861" s="176"/>
    </row>
    <row r="2862" spans="1:1">
      <c r="A2862" s="176"/>
    </row>
    <row r="2863" spans="1:1">
      <c r="A2863" s="176"/>
    </row>
    <row r="2864" spans="1:1">
      <c r="A2864" s="176"/>
    </row>
    <row r="2865" spans="1:1">
      <c r="A2865" s="176"/>
    </row>
    <row r="2866" spans="1:1">
      <c r="A2866" s="176"/>
    </row>
    <row r="2867" spans="1:1">
      <c r="A2867" s="176"/>
    </row>
    <row r="2868" spans="1:1">
      <c r="A2868" s="176"/>
    </row>
    <row r="2869" spans="1:1">
      <c r="A2869" s="176"/>
    </row>
    <row r="2870" spans="1:1">
      <c r="A2870" s="176"/>
    </row>
    <row r="2871" spans="1:1">
      <c r="A2871" s="176"/>
    </row>
    <row r="2872" spans="1:1">
      <c r="A2872" s="176"/>
    </row>
    <row r="2873" spans="1:1">
      <c r="A2873" s="176"/>
    </row>
    <row r="2874" spans="1:1">
      <c r="A2874" s="176"/>
    </row>
    <row r="2875" spans="1:1">
      <c r="A2875" s="176"/>
    </row>
    <row r="2876" spans="1:1">
      <c r="A2876" s="176"/>
    </row>
    <row r="2877" spans="1:1">
      <c r="A2877" s="176"/>
    </row>
    <row r="2878" spans="1:1">
      <c r="A2878" s="176"/>
    </row>
    <row r="2879" spans="1:1">
      <c r="A2879" s="176"/>
    </row>
    <row r="2880" spans="1:1">
      <c r="A2880" s="176"/>
    </row>
    <row r="2881" spans="1:1">
      <c r="A2881" s="176"/>
    </row>
    <row r="2882" spans="1:1">
      <c r="A2882" s="176"/>
    </row>
    <row r="2883" spans="1:1">
      <c r="A2883" s="176"/>
    </row>
    <row r="2884" spans="1:1">
      <c r="A2884" s="176"/>
    </row>
    <row r="2885" spans="1:1">
      <c r="A2885" s="176"/>
    </row>
    <row r="2886" spans="1:1">
      <c r="A2886" s="176"/>
    </row>
    <row r="2887" spans="1:1">
      <c r="A2887" s="176"/>
    </row>
    <row r="2888" spans="1:1">
      <c r="A2888" s="176"/>
    </row>
    <row r="2889" spans="1:1">
      <c r="A2889" s="176"/>
    </row>
    <row r="2890" spans="1:1">
      <c r="A2890" s="176"/>
    </row>
    <row r="2891" spans="1:1">
      <c r="A2891" s="176"/>
    </row>
    <row r="2892" spans="1:1">
      <c r="A2892" s="176"/>
    </row>
    <row r="2893" spans="1:1">
      <c r="A2893" s="176"/>
    </row>
    <row r="2894" spans="1:1">
      <c r="A2894" s="176"/>
    </row>
    <row r="2895" spans="1:1">
      <c r="A2895" s="176"/>
    </row>
    <row r="2896" spans="1:1">
      <c r="A2896" s="176"/>
    </row>
    <row r="2897" spans="1:1">
      <c r="A2897" s="176"/>
    </row>
    <row r="2898" spans="1:1">
      <c r="A2898" s="176"/>
    </row>
    <row r="2899" spans="1:1">
      <c r="A2899" s="176"/>
    </row>
    <row r="2900" spans="1:1">
      <c r="A2900" s="176"/>
    </row>
    <row r="2901" spans="1:1">
      <c r="A2901" s="176"/>
    </row>
    <row r="2902" spans="1:1">
      <c r="A2902" s="176"/>
    </row>
    <row r="2903" spans="1:1">
      <c r="A2903" s="176"/>
    </row>
    <row r="2904" spans="1:1">
      <c r="A2904" s="176"/>
    </row>
    <row r="2905" spans="1:1">
      <c r="A2905" s="176"/>
    </row>
    <row r="2906" spans="1:1">
      <c r="A2906" s="176"/>
    </row>
    <row r="2907" spans="1:1">
      <c r="A2907" s="176"/>
    </row>
    <row r="2908" spans="1:1">
      <c r="A2908" s="176"/>
    </row>
    <row r="2909" spans="1:1">
      <c r="A2909" s="176"/>
    </row>
    <row r="2910" spans="1:1">
      <c r="A2910" s="176"/>
    </row>
    <row r="2911" spans="1:1">
      <c r="A2911" s="176"/>
    </row>
    <row r="2912" spans="1:1">
      <c r="A2912" s="176"/>
    </row>
    <row r="2913" spans="1:1">
      <c r="A2913" s="176"/>
    </row>
    <row r="2914" spans="1:1">
      <c r="A2914" s="176"/>
    </row>
    <row r="2915" spans="1:1">
      <c r="A2915" s="176"/>
    </row>
    <row r="2916" spans="1:1">
      <c r="A2916" s="176"/>
    </row>
    <row r="2917" spans="1:1">
      <c r="A2917" s="176"/>
    </row>
    <row r="2918" spans="1:1">
      <c r="A2918" s="176"/>
    </row>
    <row r="2919" spans="1:1">
      <c r="A2919" s="176"/>
    </row>
    <row r="2920" spans="1:1">
      <c r="A2920" s="176"/>
    </row>
    <row r="2921" spans="1:1">
      <c r="A2921" s="176"/>
    </row>
    <row r="2922" spans="1:1">
      <c r="A2922" s="176"/>
    </row>
    <row r="2923" spans="1:1">
      <c r="A2923" s="176"/>
    </row>
    <row r="2924" spans="1:1">
      <c r="A2924" s="176"/>
    </row>
    <row r="2925" spans="1:1">
      <c r="A2925" s="176"/>
    </row>
    <row r="2926" spans="1:1">
      <c r="A2926" s="176"/>
    </row>
    <row r="2927" spans="1:1">
      <c r="A2927" s="176"/>
    </row>
    <row r="2928" spans="1:1">
      <c r="A2928" s="176"/>
    </row>
    <row r="2929" spans="1:1">
      <c r="A2929" s="176"/>
    </row>
    <row r="2930" spans="1:1">
      <c r="A2930" s="176"/>
    </row>
    <row r="2931" spans="1:1">
      <c r="A2931" s="176"/>
    </row>
    <row r="2932" spans="1:1">
      <c r="A2932" s="176"/>
    </row>
    <row r="2933" spans="1:1">
      <c r="A2933" s="176"/>
    </row>
    <row r="2934" spans="1:1">
      <c r="A2934" s="176"/>
    </row>
    <row r="2935" spans="1:1">
      <c r="A2935" s="176"/>
    </row>
    <row r="2936" spans="1:1">
      <c r="A2936" s="176"/>
    </row>
    <row r="2937" spans="1:1">
      <c r="A2937" s="176"/>
    </row>
    <row r="2938" spans="1:1">
      <c r="A2938" s="176"/>
    </row>
    <row r="2939" spans="1:1">
      <c r="A2939" s="176"/>
    </row>
    <row r="2940" spans="1:1">
      <c r="A2940" s="176"/>
    </row>
    <row r="2941" spans="1:1">
      <c r="A2941" s="176"/>
    </row>
    <row r="2942" spans="1:1">
      <c r="A2942" s="176"/>
    </row>
    <row r="2943" spans="1:1">
      <c r="A2943" s="176"/>
    </row>
    <row r="2944" spans="1:1">
      <c r="A2944" s="176"/>
    </row>
    <row r="2945" spans="1:1">
      <c r="A2945" s="176"/>
    </row>
    <row r="2946" spans="1:1">
      <c r="A2946" s="176"/>
    </row>
    <row r="2947" spans="1:1">
      <c r="A2947" s="176"/>
    </row>
    <row r="2948" spans="1:1">
      <c r="A2948" s="176"/>
    </row>
    <row r="2949" spans="1:1">
      <c r="A2949" s="176"/>
    </row>
    <row r="2950" spans="1:1">
      <c r="A2950" s="176"/>
    </row>
    <row r="2951" spans="1:1">
      <c r="A2951" s="176"/>
    </row>
    <row r="2952" spans="1:1">
      <c r="A2952" s="176"/>
    </row>
    <row r="2953" spans="1:1">
      <c r="A2953" s="176"/>
    </row>
    <row r="2954" spans="1:1">
      <c r="A2954" s="176"/>
    </row>
    <row r="2955" spans="1:1">
      <c r="A2955" s="176"/>
    </row>
    <row r="2956" spans="1:1">
      <c r="A2956" s="176"/>
    </row>
    <row r="2957" spans="1:1">
      <c r="A2957" s="176"/>
    </row>
    <row r="2958" spans="1:1">
      <c r="A2958" s="176"/>
    </row>
    <row r="2959" spans="1:1">
      <c r="A2959" s="176"/>
    </row>
    <row r="2960" spans="1:1">
      <c r="A2960" s="176"/>
    </row>
    <row r="2961" spans="1:1">
      <c r="A2961" s="176"/>
    </row>
    <row r="2962" spans="1:1">
      <c r="A2962" s="176"/>
    </row>
    <row r="2963" spans="1:1">
      <c r="A2963" s="176"/>
    </row>
    <row r="2964" spans="1:1">
      <c r="A2964" s="176"/>
    </row>
    <row r="2965" spans="1:1">
      <c r="A2965" s="176"/>
    </row>
    <row r="2966" spans="1:1">
      <c r="A2966" s="176"/>
    </row>
    <row r="2967" spans="1:1">
      <c r="A2967" s="176"/>
    </row>
    <row r="2968" spans="1:1">
      <c r="A2968" s="176"/>
    </row>
    <row r="2969" spans="1:1">
      <c r="A2969" s="176"/>
    </row>
    <row r="2970" spans="1:1">
      <c r="A2970" s="176"/>
    </row>
    <row r="2971" spans="1:1">
      <c r="A2971" s="176"/>
    </row>
    <row r="2972" spans="1:1">
      <c r="A2972" s="176"/>
    </row>
    <row r="2973" spans="1:1">
      <c r="A2973" s="176"/>
    </row>
    <row r="2974" spans="1:1">
      <c r="A2974" s="176"/>
    </row>
    <row r="2975" spans="1:1">
      <c r="A2975" s="176"/>
    </row>
    <row r="2976" spans="1:1">
      <c r="A2976" s="176"/>
    </row>
    <row r="2977" spans="1:1">
      <c r="A2977" s="176"/>
    </row>
    <row r="2978" spans="1:1">
      <c r="A2978" s="176"/>
    </row>
    <row r="2979" spans="1:1">
      <c r="A2979" s="176"/>
    </row>
    <row r="2980" spans="1:1">
      <c r="A2980" s="176"/>
    </row>
    <row r="2981" spans="1:1">
      <c r="A2981" s="176"/>
    </row>
    <row r="2982" spans="1:1">
      <c r="A2982" s="176"/>
    </row>
    <row r="2983" spans="1:1">
      <c r="A2983" s="176"/>
    </row>
    <row r="2984" spans="1:1">
      <c r="A2984" s="176"/>
    </row>
    <row r="2985" spans="1:1">
      <c r="A2985" s="176"/>
    </row>
    <row r="2986" spans="1:1">
      <c r="A2986" s="176"/>
    </row>
    <row r="2987" spans="1:1">
      <c r="A2987" s="176"/>
    </row>
    <row r="2988" spans="1:1">
      <c r="A2988" s="176"/>
    </row>
    <row r="2989" spans="1:1">
      <c r="A2989" s="176"/>
    </row>
    <row r="2990" spans="1:1">
      <c r="A2990" s="176"/>
    </row>
    <row r="2991" spans="1:1">
      <c r="A2991" s="176"/>
    </row>
    <row r="2992" spans="1:1">
      <c r="A2992" s="176"/>
    </row>
    <row r="2993" spans="1:1">
      <c r="A2993" s="176"/>
    </row>
    <row r="2994" spans="1:1">
      <c r="A2994" s="176"/>
    </row>
    <row r="2995" spans="1:1">
      <c r="A2995" s="176"/>
    </row>
    <row r="2996" spans="1:1">
      <c r="A2996" s="176"/>
    </row>
    <row r="2997" spans="1:1">
      <c r="A2997" s="176"/>
    </row>
    <row r="2998" spans="1:1">
      <c r="A2998" s="176"/>
    </row>
    <row r="2999" spans="1:1">
      <c r="A2999" s="176"/>
    </row>
    <row r="3000" spans="1:1">
      <c r="A3000" s="176"/>
    </row>
    <row r="3001" spans="1:1">
      <c r="A3001" s="176"/>
    </row>
    <row r="3002" spans="1:1">
      <c r="A3002" s="176"/>
    </row>
    <row r="3003" spans="1:1">
      <c r="A3003" s="176"/>
    </row>
    <row r="3004" spans="1:1">
      <c r="A3004" s="176"/>
    </row>
    <row r="3005" spans="1:1">
      <c r="A3005" s="176"/>
    </row>
    <row r="3006" spans="1:1">
      <c r="A3006" s="176"/>
    </row>
    <row r="3007" spans="1:1">
      <c r="A3007" s="176"/>
    </row>
    <row r="3008" spans="1:1">
      <c r="A3008" s="176"/>
    </row>
    <row r="3009" spans="1:1">
      <c r="A3009" s="176"/>
    </row>
    <row r="3010" spans="1:1">
      <c r="A3010" s="176"/>
    </row>
    <row r="3011" spans="1:1">
      <c r="A3011" s="176"/>
    </row>
    <row r="3012" spans="1:1">
      <c r="A3012" s="176"/>
    </row>
    <row r="3013" spans="1:1">
      <c r="A3013" s="176"/>
    </row>
    <row r="3014" spans="1:1">
      <c r="A3014" s="176"/>
    </row>
    <row r="3015" spans="1:1">
      <c r="A3015" s="176"/>
    </row>
    <row r="3016" spans="1:1">
      <c r="A3016" s="176"/>
    </row>
    <row r="3017" spans="1:1">
      <c r="A3017" s="176"/>
    </row>
    <row r="3018" spans="1:1">
      <c r="A3018" s="176"/>
    </row>
    <row r="3019" spans="1:1">
      <c r="A3019" s="176"/>
    </row>
    <row r="3020" spans="1:1">
      <c r="A3020" s="176"/>
    </row>
    <row r="3021" spans="1:1">
      <c r="A3021" s="176"/>
    </row>
    <row r="3022" spans="1:1">
      <c r="A3022" s="176"/>
    </row>
    <row r="3023" spans="1:1">
      <c r="A3023" s="176"/>
    </row>
    <row r="3024" spans="1:1">
      <c r="A3024" s="176"/>
    </row>
    <row r="3025" spans="1:1">
      <c r="A3025" s="176"/>
    </row>
    <row r="3026" spans="1:1">
      <c r="A3026" s="176"/>
    </row>
    <row r="3027" spans="1:1">
      <c r="A3027" s="176"/>
    </row>
    <row r="3028" spans="1:1">
      <c r="A3028" s="176"/>
    </row>
    <row r="3029" spans="1:1">
      <c r="A3029" s="176"/>
    </row>
    <row r="3030" spans="1:1">
      <c r="A3030" s="176"/>
    </row>
    <row r="3031" spans="1:1">
      <c r="A3031" s="176"/>
    </row>
    <row r="3032" spans="1:1">
      <c r="A3032" s="176"/>
    </row>
    <row r="3033" spans="1:1">
      <c r="A3033" s="176"/>
    </row>
    <row r="3034" spans="1:1">
      <c r="A3034" s="176"/>
    </row>
    <row r="3035" spans="1:1">
      <c r="A3035" s="176"/>
    </row>
    <row r="3036" spans="1:1">
      <c r="A3036" s="176"/>
    </row>
    <row r="3037" spans="1:1">
      <c r="A3037" s="176"/>
    </row>
    <row r="3038" spans="1:1">
      <c r="A3038" s="176"/>
    </row>
    <row r="3039" spans="1:1">
      <c r="A3039" s="176"/>
    </row>
    <row r="3040" spans="1:1">
      <c r="A3040" s="176"/>
    </row>
    <row r="3041" spans="1:1">
      <c r="A3041" s="176"/>
    </row>
    <row r="3042" spans="1:1">
      <c r="A3042" s="176"/>
    </row>
    <row r="3043" spans="1:1">
      <c r="A3043" s="176"/>
    </row>
    <row r="3044" spans="1:1">
      <c r="A3044" s="176"/>
    </row>
    <row r="3045" spans="1:1">
      <c r="A3045" s="176"/>
    </row>
    <row r="3046" spans="1:1">
      <c r="A3046" s="176"/>
    </row>
    <row r="3047" spans="1:1">
      <c r="A3047" s="176"/>
    </row>
    <row r="3048" spans="1:1">
      <c r="A3048" s="176"/>
    </row>
    <row r="3049" spans="1:1">
      <c r="A3049" s="176"/>
    </row>
    <row r="3050" spans="1:1">
      <c r="A3050" s="176"/>
    </row>
    <row r="3051" spans="1:1">
      <c r="A3051" s="176"/>
    </row>
    <row r="3052" spans="1:1">
      <c r="A3052" s="176"/>
    </row>
    <row r="3053" spans="1:1">
      <c r="A3053" s="176"/>
    </row>
    <row r="3054" spans="1:1">
      <c r="A3054" s="176"/>
    </row>
    <row r="3055" spans="1:1">
      <c r="A3055" s="176"/>
    </row>
    <row r="3056" spans="1:1">
      <c r="A3056" s="176"/>
    </row>
    <row r="3057" spans="1:1">
      <c r="A3057" s="176"/>
    </row>
    <row r="3058" spans="1:1">
      <c r="A3058" s="176"/>
    </row>
    <row r="3059" spans="1:1">
      <c r="A3059" s="176"/>
    </row>
    <row r="3060" spans="1:1">
      <c r="A3060" s="176"/>
    </row>
    <row r="3061" spans="1:1">
      <c r="A3061" s="176"/>
    </row>
    <row r="3062" spans="1:1">
      <c r="A3062" s="176"/>
    </row>
    <row r="3063" spans="1:1">
      <c r="A3063" s="176"/>
    </row>
    <row r="3064" spans="1:1">
      <c r="A3064" s="176"/>
    </row>
    <row r="3065" spans="1:1">
      <c r="A3065" s="176"/>
    </row>
    <row r="3066" spans="1:1">
      <c r="A3066" s="176"/>
    </row>
    <row r="3067" spans="1:1">
      <c r="A3067" s="176"/>
    </row>
    <row r="3068" spans="1:1">
      <c r="A3068" s="176"/>
    </row>
    <row r="3069" spans="1:1">
      <c r="A3069" s="176"/>
    </row>
    <row r="3070" spans="1:1">
      <c r="A3070" s="176"/>
    </row>
    <row r="3071" spans="1:1">
      <c r="A3071" s="176"/>
    </row>
    <row r="3072" spans="1:1">
      <c r="A3072" s="176"/>
    </row>
    <row r="3073" spans="1:1">
      <c r="A3073" s="176"/>
    </row>
    <row r="3074" spans="1:1">
      <c r="A3074" s="176"/>
    </row>
    <row r="3075" spans="1:1">
      <c r="A3075" s="176"/>
    </row>
    <row r="3076" spans="1:1">
      <c r="A3076" s="176"/>
    </row>
    <row r="3077" spans="1:1">
      <c r="A3077" s="176"/>
    </row>
    <row r="3078" spans="1:1">
      <c r="A3078" s="176"/>
    </row>
    <row r="3079" spans="1:1">
      <c r="A3079" s="176"/>
    </row>
    <row r="3080" spans="1:1">
      <c r="A3080" s="176"/>
    </row>
    <row r="3081" spans="1:1">
      <c r="A3081" s="176"/>
    </row>
    <row r="3082" spans="1:1">
      <c r="A3082" s="176"/>
    </row>
    <row r="3083" spans="1:1">
      <c r="A3083" s="176"/>
    </row>
    <row r="3084" spans="1:1">
      <c r="A3084" s="176"/>
    </row>
    <row r="3085" spans="1:1">
      <c r="A3085" s="176"/>
    </row>
    <row r="3086" spans="1:1">
      <c r="A3086" s="176"/>
    </row>
    <row r="3087" spans="1:1">
      <c r="A3087" s="176"/>
    </row>
    <row r="3088" spans="1:1">
      <c r="A3088" s="176"/>
    </row>
    <row r="3089" spans="1:1">
      <c r="A3089" s="176"/>
    </row>
    <row r="3090" spans="1:1">
      <c r="A3090" s="176"/>
    </row>
    <row r="3091" spans="1:1">
      <c r="A3091" s="176"/>
    </row>
    <row r="3092" spans="1:1">
      <c r="A3092" s="176"/>
    </row>
    <row r="3093" spans="1:1">
      <c r="A3093" s="176"/>
    </row>
    <row r="3094" spans="1:1">
      <c r="A3094" s="176"/>
    </row>
    <row r="3095" spans="1:1">
      <c r="A3095" s="176"/>
    </row>
    <row r="3096" spans="1:1">
      <c r="A3096" s="176"/>
    </row>
    <row r="3097" spans="1:1">
      <c r="A3097" s="176"/>
    </row>
    <row r="3098" spans="1:1">
      <c r="A3098" s="176"/>
    </row>
    <row r="3099" spans="1:1">
      <c r="A3099" s="176"/>
    </row>
    <row r="3100" spans="1:1">
      <c r="A3100" s="176"/>
    </row>
    <row r="3101" spans="1:1">
      <c r="A3101" s="176"/>
    </row>
    <row r="3102" spans="1:1">
      <c r="A3102" s="176"/>
    </row>
    <row r="3103" spans="1:1">
      <c r="A3103" s="176"/>
    </row>
    <row r="3104" spans="1:1">
      <c r="A3104" s="176"/>
    </row>
    <row r="3105" spans="1:1">
      <c r="A3105" s="176"/>
    </row>
    <row r="3106" spans="1:1">
      <c r="A3106" s="176"/>
    </row>
    <row r="3107" spans="1:1">
      <c r="A3107" s="176"/>
    </row>
    <row r="3108" spans="1:1">
      <c r="A3108" s="176"/>
    </row>
    <row r="3109" spans="1:1">
      <c r="A3109" s="176"/>
    </row>
    <row r="3110" spans="1:1">
      <c r="A3110" s="176"/>
    </row>
    <row r="3111" spans="1:1">
      <c r="A3111" s="176"/>
    </row>
    <row r="3112" spans="1:1">
      <c r="A3112" s="176"/>
    </row>
    <row r="3113" spans="1:1">
      <c r="A3113" s="176"/>
    </row>
    <row r="3114" spans="1:1">
      <c r="A3114" s="176"/>
    </row>
    <row r="3115" spans="1:1">
      <c r="A3115" s="176"/>
    </row>
    <row r="3116" spans="1:1">
      <c r="A3116" s="176"/>
    </row>
    <row r="3117" spans="1:1">
      <c r="A3117" s="176"/>
    </row>
    <row r="3118" spans="1:1">
      <c r="A3118" s="176"/>
    </row>
    <row r="3119" spans="1:1">
      <c r="A3119" s="176"/>
    </row>
    <row r="3120" spans="1:1">
      <c r="A3120" s="176"/>
    </row>
    <row r="3121" spans="1:1">
      <c r="A3121" s="176"/>
    </row>
    <row r="3122" spans="1:1">
      <c r="A3122" s="176"/>
    </row>
    <row r="3123" spans="1:1">
      <c r="A3123" s="176"/>
    </row>
    <row r="3124" spans="1:1">
      <c r="A3124" s="176"/>
    </row>
    <row r="3125" spans="1:1">
      <c r="A3125" s="176"/>
    </row>
    <row r="3126" spans="1:1">
      <c r="A3126" s="176"/>
    </row>
    <row r="3127" spans="1:1">
      <c r="A3127" s="176"/>
    </row>
    <row r="3128" spans="1:1">
      <c r="A3128" s="176"/>
    </row>
    <row r="3129" spans="1:1">
      <c r="A3129" s="176"/>
    </row>
    <row r="3130" spans="1:1">
      <c r="A3130" s="176"/>
    </row>
    <row r="3131" spans="1:1">
      <c r="A3131" s="176"/>
    </row>
    <row r="3132" spans="1:1">
      <c r="A3132" s="176"/>
    </row>
    <row r="3133" spans="1:1">
      <c r="A3133" s="176"/>
    </row>
    <row r="3134" spans="1:1">
      <c r="A3134" s="176"/>
    </row>
    <row r="3135" spans="1:1">
      <c r="A3135" s="176"/>
    </row>
    <row r="3136" spans="1:1">
      <c r="A3136" s="176"/>
    </row>
    <row r="3137" spans="1:1">
      <c r="A3137" s="176"/>
    </row>
    <row r="3138" spans="1:1">
      <c r="A3138" s="176"/>
    </row>
    <row r="3139" spans="1:1">
      <c r="A3139" s="176"/>
    </row>
    <row r="3140" spans="1:1">
      <c r="A3140" s="176"/>
    </row>
    <row r="3141" spans="1:1">
      <c r="A3141" s="176"/>
    </row>
    <row r="3142" spans="1:1">
      <c r="A3142" s="176"/>
    </row>
    <row r="3143" spans="1:1">
      <c r="A3143" s="176"/>
    </row>
    <row r="3144" spans="1:1">
      <c r="A3144" s="176"/>
    </row>
    <row r="3145" spans="1:1">
      <c r="A3145" s="176"/>
    </row>
    <row r="3146" spans="1:1">
      <c r="A3146" s="176"/>
    </row>
    <row r="3147" spans="1:1">
      <c r="A3147" s="176"/>
    </row>
    <row r="3148" spans="1:1">
      <c r="A3148" s="176"/>
    </row>
    <row r="3149" spans="1:1">
      <c r="A3149" s="176"/>
    </row>
    <row r="3150" spans="1:1">
      <c r="A3150" s="176"/>
    </row>
    <row r="3151" spans="1:1">
      <c r="A3151" s="176"/>
    </row>
    <row r="3152" spans="1:1">
      <c r="A3152" s="176"/>
    </row>
    <row r="3153" spans="1:1">
      <c r="A3153" s="176"/>
    </row>
    <row r="3154" spans="1:1">
      <c r="A3154" s="176"/>
    </row>
    <row r="3155" spans="1:1">
      <c r="A3155" s="176"/>
    </row>
    <row r="3156" spans="1:1">
      <c r="A3156" s="176"/>
    </row>
    <row r="3157" spans="1:1">
      <c r="A3157" s="176"/>
    </row>
    <row r="3158" spans="1:1">
      <c r="A3158" s="176"/>
    </row>
    <row r="3159" spans="1:1">
      <c r="A3159" s="176"/>
    </row>
    <row r="3160" spans="1:1">
      <c r="A3160" s="176"/>
    </row>
    <row r="3161" spans="1:1">
      <c r="A3161" s="176"/>
    </row>
    <row r="3162" spans="1:1">
      <c r="A3162" s="176"/>
    </row>
    <row r="3163" spans="1:1">
      <c r="A3163" s="176"/>
    </row>
    <row r="3164" spans="1:1">
      <c r="A3164" s="176"/>
    </row>
    <row r="3165" spans="1:1">
      <c r="A3165" s="176"/>
    </row>
    <row r="3166" spans="1:1">
      <c r="A3166" s="176"/>
    </row>
    <row r="3167" spans="1:1">
      <c r="A3167" s="176"/>
    </row>
    <row r="3168" spans="1:1">
      <c r="A3168" s="176"/>
    </row>
    <row r="3169" spans="1:1">
      <c r="A3169" s="176"/>
    </row>
    <row r="3170" spans="1:1">
      <c r="A3170" s="176"/>
    </row>
    <row r="3171" spans="1:1">
      <c r="A3171" s="176"/>
    </row>
    <row r="3172" spans="1:1">
      <c r="A3172" s="176"/>
    </row>
    <row r="3173" spans="1:1">
      <c r="A3173" s="176"/>
    </row>
    <row r="3174" spans="1:1">
      <c r="A3174" s="176"/>
    </row>
    <row r="3175" spans="1:1">
      <c r="A3175" s="176"/>
    </row>
    <row r="3176" spans="1:1">
      <c r="A3176" s="176"/>
    </row>
    <row r="3177" spans="1:1">
      <c r="A3177" s="176"/>
    </row>
    <row r="3178" spans="1:1">
      <c r="A3178" s="176"/>
    </row>
    <row r="3179" spans="1:1">
      <c r="A3179" s="176"/>
    </row>
    <row r="3180" spans="1:1">
      <c r="A3180" s="176"/>
    </row>
    <row r="3181" spans="1:1">
      <c r="A3181" s="176"/>
    </row>
    <row r="3182" spans="1:1">
      <c r="A3182" s="176"/>
    </row>
    <row r="3183" spans="1:1">
      <c r="A3183" s="176"/>
    </row>
    <row r="3184" spans="1:1">
      <c r="A3184" s="176"/>
    </row>
    <row r="3185" spans="1:1">
      <c r="A3185" s="176"/>
    </row>
    <row r="3186" spans="1:1">
      <c r="A3186" s="176"/>
    </row>
    <row r="3187" spans="1:1">
      <c r="A3187" s="176"/>
    </row>
    <row r="3188" spans="1:1">
      <c r="A3188" s="176"/>
    </row>
    <row r="3189" spans="1:1">
      <c r="A3189" s="176"/>
    </row>
    <row r="3190" spans="1:1">
      <c r="A3190" s="176"/>
    </row>
    <row r="3191" spans="1:1">
      <c r="A3191" s="176"/>
    </row>
    <row r="3192" spans="1:1">
      <c r="A3192" s="176"/>
    </row>
    <row r="3193" spans="1:1">
      <c r="A3193" s="176"/>
    </row>
    <row r="3194" spans="1:1">
      <c r="A3194" s="176"/>
    </row>
    <row r="3195" spans="1:1">
      <c r="A3195" s="176"/>
    </row>
    <row r="3196" spans="1:1">
      <c r="A3196" s="176"/>
    </row>
    <row r="3197" spans="1:1">
      <c r="A3197" s="176"/>
    </row>
    <row r="3198" spans="1:1">
      <c r="A3198" s="176"/>
    </row>
    <row r="3199" spans="1:1">
      <c r="A3199" s="176"/>
    </row>
    <row r="3200" spans="1:1">
      <c r="A3200" s="176"/>
    </row>
    <row r="3201" spans="1:1">
      <c r="A3201" s="176"/>
    </row>
    <row r="3202" spans="1:1">
      <c r="A3202" s="176"/>
    </row>
    <row r="3203" spans="1:1">
      <c r="A3203" s="176"/>
    </row>
    <row r="3204" spans="1:1">
      <c r="A3204" s="176"/>
    </row>
    <row r="3205" spans="1:1">
      <c r="A3205" s="176"/>
    </row>
    <row r="3206" spans="1:1">
      <c r="A3206" s="176"/>
    </row>
    <row r="3207" spans="1:1">
      <c r="A3207" s="176"/>
    </row>
    <row r="3208" spans="1:1">
      <c r="A3208" s="176"/>
    </row>
    <row r="3209" spans="1:1">
      <c r="A3209" s="176"/>
    </row>
    <row r="3210" spans="1:1">
      <c r="A3210" s="176"/>
    </row>
    <row r="3211" spans="1:1">
      <c r="A3211" s="176"/>
    </row>
    <row r="3212" spans="1:1">
      <c r="A3212" s="176"/>
    </row>
    <row r="3213" spans="1:1">
      <c r="A3213" s="176"/>
    </row>
    <row r="3214" spans="1:1">
      <c r="A3214" s="176"/>
    </row>
    <row r="3215" spans="1:1">
      <c r="A3215" s="176"/>
    </row>
    <row r="3216" spans="1:1">
      <c r="A3216" s="176"/>
    </row>
    <row r="3217" spans="1:1">
      <c r="A3217" s="176"/>
    </row>
    <row r="3218" spans="1:1">
      <c r="A3218" s="176"/>
    </row>
    <row r="3219" spans="1:1">
      <c r="A3219" s="176"/>
    </row>
    <row r="3220" spans="1:1">
      <c r="A3220" s="176"/>
    </row>
    <row r="3221" spans="1:1">
      <c r="A3221" s="176"/>
    </row>
    <row r="3222" spans="1:1">
      <c r="A3222" s="176"/>
    </row>
    <row r="3223" spans="1:1">
      <c r="A3223" s="176"/>
    </row>
    <row r="3224" spans="1:1">
      <c r="A3224" s="176"/>
    </row>
    <row r="3225" spans="1:1">
      <c r="A3225" s="176"/>
    </row>
    <row r="3226" spans="1:1">
      <c r="A3226" s="176"/>
    </row>
    <row r="3227" spans="1:1">
      <c r="A3227" s="176"/>
    </row>
    <row r="3228" spans="1:1">
      <c r="A3228" s="176"/>
    </row>
    <row r="3229" spans="1:1">
      <c r="A3229" s="176"/>
    </row>
    <row r="3230" spans="1:1">
      <c r="A3230" s="176"/>
    </row>
    <row r="3231" spans="1:1">
      <c r="A3231" s="176"/>
    </row>
    <row r="3232" spans="1:1">
      <c r="A3232" s="176"/>
    </row>
    <row r="3233" spans="1:1">
      <c r="A3233" s="176"/>
    </row>
    <row r="3234" spans="1:1">
      <c r="A3234" s="176"/>
    </row>
    <row r="3235" spans="1:1">
      <c r="A3235" s="176"/>
    </row>
    <row r="3236" spans="1:1">
      <c r="A3236" s="176"/>
    </row>
    <row r="3237" spans="1:1">
      <c r="A3237" s="176"/>
    </row>
    <row r="3238" spans="1:1">
      <c r="A3238" s="176"/>
    </row>
    <row r="3239" spans="1:1">
      <c r="A3239" s="176"/>
    </row>
    <row r="3240" spans="1:1">
      <c r="A3240" s="176"/>
    </row>
    <row r="3241" spans="1:1">
      <c r="A3241" s="176"/>
    </row>
    <row r="3242" spans="1:1">
      <c r="A3242" s="176"/>
    </row>
    <row r="3243" spans="1:1">
      <c r="A3243" s="176"/>
    </row>
    <row r="3244" spans="1:1">
      <c r="A3244" s="176"/>
    </row>
    <row r="3245" spans="1:1">
      <c r="A3245" s="176"/>
    </row>
    <row r="3246" spans="1:1">
      <c r="A3246" s="176"/>
    </row>
    <row r="3247" spans="1:1">
      <c r="A3247" s="176"/>
    </row>
    <row r="3248" spans="1:1">
      <c r="A3248" s="176"/>
    </row>
    <row r="3249" spans="1:1">
      <c r="A3249" s="176"/>
    </row>
    <row r="3250" spans="1:1">
      <c r="A3250" s="176"/>
    </row>
    <row r="3251" spans="1:1">
      <c r="A3251" s="176"/>
    </row>
    <row r="3252" spans="1:1">
      <c r="A3252" s="176"/>
    </row>
    <row r="3253" spans="1:1">
      <c r="A3253" s="176"/>
    </row>
    <row r="3254" spans="1:1">
      <c r="A3254" s="176"/>
    </row>
    <row r="3255" spans="1:1">
      <c r="A3255" s="176"/>
    </row>
    <row r="3256" spans="1:1">
      <c r="A3256" s="176"/>
    </row>
    <row r="3257" spans="1:1">
      <c r="A3257" s="176"/>
    </row>
    <row r="3258" spans="1:1">
      <c r="A3258" s="176"/>
    </row>
    <row r="3259" spans="1:1">
      <c r="A3259" s="176"/>
    </row>
    <row r="3260" spans="1:1">
      <c r="A3260" s="176"/>
    </row>
    <row r="3261" spans="1:1">
      <c r="A3261" s="176"/>
    </row>
    <row r="3262" spans="1:1">
      <c r="A3262" s="176"/>
    </row>
    <row r="3263" spans="1:1">
      <c r="A3263" s="176"/>
    </row>
    <row r="3264" spans="1:1">
      <c r="A3264" s="176"/>
    </row>
    <row r="3265" spans="1:1">
      <c r="A3265" s="176"/>
    </row>
    <row r="3266" spans="1:1">
      <c r="A3266" s="176"/>
    </row>
    <row r="3267" spans="1:1">
      <c r="A3267" s="176"/>
    </row>
    <row r="3268" spans="1:1">
      <c r="A3268" s="176"/>
    </row>
    <row r="3269" spans="1:1">
      <c r="A3269" s="176"/>
    </row>
    <row r="3270" spans="1:1">
      <c r="A3270" s="176"/>
    </row>
    <row r="3271" spans="1:1">
      <c r="A3271" s="176"/>
    </row>
    <row r="3272" spans="1:1">
      <c r="A3272" s="176"/>
    </row>
    <row r="3273" spans="1:1">
      <c r="A3273" s="176"/>
    </row>
    <row r="3274" spans="1:1">
      <c r="A3274" s="176"/>
    </row>
    <row r="3275" spans="1:1">
      <c r="A3275" s="176"/>
    </row>
    <row r="3276" spans="1:1">
      <c r="A3276" s="176"/>
    </row>
    <row r="3277" spans="1:1">
      <c r="A3277" s="176"/>
    </row>
    <row r="3278" spans="1:1">
      <c r="A3278" s="176"/>
    </row>
    <row r="3279" spans="1:1">
      <c r="A3279" s="176"/>
    </row>
    <row r="3280" spans="1:1">
      <c r="A3280" s="176"/>
    </row>
    <row r="3281" spans="1:1">
      <c r="A3281" s="176"/>
    </row>
    <row r="3282" spans="1:1">
      <c r="A3282" s="176"/>
    </row>
    <row r="3283" spans="1:1">
      <c r="A3283" s="176"/>
    </row>
    <row r="3284" spans="1:1">
      <c r="A3284" s="176"/>
    </row>
    <row r="3285" spans="1:1">
      <c r="A3285" s="176"/>
    </row>
    <row r="3286" spans="1:1">
      <c r="A3286" s="176"/>
    </row>
    <row r="3287" spans="1:1">
      <c r="A3287" s="176"/>
    </row>
    <row r="3288" spans="1:1">
      <c r="A3288" s="176"/>
    </row>
    <row r="3289" spans="1:1">
      <c r="A3289" s="176"/>
    </row>
    <row r="3290" spans="1:1">
      <c r="A3290" s="176"/>
    </row>
    <row r="3291" spans="1:1">
      <c r="A3291" s="176"/>
    </row>
    <row r="3292" spans="1:1">
      <c r="A3292" s="176"/>
    </row>
    <row r="3293" spans="1:1">
      <c r="A3293" s="176"/>
    </row>
    <row r="3294" spans="1:1">
      <c r="A3294" s="176"/>
    </row>
    <row r="3295" spans="1:1">
      <c r="A3295" s="176"/>
    </row>
    <row r="3296" spans="1:1">
      <c r="A3296" s="176"/>
    </row>
    <row r="3297" spans="1:1">
      <c r="A3297" s="176"/>
    </row>
    <row r="3298" spans="1:1">
      <c r="A3298" s="176"/>
    </row>
    <row r="3299" spans="1:1">
      <c r="A3299" s="176"/>
    </row>
    <row r="3300" spans="1:1">
      <c r="A3300" s="176"/>
    </row>
    <row r="3301" spans="1:1">
      <c r="A3301" s="176"/>
    </row>
    <row r="3302" spans="1:1">
      <c r="A3302" s="176"/>
    </row>
    <row r="3303" spans="1:1">
      <c r="A3303" s="176"/>
    </row>
    <row r="3304" spans="1:1">
      <c r="A3304" s="176"/>
    </row>
    <row r="3305" spans="1:1">
      <c r="A3305" s="176"/>
    </row>
    <row r="3306" spans="1:1">
      <c r="A3306" s="176"/>
    </row>
    <row r="3307" spans="1:1">
      <c r="A3307" s="176"/>
    </row>
    <row r="3308" spans="1:1">
      <c r="A3308" s="176"/>
    </row>
    <row r="3309" spans="1:1">
      <c r="A3309" s="176"/>
    </row>
    <row r="3310" spans="1:1">
      <c r="A3310" s="176"/>
    </row>
    <row r="3311" spans="1:1">
      <c r="A3311" s="176"/>
    </row>
    <row r="3312" spans="1:1">
      <c r="A3312" s="176"/>
    </row>
    <row r="3313" spans="1:1">
      <c r="A3313" s="176"/>
    </row>
    <row r="3314" spans="1:1">
      <c r="A3314" s="176"/>
    </row>
    <row r="3315" spans="1:1">
      <c r="A3315" s="176"/>
    </row>
    <row r="3316" spans="1:1">
      <c r="A3316" s="176"/>
    </row>
    <row r="3317" spans="1:1">
      <c r="A3317" s="176"/>
    </row>
    <row r="3318" spans="1:1">
      <c r="A3318" s="176"/>
    </row>
    <row r="3319" spans="1:1">
      <c r="A3319" s="176"/>
    </row>
    <row r="3320" spans="1:1">
      <c r="A3320" s="176"/>
    </row>
    <row r="3321" spans="1:1">
      <c r="A3321" s="176"/>
    </row>
    <row r="3322" spans="1:1">
      <c r="A3322" s="176"/>
    </row>
    <row r="3323" spans="1:1">
      <c r="A3323" s="176"/>
    </row>
    <row r="3324" spans="1:1">
      <c r="A3324" s="176"/>
    </row>
    <row r="3325" spans="1:1">
      <c r="A3325" s="176"/>
    </row>
    <row r="3326" spans="1:1">
      <c r="A3326" s="176"/>
    </row>
    <row r="3327" spans="1:1">
      <c r="A3327" s="176"/>
    </row>
    <row r="3328" spans="1:1">
      <c r="A3328" s="176"/>
    </row>
    <row r="3329" spans="1:1">
      <c r="A3329" s="176"/>
    </row>
    <row r="3330" spans="1:1">
      <c r="A3330" s="176"/>
    </row>
    <row r="3331" spans="1:1">
      <c r="A3331" s="176"/>
    </row>
    <row r="3332" spans="1:1">
      <c r="A3332" s="176"/>
    </row>
    <row r="3333" spans="1:1">
      <c r="A3333" s="176"/>
    </row>
    <row r="3334" spans="1:1">
      <c r="A3334" s="176"/>
    </row>
    <row r="3335" spans="1:1">
      <c r="A3335" s="176"/>
    </row>
    <row r="3336" spans="1:1">
      <c r="A3336" s="176"/>
    </row>
    <row r="3337" spans="1:1">
      <c r="A3337" s="176"/>
    </row>
    <row r="3338" spans="1:1">
      <c r="A3338" s="176"/>
    </row>
    <row r="3339" spans="1:1">
      <c r="A3339" s="176"/>
    </row>
    <row r="3340" spans="1:1">
      <c r="A3340" s="176"/>
    </row>
    <row r="3341" spans="1:1">
      <c r="A3341" s="176"/>
    </row>
    <row r="3342" spans="1:1">
      <c r="A3342" s="176"/>
    </row>
    <row r="3343" spans="1:1">
      <c r="A3343" s="176"/>
    </row>
    <row r="3344" spans="1:1">
      <c r="A3344" s="176"/>
    </row>
    <row r="3345" spans="1:1">
      <c r="A3345" s="176"/>
    </row>
    <row r="3346" spans="1:1">
      <c r="A3346" s="176"/>
    </row>
    <row r="3347" spans="1:1">
      <c r="A3347" s="176"/>
    </row>
    <row r="3348" spans="1:1">
      <c r="A3348" s="176"/>
    </row>
    <row r="3349" spans="1:1">
      <c r="A3349" s="176"/>
    </row>
    <row r="3350" spans="1:1">
      <c r="A3350" s="176"/>
    </row>
    <row r="3351" spans="1:1">
      <c r="A3351" s="176"/>
    </row>
    <row r="3352" spans="1:1">
      <c r="A3352" s="176"/>
    </row>
    <row r="3353" spans="1:1">
      <c r="A3353" s="176"/>
    </row>
    <row r="3354" spans="1:1">
      <c r="A3354" s="176"/>
    </row>
    <row r="3355" spans="1:1">
      <c r="A3355" s="176"/>
    </row>
    <row r="3356" spans="1:1">
      <c r="A3356" s="176"/>
    </row>
    <row r="3357" spans="1:1">
      <c r="A3357" s="176"/>
    </row>
    <row r="3358" spans="1:1">
      <c r="A3358" s="176"/>
    </row>
    <row r="3359" spans="1:1">
      <c r="A3359" s="176"/>
    </row>
  </sheetData>
  <autoFilter ref="A2:AA180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B3B5-AFAB-4834-A7A6-7872C29332A7}">
  <sheetPr>
    <tabColor rgb="FF002060"/>
  </sheetPr>
  <dimension ref="B2:AW465"/>
  <sheetViews>
    <sheetView showGridLines="0" topLeftCell="A81" workbookViewId="0">
      <selection activeCell="D483" sqref="D483"/>
    </sheetView>
  </sheetViews>
  <sheetFormatPr defaultColWidth="9.1796875" defaultRowHeight="12.5"/>
  <cols>
    <col min="1" max="1" width="9.1796875" style="192"/>
    <col min="2" max="2" width="19.7265625" style="192" bestFit="1" customWidth="1"/>
    <col min="3" max="3" width="46.26953125" style="192" customWidth="1"/>
    <col min="4" max="4" width="39.453125" style="192" customWidth="1"/>
    <col min="5" max="5" width="30.7265625" style="192" customWidth="1"/>
    <col min="6" max="6" width="24.81640625" style="192" customWidth="1"/>
    <col min="7" max="16384" width="9.1796875" style="192"/>
  </cols>
  <sheetData>
    <row r="2" spans="2:49" ht="14.5">
      <c r="B2" s="191"/>
      <c r="C2"/>
      <c r="D2"/>
      <c r="E2"/>
      <c r="F2"/>
    </row>
    <row r="3" spans="2:49" ht="14.5">
      <c r="B3" s="193"/>
      <c r="C3" s="226"/>
      <c r="D3" s="226"/>
      <c r="E3" s="226"/>
      <c r="F3" s="226"/>
    </row>
    <row r="4" spans="2:49" ht="13">
      <c r="B4" s="194"/>
      <c r="C4" s="226"/>
      <c r="D4" s="226"/>
      <c r="E4" s="226"/>
      <c r="F4" s="226"/>
    </row>
    <row r="5" spans="2:49" ht="15.5">
      <c r="B5" s="194"/>
      <c r="C5" s="227" t="s">
        <v>1003</v>
      </c>
      <c r="D5" s="227"/>
      <c r="E5" s="227"/>
      <c r="F5" s="227"/>
    </row>
    <row r="6" spans="2:49" ht="14.5">
      <c r="B6" s="191"/>
      <c r="C6"/>
      <c r="D6"/>
      <c r="E6"/>
      <c r="F6"/>
    </row>
    <row r="7" spans="2:49" ht="15.5">
      <c r="C7" s="224" t="s">
        <v>1004</v>
      </c>
      <c r="D7" s="224"/>
      <c r="E7" s="224"/>
      <c r="F7" s="224"/>
    </row>
    <row r="8" spans="2:49" ht="15.5">
      <c r="C8" s="223" t="s">
        <v>1005</v>
      </c>
      <c r="D8" s="223"/>
      <c r="E8" s="223"/>
      <c r="F8" s="223"/>
      <c r="G8" s="223"/>
    </row>
    <row r="9" spans="2:49" ht="15.5">
      <c r="C9" s="224" t="s">
        <v>1006</v>
      </c>
      <c r="D9" s="224"/>
      <c r="E9" s="224"/>
      <c r="F9" s="224"/>
    </row>
    <row r="10" spans="2:49" ht="14.5">
      <c r="B10" s="191"/>
      <c r="C10"/>
      <c r="D10"/>
      <c r="E10"/>
      <c r="F10"/>
    </row>
    <row r="11" spans="2:49" ht="14.5">
      <c r="B11" s="191"/>
      <c r="C11"/>
      <c r="D11"/>
      <c r="E11"/>
      <c r="F11"/>
    </row>
    <row r="12" spans="2:49" ht="15" thickBot="1">
      <c r="B12" s="195" t="s">
        <v>1007</v>
      </c>
      <c r="C12" s="195" t="s">
        <v>1008</v>
      </c>
      <c r="D12" s="194"/>
      <c r="E12"/>
      <c r="F12"/>
    </row>
    <row r="13" spans="2:49" ht="15" thickBot="1">
      <c r="B13" s="194"/>
      <c r="C13" s="196" t="s">
        <v>1009</v>
      </c>
      <c r="D13" s="197" t="s">
        <v>1010</v>
      </c>
      <c r="E13"/>
      <c r="F13"/>
      <c r="AW13" s="192" t="s">
        <v>1011</v>
      </c>
    </row>
    <row r="14" spans="2:49" ht="15" thickBot="1">
      <c r="B14" s="198"/>
      <c r="C14" s="199" t="s">
        <v>1012</v>
      </c>
      <c r="D14" s="200" t="s">
        <v>1013</v>
      </c>
      <c r="E14"/>
      <c r="F14"/>
      <c r="AW14" s="192" t="s">
        <v>1011</v>
      </c>
    </row>
    <row r="15" spans="2:49" ht="15" thickBot="1">
      <c r="B15" s="198"/>
      <c r="C15" s="199" t="s">
        <v>1014</v>
      </c>
      <c r="D15" s="200" t="s">
        <v>1013</v>
      </c>
      <c r="E15"/>
      <c r="F15"/>
      <c r="AW15" s="192" t="s">
        <v>1011</v>
      </c>
    </row>
    <row r="16" spans="2:49" ht="15" thickBot="1">
      <c r="B16" s="198"/>
      <c r="C16" s="199" t="s">
        <v>1015</v>
      </c>
      <c r="D16" s="200" t="s">
        <v>1013</v>
      </c>
      <c r="E16"/>
      <c r="F16"/>
      <c r="AW16" s="192" t="s">
        <v>1011</v>
      </c>
    </row>
    <row r="17" spans="2:49" ht="15" thickBot="1">
      <c r="B17" s="198"/>
      <c r="C17" s="199" t="s">
        <v>1016</v>
      </c>
      <c r="D17" s="200" t="s">
        <v>1013</v>
      </c>
      <c r="E17"/>
      <c r="F17"/>
      <c r="AW17" s="192" t="s">
        <v>1011</v>
      </c>
    </row>
    <row r="18" spans="2:49" ht="15" thickBot="1">
      <c r="B18" s="198"/>
      <c r="C18" s="199" t="s">
        <v>1017</v>
      </c>
      <c r="D18" s="200" t="s">
        <v>1013</v>
      </c>
      <c r="E18"/>
      <c r="F18"/>
      <c r="AW18" s="192" t="s">
        <v>1011</v>
      </c>
    </row>
    <row r="19" spans="2:49" ht="15" thickBot="1">
      <c r="B19" s="198"/>
      <c r="C19" s="199" t="s">
        <v>1018</v>
      </c>
      <c r="D19" s="200" t="s">
        <v>1013</v>
      </c>
      <c r="E19"/>
      <c r="F19"/>
      <c r="AW19" s="192" t="s">
        <v>1011</v>
      </c>
    </row>
    <row r="20" spans="2:49" ht="15" thickBot="1">
      <c r="B20" s="198"/>
      <c r="C20" s="199" t="s">
        <v>1019</v>
      </c>
      <c r="D20" s="200" t="s">
        <v>1020</v>
      </c>
      <c r="E20"/>
      <c r="F20"/>
      <c r="AW20" s="192" t="s">
        <v>1011</v>
      </c>
    </row>
    <row r="21" spans="2:49" ht="15" thickBot="1">
      <c r="B21" s="198"/>
      <c r="C21" s="199" t="s">
        <v>1021</v>
      </c>
      <c r="D21" s="200" t="s">
        <v>1013</v>
      </c>
      <c r="E21"/>
      <c r="F21"/>
      <c r="AW21" s="192" t="s">
        <v>1011</v>
      </c>
    </row>
    <row r="22" spans="2:49" ht="15" thickBot="1">
      <c r="B22" s="198"/>
      <c r="C22" s="199" t="s">
        <v>1022</v>
      </c>
      <c r="D22" s="200" t="s">
        <v>1013</v>
      </c>
      <c r="E22"/>
      <c r="F22"/>
      <c r="AW22" s="192" t="s">
        <v>1011</v>
      </c>
    </row>
    <row r="23" spans="2:49" ht="15" thickBot="1">
      <c r="B23" s="198"/>
      <c r="C23" s="199" t="s">
        <v>1023</v>
      </c>
      <c r="D23" s="200" t="s">
        <v>1013</v>
      </c>
      <c r="E23"/>
      <c r="F23"/>
      <c r="AW23" s="192" t="s">
        <v>1011</v>
      </c>
    </row>
    <row r="24" spans="2:49" ht="15" thickBot="1">
      <c r="B24" s="198"/>
      <c r="C24" s="199" t="s">
        <v>1024</v>
      </c>
      <c r="D24" s="200" t="s">
        <v>1020</v>
      </c>
      <c r="E24"/>
      <c r="F24"/>
      <c r="AW24" s="192" t="s">
        <v>1011</v>
      </c>
    </row>
    <row r="25" spans="2:49" ht="15" thickBot="1">
      <c r="B25" s="198"/>
      <c r="C25" s="199" t="s">
        <v>1025</v>
      </c>
      <c r="D25" s="200" t="s">
        <v>1026</v>
      </c>
      <c r="E25"/>
      <c r="F25"/>
      <c r="AW25" s="192" t="s">
        <v>1011</v>
      </c>
    </row>
    <row r="26" spans="2:49" ht="15" thickBot="1">
      <c r="B26" s="198"/>
      <c r="C26" s="199" t="s">
        <v>1027</v>
      </c>
      <c r="D26" s="200" t="s">
        <v>1028</v>
      </c>
      <c r="E26"/>
      <c r="F26"/>
      <c r="AW26" s="192" t="s">
        <v>1011</v>
      </c>
    </row>
    <row r="27" spans="2:49" ht="15" thickBot="1">
      <c r="B27" s="194"/>
      <c r="C27" s="199" t="s">
        <v>1029</v>
      </c>
      <c r="D27" s="200" t="s">
        <v>1013</v>
      </c>
      <c r="E27"/>
      <c r="F27"/>
      <c r="AW27" s="192" t="s">
        <v>1011</v>
      </c>
    </row>
    <row r="28" spans="2:49" ht="15" thickBot="1">
      <c r="B28" s="198"/>
      <c r="C28" s="199" t="s">
        <v>1030</v>
      </c>
      <c r="D28" s="200" t="s">
        <v>1026</v>
      </c>
      <c r="E28"/>
      <c r="F28"/>
      <c r="AW28" s="192" t="s">
        <v>1011</v>
      </c>
    </row>
    <row r="29" spans="2:49" ht="15" thickBot="1">
      <c r="B29" s="198"/>
      <c r="C29" s="199" t="s">
        <v>1031</v>
      </c>
      <c r="D29" s="200" t="s">
        <v>1028</v>
      </c>
      <c r="E29"/>
      <c r="F29"/>
      <c r="AW29" s="192" t="s">
        <v>1011</v>
      </c>
    </row>
    <row r="30" spans="2:49" ht="15" thickBot="1">
      <c r="B30" s="198"/>
      <c r="C30" s="199" t="s">
        <v>1032</v>
      </c>
      <c r="D30" s="200" t="s">
        <v>1033</v>
      </c>
      <c r="E30"/>
      <c r="F30"/>
      <c r="J30" s="201"/>
      <c r="AW30" s="192" t="s">
        <v>1011</v>
      </c>
    </row>
    <row r="31" spans="2:49" ht="15" thickBot="1">
      <c r="B31" s="198"/>
      <c r="C31" s="199" t="s">
        <v>1034</v>
      </c>
      <c r="D31" s="200" t="s">
        <v>1035</v>
      </c>
      <c r="E31"/>
      <c r="F31"/>
      <c r="AW31" s="192" t="s">
        <v>1011</v>
      </c>
    </row>
    <row r="32" spans="2:49" ht="15" thickBot="1">
      <c r="B32" s="198"/>
      <c r="C32" s="199" t="s">
        <v>1036</v>
      </c>
      <c r="D32" s="200" t="s">
        <v>1037</v>
      </c>
      <c r="E32"/>
      <c r="F32"/>
      <c r="AW32" s="192" t="s">
        <v>1011</v>
      </c>
    </row>
    <row r="33" spans="2:49" ht="14.5">
      <c r="B33" s="191"/>
      <c r="C33"/>
      <c r="D33"/>
      <c r="E33"/>
      <c r="F33"/>
      <c r="AW33" s="192" t="s">
        <v>1011</v>
      </c>
    </row>
    <row r="34" spans="2:49" ht="14.5">
      <c r="B34" s="191"/>
      <c r="C34"/>
      <c r="D34"/>
      <c r="E34"/>
      <c r="F34"/>
      <c r="AW34" s="192" t="s">
        <v>1011</v>
      </c>
    </row>
    <row r="35" spans="2:49" ht="14.5">
      <c r="B35" s="195" t="s">
        <v>1038</v>
      </c>
      <c r="C35" s="195" t="s">
        <v>1039</v>
      </c>
      <c r="D35" s="194"/>
      <c r="E35" s="194"/>
      <c r="F35"/>
      <c r="AW35" s="192" t="s">
        <v>1011</v>
      </c>
    </row>
    <row r="36" spans="2:49" ht="27" customHeight="1" thickBot="1">
      <c r="B36" s="225" t="s">
        <v>1040</v>
      </c>
      <c r="C36" s="225"/>
      <c r="D36" s="225"/>
      <c r="E36" s="225"/>
      <c r="F36"/>
      <c r="AW36" s="192" t="s">
        <v>1011</v>
      </c>
    </row>
    <row r="37" spans="2:49" ht="15" thickBot="1">
      <c r="B37" s="194"/>
      <c r="C37" s="196" t="s">
        <v>1009</v>
      </c>
      <c r="D37" s="197" t="s">
        <v>1010</v>
      </c>
      <c r="E37" s="194"/>
      <c r="F37"/>
      <c r="AW37" s="192" t="s">
        <v>1011</v>
      </c>
    </row>
    <row r="38" spans="2:49" ht="15" thickBot="1">
      <c r="B38" s="194"/>
      <c r="C38" s="199" t="s">
        <v>1012</v>
      </c>
      <c r="D38" s="200" t="s">
        <v>1026</v>
      </c>
      <c r="E38" s="194"/>
      <c r="F38"/>
      <c r="AW38" s="192" t="s">
        <v>1011</v>
      </c>
    </row>
    <row r="39" spans="2:49" ht="15" thickBot="1">
      <c r="B39" s="194"/>
      <c r="C39" s="199" t="s">
        <v>1014</v>
      </c>
      <c r="D39" s="200" t="s">
        <v>1026</v>
      </c>
      <c r="E39" s="194"/>
      <c r="F39"/>
      <c r="AW39" s="192" t="s">
        <v>1011</v>
      </c>
    </row>
    <row r="40" spans="2:49" ht="15" thickBot="1">
      <c r="B40" s="194"/>
      <c r="C40" s="199" t="s">
        <v>1015</v>
      </c>
      <c r="D40" s="200" t="s">
        <v>1026</v>
      </c>
      <c r="E40" s="194"/>
      <c r="F40"/>
      <c r="AW40" s="192" t="s">
        <v>1011</v>
      </c>
    </row>
    <row r="41" spans="2:49" ht="15" thickBot="1">
      <c r="B41" s="194"/>
      <c r="C41" s="199" t="s">
        <v>1016</v>
      </c>
      <c r="D41" s="200" t="s">
        <v>1026</v>
      </c>
      <c r="E41" s="194"/>
      <c r="F41"/>
      <c r="AW41" s="192" t="s">
        <v>1011</v>
      </c>
    </row>
    <row r="42" spans="2:49" ht="15" thickBot="1">
      <c r="B42" s="194"/>
      <c r="C42" s="199" t="s">
        <v>1017</v>
      </c>
      <c r="D42" s="200" t="s">
        <v>1026</v>
      </c>
      <c r="E42" s="194"/>
      <c r="F42"/>
      <c r="AW42" s="192" t="s">
        <v>1011</v>
      </c>
    </row>
    <row r="43" spans="2:49" ht="15" thickBot="1">
      <c r="B43" s="194"/>
      <c r="C43" s="199" t="s">
        <v>1018</v>
      </c>
      <c r="D43" s="200" t="s">
        <v>1026</v>
      </c>
      <c r="E43" s="194"/>
      <c r="F43"/>
      <c r="AW43" s="192" t="s">
        <v>1011</v>
      </c>
    </row>
    <row r="44" spans="2:49" ht="15" thickBot="1">
      <c r="B44" s="194"/>
      <c r="C44" s="199" t="s">
        <v>1019</v>
      </c>
      <c r="D44" s="200" t="s">
        <v>1026</v>
      </c>
      <c r="E44" s="194"/>
      <c r="F44"/>
      <c r="AW44" s="192" t="s">
        <v>1011</v>
      </c>
    </row>
    <row r="45" spans="2:49" ht="15" thickBot="1">
      <c r="B45" s="194"/>
      <c r="C45" s="199" t="s">
        <v>1021</v>
      </c>
      <c r="D45" s="200" t="s">
        <v>1026</v>
      </c>
      <c r="E45" s="194"/>
      <c r="F45"/>
      <c r="AW45" s="192" t="s">
        <v>1011</v>
      </c>
    </row>
    <row r="46" spans="2:49" ht="15" thickBot="1">
      <c r="B46" s="194"/>
      <c r="C46" s="199" t="s">
        <v>1022</v>
      </c>
      <c r="D46" s="200" t="s">
        <v>1026</v>
      </c>
      <c r="E46" s="194"/>
      <c r="F46"/>
      <c r="AW46" s="192" t="s">
        <v>1011</v>
      </c>
    </row>
    <row r="47" spans="2:49" ht="15" thickBot="1">
      <c r="B47" s="194"/>
      <c r="C47" s="199" t="s">
        <v>1023</v>
      </c>
      <c r="D47" s="200" t="s">
        <v>1026</v>
      </c>
      <c r="E47" s="194"/>
      <c r="F47"/>
      <c r="AW47" s="192" t="s">
        <v>1011</v>
      </c>
    </row>
    <row r="48" spans="2:49" ht="15" thickBot="1">
      <c r="B48" s="194"/>
      <c r="C48" s="199" t="s">
        <v>1024</v>
      </c>
      <c r="D48" s="200" t="s">
        <v>1026</v>
      </c>
      <c r="E48" s="194"/>
      <c r="F48"/>
      <c r="AW48" s="192" t="s">
        <v>1011</v>
      </c>
    </row>
    <row r="49" spans="2:49" ht="15" thickBot="1">
      <c r="B49" s="194"/>
      <c r="C49" s="199" t="s">
        <v>1025</v>
      </c>
      <c r="D49" s="200" t="s">
        <v>1026</v>
      </c>
      <c r="E49" s="194"/>
      <c r="F49"/>
      <c r="AW49" s="192" t="s">
        <v>1011</v>
      </c>
    </row>
    <row r="50" spans="2:49" ht="15" thickBot="1">
      <c r="B50" s="194"/>
      <c r="C50" s="199" t="s">
        <v>1027</v>
      </c>
      <c r="D50" s="200" t="s">
        <v>1026</v>
      </c>
      <c r="E50" s="194"/>
      <c r="F50"/>
      <c r="AW50" s="192" t="s">
        <v>1011</v>
      </c>
    </row>
    <row r="51" spans="2:49" ht="15" thickBot="1">
      <c r="B51" s="194"/>
      <c r="C51" s="199" t="s">
        <v>1029</v>
      </c>
      <c r="D51" s="200" t="s">
        <v>1026</v>
      </c>
      <c r="E51" s="194"/>
      <c r="F51"/>
      <c r="AW51" s="192" t="s">
        <v>1011</v>
      </c>
    </row>
    <row r="52" spans="2:49" ht="15" thickBot="1">
      <c r="B52" s="194"/>
      <c r="C52" s="199" t="s">
        <v>1030</v>
      </c>
      <c r="D52" s="200" t="s">
        <v>1026</v>
      </c>
      <c r="E52" s="194"/>
      <c r="F52"/>
      <c r="AW52" s="192" t="s">
        <v>1011</v>
      </c>
    </row>
    <row r="53" spans="2:49" ht="15" thickBot="1">
      <c r="B53" s="194"/>
      <c r="C53" s="199" t="s">
        <v>1031</v>
      </c>
      <c r="D53" s="200" t="s">
        <v>1026</v>
      </c>
      <c r="E53" s="194"/>
      <c r="F53"/>
      <c r="AW53" s="192" t="s">
        <v>1011</v>
      </c>
    </row>
    <row r="54" spans="2:49" ht="15" thickBot="1">
      <c r="B54" s="194"/>
      <c r="C54" s="199" t="s">
        <v>1032</v>
      </c>
      <c r="D54" s="200" t="s">
        <v>1026</v>
      </c>
      <c r="E54" s="194"/>
      <c r="F54"/>
      <c r="AW54" s="192" t="s">
        <v>1011</v>
      </c>
    </row>
    <row r="55" spans="2:49" ht="15" thickBot="1">
      <c r="B55" s="194"/>
      <c r="C55" s="199" t="s">
        <v>1034</v>
      </c>
      <c r="D55" s="200" t="s">
        <v>1026</v>
      </c>
      <c r="E55" s="194"/>
      <c r="F55"/>
      <c r="AW55" s="192" t="s">
        <v>1011</v>
      </c>
    </row>
    <row r="56" spans="2:49" ht="15" thickBot="1">
      <c r="B56" s="194"/>
      <c r="C56" s="199" t="s">
        <v>1036</v>
      </c>
      <c r="D56" s="200" t="s">
        <v>1026</v>
      </c>
      <c r="E56" s="194"/>
      <c r="F56"/>
      <c r="AW56" s="192" t="s">
        <v>1011</v>
      </c>
    </row>
    <row r="57" spans="2:49">
      <c r="AW57" s="192" t="s">
        <v>1011</v>
      </c>
    </row>
    <row r="58" spans="2:49">
      <c r="AW58" s="192" t="s">
        <v>1011</v>
      </c>
    </row>
    <row r="59" spans="2:49">
      <c r="AW59" s="192" t="s">
        <v>1011</v>
      </c>
    </row>
    <row r="60" spans="2:49">
      <c r="AW60" s="192" t="s">
        <v>1011</v>
      </c>
    </row>
    <row r="61" spans="2:49">
      <c r="AW61" s="192" t="s">
        <v>1011</v>
      </c>
    </row>
    <row r="62" spans="2:49">
      <c r="AW62" s="192" t="s">
        <v>1011</v>
      </c>
    </row>
    <row r="63" spans="2:49">
      <c r="AW63" s="192" t="s">
        <v>1011</v>
      </c>
    </row>
    <row r="64" spans="2:49">
      <c r="AW64" s="192" t="s">
        <v>1011</v>
      </c>
    </row>
    <row r="65" spans="2:49">
      <c r="B65" s="202"/>
      <c r="C65" s="202"/>
      <c r="D65" s="202"/>
      <c r="AW65" s="192" t="s">
        <v>1011</v>
      </c>
    </row>
    <row r="66" spans="2:49">
      <c r="B66" s="202"/>
      <c r="C66" s="202"/>
      <c r="D66" s="202"/>
      <c r="AW66" s="192" t="s">
        <v>1011</v>
      </c>
    </row>
    <row r="67" spans="2:49">
      <c r="AW67" s="192" t="s">
        <v>1011</v>
      </c>
    </row>
    <row r="68" spans="2:49">
      <c r="AW68" s="192" t="s">
        <v>1011</v>
      </c>
    </row>
    <row r="69" spans="2:49">
      <c r="AW69" s="192" t="s">
        <v>1011</v>
      </c>
    </row>
    <row r="70" spans="2:49">
      <c r="AW70" s="192" t="s">
        <v>1011</v>
      </c>
    </row>
    <row r="71" spans="2:49">
      <c r="AW71" s="192" t="s">
        <v>1011</v>
      </c>
    </row>
    <row r="72" spans="2:49">
      <c r="AW72" s="192" t="s">
        <v>1011</v>
      </c>
    </row>
    <row r="73" spans="2:49">
      <c r="AW73" s="192" t="s">
        <v>1011</v>
      </c>
    </row>
    <row r="74" spans="2:49">
      <c r="AW74" s="192" t="s">
        <v>1011</v>
      </c>
    </row>
    <row r="75" spans="2:49">
      <c r="AW75" s="192" t="s">
        <v>1011</v>
      </c>
    </row>
    <row r="76" spans="2:49">
      <c r="AW76" s="192" t="s">
        <v>1011</v>
      </c>
    </row>
    <row r="77" spans="2:49">
      <c r="AW77" s="192" t="s">
        <v>1011</v>
      </c>
    </row>
    <row r="78" spans="2:49">
      <c r="AW78" s="192" t="s">
        <v>1011</v>
      </c>
    </row>
    <row r="79" spans="2:49">
      <c r="AW79" s="192" t="s">
        <v>1011</v>
      </c>
    </row>
    <row r="80" spans="2:49" ht="14.5">
      <c r="B80" s="195" t="s">
        <v>1007</v>
      </c>
      <c r="C80" s="195" t="s">
        <v>1041</v>
      </c>
      <c r="D80" s="194"/>
      <c r="E80"/>
      <c r="F80"/>
      <c r="AW80" s="192" t="s">
        <v>1011</v>
      </c>
    </row>
    <row r="81" spans="2:49" ht="14.5">
      <c r="B81" s="203" t="s">
        <v>1042</v>
      </c>
      <c r="C81" s="203"/>
      <c r="D81" s="194"/>
      <c r="E81"/>
      <c r="F81"/>
      <c r="AW81" s="192" t="s">
        <v>1011</v>
      </c>
    </row>
    <row r="82" spans="2:49" ht="15" thickBot="1">
      <c r="B82" s="203"/>
      <c r="C82" s="203"/>
      <c r="D82" s="194"/>
      <c r="E82"/>
      <c r="F82"/>
      <c r="AW82" s="192" t="s">
        <v>1011</v>
      </c>
    </row>
    <row r="83" spans="2:49" ht="15" thickBot="1">
      <c r="B83" s="194"/>
      <c r="C83" s="196" t="s">
        <v>1009</v>
      </c>
      <c r="D83" s="197" t="s">
        <v>1010</v>
      </c>
      <c r="E83"/>
      <c r="F83"/>
      <c r="AW83" s="192" t="s">
        <v>1011</v>
      </c>
    </row>
    <row r="84" spans="2:49" ht="13.5" thickBot="1">
      <c r="C84" s="199" t="s">
        <v>1043</v>
      </c>
      <c r="D84" s="200" t="s">
        <v>1044</v>
      </c>
      <c r="AW84" s="192" t="s">
        <v>1011</v>
      </c>
    </row>
    <row r="85" spans="2:49" ht="13.5" thickBot="1">
      <c r="C85" s="199" t="s">
        <v>1045</v>
      </c>
      <c r="D85" s="200" t="s">
        <v>1046</v>
      </c>
      <c r="AW85" s="192" t="s">
        <v>1011</v>
      </c>
    </row>
    <row r="86" spans="2:49" ht="13.5" thickBot="1">
      <c r="C86" s="199" t="s">
        <v>1047</v>
      </c>
      <c r="D86" s="200" t="s">
        <v>1048</v>
      </c>
      <c r="AW86" s="192" t="s">
        <v>1011</v>
      </c>
    </row>
    <row r="87" spans="2:49" ht="13.5" customHeight="1">
      <c r="AW87" s="192" t="s">
        <v>1011</v>
      </c>
    </row>
    <row r="88" spans="2:49">
      <c r="AW88" s="192" t="s">
        <v>1011</v>
      </c>
    </row>
    <row r="89" spans="2:49">
      <c r="AW89" s="192" t="s">
        <v>1011</v>
      </c>
    </row>
    <row r="90" spans="2:49" ht="16">
      <c r="B90" s="204" t="s">
        <v>1049</v>
      </c>
      <c r="C90" s="202"/>
      <c r="D90" s="202"/>
      <c r="AW90" s="192" t="s">
        <v>1011</v>
      </c>
    </row>
    <row r="91" spans="2:49" ht="14.5">
      <c r="B91" s="205"/>
      <c r="AW91" s="192" t="s">
        <v>1011</v>
      </c>
    </row>
    <row r="92" spans="2:49">
      <c r="AW92" s="192" t="s">
        <v>1011</v>
      </c>
    </row>
    <row r="93" spans="2:49">
      <c r="AW93" s="192" t="s">
        <v>1011</v>
      </c>
    </row>
    <row r="94" spans="2:49">
      <c r="AW94" s="192" t="s">
        <v>1011</v>
      </c>
    </row>
    <row r="95" spans="2:49">
      <c r="AW95" s="192" t="s">
        <v>1011</v>
      </c>
    </row>
    <row r="96" spans="2:49">
      <c r="AW96" s="192" t="s">
        <v>1011</v>
      </c>
    </row>
    <row r="97" spans="49:49">
      <c r="AW97" s="192" t="s">
        <v>1011</v>
      </c>
    </row>
    <row r="98" spans="49:49">
      <c r="AW98" s="192" t="s">
        <v>1011</v>
      </c>
    </row>
    <row r="99" spans="49:49">
      <c r="AW99" s="192" t="s">
        <v>1011</v>
      </c>
    </row>
    <row r="100" spans="49:49">
      <c r="AW100" s="192" t="s">
        <v>1011</v>
      </c>
    </row>
    <row r="101" spans="49:49">
      <c r="AW101" s="192" t="s">
        <v>1011</v>
      </c>
    </row>
    <row r="102" spans="49:49">
      <c r="AW102" s="192" t="s">
        <v>1011</v>
      </c>
    </row>
    <row r="103" spans="49:49">
      <c r="AW103" s="192" t="s">
        <v>1011</v>
      </c>
    </row>
    <row r="104" spans="49:49">
      <c r="AW104" s="192" t="s">
        <v>1011</v>
      </c>
    </row>
    <row r="105" spans="49:49">
      <c r="AW105" s="192" t="s">
        <v>1011</v>
      </c>
    </row>
    <row r="106" spans="49:49">
      <c r="AW106" s="192" t="s">
        <v>1011</v>
      </c>
    </row>
    <row r="107" spans="49:49">
      <c r="AW107" s="192" t="s">
        <v>1011</v>
      </c>
    </row>
    <row r="108" spans="49:49">
      <c r="AW108" s="192" t="s">
        <v>1011</v>
      </c>
    </row>
    <row r="109" spans="49:49">
      <c r="AW109" s="192" t="s">
        <v>1011</v>
      </c>
    </row>
    <row r="110" spans="49:49">
      <c r="AW110" s="192" t="s">
        <v>1011</v>
      </c>
    </row>
    <row r="111" spans="49:49">
      <c r="AW111" s="192" t="s">
        <v>1011</v>
      </c>
    </row>
    <row r="112" spans="49:49">
      <c r="AW112" s="192" t="s">
        <v>1011</v>
      </c>
    </row>
    <row r="113" spans="49:49">
      <c r="AW113" s="192" t="s">
        <v>1011</v>
      </c>
    </row>
    <row r="114" spans="49:49">
      <c r="AW114" s="192" t="s">
        <v>1011</v>
      </c>
    </row>
    <row r="115" spans="49:49">
      <c r="AW115" s="192" t="s">
        <v>1011</v>
      </c>
    </row>
    <row r="116" spans="49:49">
      <c r="AW116" s="192" t="s">
        <v>1011</v>
      </c>
    </row>
    <row r="117" spans="49:49">
      <c r="AW117" s="192" t="s">
        <v>1011</v>
      </c>
    </row>
    <row r="118" spans="49:49">
      <c r="AW118" s="192" t="s">
        <v>1011</v>
      </c>
    </row>
    <row r="119" spans="49:49">
      <c r="AW119" s="192" t="s">
        <v>1011</v>
      </c>
    </row>
    <row r="120" spans="49:49">
      <c r="AW120" s="192" t="s">
        <v>1011</v>
      </c>
    </row>
    <row r="121" spans="49:49">
      <c r="AW121" s="192" t="s">
        <v>1011</v>
      </c>
    </row>
    <row r="122" spans="49:49">
      <c r="AW122" s="192" t="s">
        <v>1011</v>
      </c>
    </row>
    <row r="123" spans="49:49">
      <c r="AW123" s="192" t="s">
        <v>1011</v>
      </c>
    </row>
    <row r="124" spans="49:49">
      <c r="AW124" s="192" t="s">
        <v>1011</v>
      </c>
    </row>
    <row r="125" spans="49:49">
      <c r="AW125" s="192" t="s">
        <v>1011</v>
      </c>
    </row>
    <row r="126" spans="49:49">
      <c r="AW126" s="192" t="s">
        <v>1011</v>
      </c>
    </row>
    <row r="127" spans="49:49">
      <c r="AW127" s="192" t="s">
        <v>1011</v>
      </c>
    </row>
    <row r="128" spans="49:49">
      <c r="AW128" s="192" t="s">
        <v>1011</v>
      </c>
    </row>
    <row r="129" spans="49:49">
      <c r="AW129" s="192" t="s">
        <v>1011</v>
      </c>
    </row>
    <row r="130" spans="49:49">
      <c r="AW130" s="192" t="s">
        <v>1011</v>
      </c>
    </row>
    <row r="131" spans="49:49">
      <c r="AW131" s="192" t="s">
        <v>1011</v>
      </c>
    </row>
    <row r="132" spans="49:49">
      <c r="AW132" s="192" t="s">
        <v>1011</v>
      </c>
    </row>
    <row r="133" spans="49:49">
      <c r="AW133" s="192" t="s">
        <v>1011</v>
      </c>
    </row>
    <row r="134" spans="49:49">
      <c r="AW134" s="192" t="s">
        <v>1011</v>
      </c>
    </row>
    <row r="135" spans="49:49">
      <c r="AW135" s="192" t="s">
        <v>1011</v>
      </c>
    </row>
    <row r="136" spans="49:49">
      <c r="AW136" s="192" t="s">
        <v>1011</v>
      </c>
    </row>
    <row r="137" spans="49:49">
      <c r="AW137" s="192" t="s">
        <v>1011</v>
      </c>
    </row>
    <row r="138" spans="49:49">
      <c r="AW138" s="192" t="s">
        <v>1011</v>
      </c>
    </row>
    <row r="139" spans="49:49">
      <c r="AW139" s="192" t="s">
        <v>1011</v>
      </c>
    </row>
    <row r="140" spans="49:49">
      <c r="AW140" s="192" t="s">
        <v>1011</v>
      </c>
    </row>
    <row r="141" spans="49:49">
      <c r="AW141" s="192" t="s">
        <v>1011</v>
      </c>
    </row>
    <row r="142" spans="49:49">
      <c r="AW142" s="192" t="s">
        <v>1011</v>
      </c>
    </row>
    <row r="143" spans="49:49">
      <c r="AW143" s="192" t="s">
        <v>1011</v>
      </c>
    </row>
    <row r="144" spans="49:49">
      <c r="AW144" s="192" t="s">
        <v>1011</v>
      </c>
    </row>
    <row r="145" spans="49:49">
      <c r="AW145" s="192" t="s">
        <v>1011</v>
      </c>
    </row>
    <row r="146" spans="49:49">
      <c r="AW146" s="192" t="s">
        <v>1011</v>
      </c>
    </row>
    <row r="147" spans="49:49">
      <c r="AW147" s="192" t="s">
        <v>1011</v>
      </c>
    </row>
    <row r="148" spans="49:49">
      <c r="AW148" s="192" t="s">
        <v>1011</v>
      </c>
    </row>
    <row r="149" spans="49:49">
      <c r="AW149" s="192" t="s">
        <v>1011</v>
      </c>
    </row>
    <row r="150" spans="49:49">
      <c r="AW150" s="192" t="s">
        <v>1011</v>
      </c>
    </row>
    <row r="151" spans="49:49">
      <c r="AW151" s="192" t="s">
        <v>1011</v>
      </c>
    </row>
    <row r="152" spans="49:49">
      <c r="AW152" s="192" t="s">
        <v>1011</v>
      </c>
    </row>
    <row r="153" spans="49:49">
      <c r="AW153" s="192" t="s">
        <v>1011</v>
      </c>
    </row>
    <row r="154" spans="49:49">
      <c r="AW154" s="192" t="s">
        <v>1011</v>
      </c>
    </row>
    <row r="155" spans="49:49">
      <c r="AW155" s="192" t="s">
        <v>1011</v>
      </c>
    </row>
    <row r="156" spans="49:49">
      <c r="AW156" s="192" t="s">
        <v>1011</v>
      </c>
    </row>
    <row r="157" spans="49:49">
      <c r="AW157" s="192" t="s">
        <v>1011</v>
      </c>
    </row>
    <row r="158" spans="49:49">
      <c r="AW158" s="192" t="s">
        <v>1011</v>
      </c>
    </row>
    <row r="159" spans="49:49">
      <c r="AW159" s="192" t="s">
        <v>1011</v>
      </c>
    </row>
    <row r="160" spans="49:49">
      <c r="AW160" s="192" t="s">
        <v>1011</v>
      </c>
    </row>
    <row r="161" spans="49:49">
      <c r="AW161" s="192" t="s">
        <v>1011</v>
      </c>
    </row>
    <row r="162" spans="49:49">
      <c r="AW162" s="192" t="s">
        <v>1011</v>
      </c>
    </row>
    <row r="163" spans="49:49">
      <c r="AW163" s="192" t="s">
        <v>1011</v>
      </c>
    </row>
    <row r="164" spans="49:49">
      <c r="AW164" s="192" t="s">
        <v>1011</v>
      </c>
    </row>
    <row r="165" spans="49:49">
      <c r="AW165" s="192" t="s">
        <v>1011</v>
      </c>
    </row>
    <row r="166" spans="49:49">
      <c r="AW166" s="192" t="s">
        <v>1011</v>
      </c>
    </row>
    <row r="167" spans="49:49">
      <c r="AW167" s="192" t="s">
        <v>1011</v>
      </c>
    </row>
    <row r="168" spans="49:49">
      <c r="AW168" s="192" t="s">
        <v>1011</v>
      </c>
    </row>
    <row r="169" spans="49:49">
      <c r="AW169" s="192" t="s">
        <v>1011</v>
      </c>
    </row>
    <row r="170" spans="49:49">
      <c r="AW170" s="192" t="s">
        <v>1011</v>
      </c>
    </row>
    <row r="171" spans="49:49">
      <c r="AW171" s="192" t="s">
        <v>1011</v>
      </c>
    </row>
    <row r="172" spans="49:49">
      <c r="AW172" s="192" t="s">
        <v>1011</v>
      </c>
    </row>
    <row r="173" spans="49:49">
      <c r="AW173" s="192" t="s">
        <v>1011</v>
      </c>
    </row>
    <row r="174" spans="49:49">
      <c r="AW174" s="192" t="s">
        <v>1011</v>
      </c>
    </row>
    <row r="175" spans="49:49">
      <c r="AW175" s="192" t="s">
        <v>1011</v>
      </c>
    </row>
    <row r="176" spans="49:49">
      <c r="AW176" s="192" t="s">
        <v>1011</v>
      </c>
    </row>
    <row r="177" spans="49:49">
      <c r="AW177" s="192" t="s">
        <v>1011</v>
      </c>
    </row>
    <row r="178" spans="49:49">
      <c r="AW178" s="192" t="s">
        <v>1011</v>
      </c>
    </row>
    <row r="179" spans="49:49">
      <c r="AW179" s="192" t="s">
        <v>1011</v>
      </c>
    </row>
    <row r="180" spans="49:49">
      <c r="AW180" s="192" t="s">
        <v>1011</v>
      </c>
    </row>
    <row r="181" spans="49:49">
      <c r="AW181" s="192" t="s">
        <v>1011</v>
      </c>
    </row>
    <row r="182" spans="49:49">
      <c r="AW182" s="192" t="s">
        <v>1011</v>
      </c>
    </row>
    <row r="183" spans="49:49">
      <c r="AW183" s="192" t="s">
        <v>1011</v>
      </c>
    </row>
    <row r="184" spans="49:49">
      <c r="AW184" s="192" t="s">
        <v>1011</v>
      </c>
    </row>
    <row r="185" spans="49:49">
      <c r="AW185" s="192" t="s">
        <v>1011</v>
      </c>
    </row>
    <row r="186" spans="49:49">
      <c r="AW186" s="192" t="s">
        <v>1011</v>
      </c>
    </row>
    <row r="187" spans="49:49">
      <c r="AW187" s="192" t="s">
        <v>1011</v>
      </c>
    </row>
    <row r="188" spans="49:49">
      <c r="AW188" s="192" t="s">
        <v>1011</v>
      </c>
    </row>
    <row r="189" spans="49:49">
      <c r="AW189" s="192" t="s">
        <v>1011</v>
      </c>
    </row>
    <row r="190" spans="49:49">
      <c r="AW190" s="192" t="s">
        <v>1011</v>
      </c>
    </row>
    <row r="191" spans="49:49">
      <c r="AW191" s="192" t="s">
        <v>1011</v>
      </c>
    </row>
    <row r="192" spans="49:49">
      <c r="AW192" s="192" t="s">
        <v>1011</v>
      </c>
    </row>
    <row r="193" spans="49:49">
      <c r="AW193" s="192" t="s">
        <v>1011</v>
      </c>
    </row>
    <row r="194" spans="49:49">
      <c r="AW194" s="192" t="s">
        <v>1011</v>
      </c>
    </row>
    <row r="195" spans="49:49">
      <c r="AW195" s="192" t="s">
        <v>1011</v>
      </c>
    </row>
    <row r="196" spans="49:49">
      <c r="AW196" s="192" t="s">
        <v>1011</v>
      </c>
    </row>
    <row r="197" spans="49:49">
      <c r="AW197" s="192" t="s">
        <v>1011</v>
      </c>
    </row>
    <row r="198" spans="49:49">
      <c r="AW198" s="192" t="s">
        <v>1011</v>
      </c>
    </row>
    <row r="199" spans="49:49">
      <c r="AW199" s="192" t="s">
        <v>1011</v>
      </c>
    </row>
    <row r="200" spans="49:49">
      <c r="AW200" s="192" t="s">
        <v>1011</v>
      </c>
    </row>
    <row r="201" spans="49:49">
      <c r="AW201" s="192" t="s">
        <v>1011</v>
      </c>
    </row>
    <row r="202" spans="49:49">
      <c r="AW202" s="192" t="s">
        <v>1011</v>
      </c>
    </row>
    <row r="203" spans="49:49">
      <c r="AW203" s="192" t="s">
        <v>1011</v>
      </c>
    </row>
    <row r="204" spans="49:49">
      <c r="AW204" s="192" t="s">
        <v>1011</v>
      </c>
    </row>
    <row r="205" spans="49:49">
      <c r="AW205" s="192" t="s">
        <v>1011</v>
      </c>
    </row>
    <row r="206" spans="49:49">
      <c r="AW206" s="192" t="s">
        <v>1011</v>
      </c>
    </row>
    <row r="207" spans="49:49">
      <c r="AW207" s="192" t="s">
        <v>1011</v>
      </c>
    </row>
    <row r="208" spans="49:49">
      <c r="AW208" s="192" t="s">
        <v>1011</v>
      </c>
    </row>
    <row r="209" spans="49:49">
      <c r="AW209" s="192" t="s">
        <v>1011</v>
      </c>
    </row>
    <row r="210" spans="49:49">
      <c r="AW210" s="192" t="s">
        <v>1011</v>
      </c>
    </row>
    <row r="211" spans="49:49">
      <c r="AW211" s="192" t="s">
        <v>1011</v>
      </c>
    </row>
    <row r="212" spans="49:49">
      <c r="AW212" s="192" t="s">
        <v>1011</v>
      </c>
    </row>
    <row r="213" spans="49:49">
      <c r="AW213" s="192" t="s">
        <v>1011</v>
      </c>
    </row>
    <row r="214" spans="49:49">
      <c r="AW214" s="192" t="s">
        <v>1011</v>
      </c>
    </row>
    <row r="215" spans="49:49">
      <c r="AW215" s="192" t="s">
        <v>1011</v>
      </c>
    </row>
    <row r="216" spans="49:49">
      <c r="AW216" s="192" t="s">
        <v>1011</v>
      </c>
    </row>
    <row r="217" spans="49:49">
      <c r="AW217" s="192" t="s">
        <v>1011</v>
      </c>
    </row>
    <row r="218" spans="49:49">
      <c r="AW218" s="192" t="s">
        <v>1011</v>
      </c>
    </row>
    <row r="219" spans="49:49">
      <c r="AW219" s="192" t="s">
        <v>1011</v>
      </c>
    </row>
    <row r="220" spans="49:49">
      <c r="AW220" s="192" t="s">
        <v>1011</v>
      </c>
    </row>
    <row r="221" spans="49:49">
      <c r="AW221" s="192" t="s">
        <v>1011</v>
      </c>
    </row>
    <row r="222" spans="49:49">
      <c r="AW222" s="192" t="s">
        <v>1011</v>
      </c>
    </row>
    <row r="223" spans="49:49">
      <c r="AW223" s="192" t="s">
        <v>1011</v>
      </c>
    </row>
    <row r="224" spans="49:49">
      <c r="AW224" s="192" t="s">
        <v>1011</v>
      </c>
    </row>
    <row r="225" spans="49:49">
      <c r="AW225" s="192" t="s">
        <v>1011</v>
      </c>
    </row>
    <row r="226" spans="49:49">
      <c r="AW226" s="192" t="s">
        <v>1011</v>
      </c>
    </row>
    <row r="227" spans="49:49">
      <c r="AW227" s="192" t="s">
        <v>1011</v>
      </c>
    </row>
    <row r="228" spans="49:49">
      <c r="AW228" s="192" t="s">
        <v>1011</v>
      </c>
    </row>
    <row r="229" spans="49:49">
      <c r="AW229" s="192" t="s">
        <v>1011</v>
      </c>
    </row>
    <row r="230" spans="49:49">
      <c r="AW230" s="192" t="s">
        <v>1011</v>
      </c>
    </row>
    <row r="231" spans="49:49">
      <c r="AW231" s="192" t="s">
        <v>1011</v>
      </c>
    </row>
    <row r="232" spans="49:49">
      <c r="AW232" s="192" t="s">
        <v>1011</v>
      </c>
    </row>
    <row r="233" spans="49:49">
      <c r="AW233" s="192" t="s">
        <v>1011</v>
      </c>
    </row>
    <row r="234" spans="49:49">
      <c r="AW234" s="192" t="s">
        <v>1011</v>
      </c>
    </row>
    <row r="235" spans="49:49">
      <c r="AW235" s="192" t="s">
        <v>1011</v>
      </c>
    </row>
    <row r="236" spans="49:49">
      <c r="AW236" s="192" t="s">
        <v>1011</v>
      </c>
    </row>
    <row r="237" spans="49:49">
      <c r="AW237" s="192" t="s">
        <v>1011</v>
      </c>
    </row>
    <row r="238" spans="49:49">
      <c r="AW238" s="192" t="s">
        <v>1011</v>
      </c>
    </row>
    <row r="239" spans="49:49">
      <c r="AW239" s="192" t="s">
        <v>1011</v>
      </c>
    </row>
    <row r="240" spans="49:49">
      <c r="AW240" s="192" t="s">
        <v>1011</v>
      </c>
    </row>
    <row r="241" spans="49:49">
      <c r="AW241" s="192" t="s">
        <v>1011</v>
      </c>
    </row>
    <row r="242" spans="49:49">
      <c r="AW242" s="192" t="s">
        <v>1011</v>
      </c>
    </row>
    <row r="243" spans="49:49">
      <c r="AW243" s="192" t="s">
        <v>1011</v>
      </c>
    </row>
    <row r="244" spans="49:49">
      <c r="AW244" s="192" t="s">
        <v>1011</v>
      </c>
    </row>
    <row r="245" spans="49:49">
      <c r="AW245" s="192" t="s">
        <v>1011</v>
      </c>
    </row>
    <row r="246" spans="49:49">
      <c r="AW246" s="192" t="s">
        <v>1011</v>
      </c>
    </row>
    <row r="247" spans="49:49">
      <c r="AW247" s="192" t="s">
        <v>1011</v>
      </c>
    </row>
    <row r="248" spans="49:49">
      <c r="AW248" s="192" t="s">
        <v>1011</v>
      </c>
    </row>
    <row r="249" spans="49:49">
      <c r="AW249" s="192" t="s">
        <v>1011</v>
      </c>
    </row>
    <row r="250" spans="49:49">
      <c r="AW250" s="192" t="s">
        <v>1011</v>
      </c>
    </row>
    <row r="251" spans="49:49">
      <c r="AW251" s="192" t="s">
        <v>1011</v>
      </c>
    </row>
    <row r="252" spans="49:49">
      <c r="AW252" s="192" t="s">
        <v>1011</v>
      </c>
    </row>
    <row r="253" spans="49:49">
      <c r="AW253" s="192" t="s">
        <v>1011</v>
      </c>
    </row>
    <row r="254" spans="49:49">
      <c r="AW254" s="192" t="s">
        <v>1011</v>
      </c>
    </row>
    <row r="255" spans="49:49">
      <c r="AW255" s="192" t="s">
        <v>1011</v>
      </c>
    </row>
    <row r="256" spans="49:49">
      <c r="AW256" s="192" t="s">
        <v>1011</v>
      </c>
    </row>
    <row r="257" spans="49:49">
      <c r="AW257" s="192" t="s">
        <v>1011</v>
      </c>
    </row>
    <row r="258" spans="49:49">
      <c r="AW258" s="192" t="s">
        <v>1011</v>
      </c>
    </row>
    <row r="259" spans="49:49">
      <c r="AW259" s="192" t="s">
        <v>1011</v>
      </c>
    </row>
    <row r="260" spans="49:49">
      <c r="AW260" s="192" t="s">
        <v>1011</v>
      </c>
    </row>
    <row r="261" spans="49:49">
      <c r="AW261" s="192" t="s">
        <v>1011</v>
      </c>
    </row>
    <row r="262" spans="49:49">
      <c r="AW262" s="192" t="s">
        <v>1011</v>
      </c>
    </row>
    <row r="263" spans="49:49">
      <c r="AW263" s="192" t="s">
        <v>1011</v>
      </c>
    </row>
    <row r="264" spans="49:49">
      <c r="AW264" s="192" t="s">
        <v>1011</v>
      </c>
    </row>
    <row r="265" spans="49:49">
      <c r="AW265" s="192" t="s">
        <v>1011</v>
      </c>
    </row>
    <row r="266" spans="49:49">
      <c r="AW266" s="192" t="s">
        <v>1011</v>
      </c>
    </row>
    <row r="267" spans="49:49">
      <c r="AW267" s="192" t="s">
        <v>1011</v>
      </c>
    </row>
    <row r="268" spans="49:49">
      <c r="AW268" s="192" t="s">
        <v>1011</v>
      </c>
    </row>
    <row r="269" spans="49:49">
      <c r="AW269" s="192" t="s">
        <v>1011</v>
      </c>
    </row>
    <row r="270" spans="49:49">
      <c r="AW270" s="192" t="s">
        <v>1011</v>
      </c>
    </row>
    <row r="271" spans="49:49">
      <c r="AW271" s="192" t="s">
        <v>1011</v>
      </c>
    </row>
    <row r="272" spans="49:49">
      <c r="AW272" s="192" t="s">
        <v>1011</v>
      </c>
    </row>
    <row r="273" spans="49:49">
      <c r="AW273" s="192" t="s">
        <v>1011</v>
      </c>
    </row>
    <row r="274" spans="49:49">
      <c r="AW274" s="192" t="s">
        <v>1011</v>
      </c>
    </row>
    <row r="275" spans="49:49">
      <c r="AW275" s="192" t="s">
        <v>1011</v>
      </c>
    </row>
    <row r="276" spans="49:49">
      <c r="AW276" s="192" t="s">
        <v>1011</v>
      </c>
    </row>
    <row r="277" spans="49:49">
      <c r="AW277" s="192" t="s">
        <v>1011</v>
      </c>
    </row>
    <row r="278" spans="49:49">
      <c r="AW278" s="192" t="s">
        <v>1011</v>
      </c>
    </row>
    <row r="279" spans="49:49">
      <c r="AW279" s="192" t="s">
        <v>1011</v>
      </c>
    </row>
    <row r="280" spans="49:49">
      <c r="AW280" s="192" t="s">
        <v>1011</v>
      </c>
    </row>
    <row r="281" spans="49:49">
      <c r="AW281" s="192" t="s">
        <v>1011</v>
      </c>
    </row>
    <row r="282" spans="49:49">
      <c r="AW282" s="192" t="s">
        <v>1011</v>
      </c>
    </row>
    <row r="283" spans="49:49">
      <c r="AW283" s="192" t="s">
        <v>1011</v>
      </c>
    </row>
    <row r="284" spans="49:49">
      <c r="AW284" s="192" t="s">
        <v>1011</v>
      </c>
    </row>
    <row r="285" spans="49:49">
      <c r="AW285" s="192" t="s">
        <v>1011</v>
      </c>
    </row>
    <row r="286" spans="49:49">
      <c r="AW286" s="192" t="s">
        <v>1011</v>
      </c>
    </row>
    <row r="287" spans="49:49">
      <c r="AW287" s="192" t="s">
        <v>1011</v>
      </c>
    </row>
    <row r="288" spans="49:49">
      <c r="AW288" s="192" t="s">
        <v>1011</v>
      </c>
    </row>
    <row r="289" spans="49:49">
      <c r="AW289" s="192" t="s">
        <v>1011</v>
      </c>
    </row>
    <row r="290" spans="49:49">
      <c r="AW290" s="192" t="s">
        <v>1011</v>
      </c>
    </row>
    <row r="291" spans="49:49">
      <c r="AW291" s="192" t="s">
        <v>1011</v>
      </c>
    </row>
    <row r="292" spans="49:49">
      <c r="AW292" s="192" t="s">
        <v>1011</v>
      </c>
    </row>
    <row r="293" spans="49:49">
      <c r="AW293" s="192" t="s">
        <v>1011</v>
      </c>
    </row>
    <row r="294" spans="49:49">
      <c r="AW294" s="192" t="s">
        <v>1011</v>
      </c>
    </row>
    <row r="295" spans="49:49">
      <c r="AW295" s="192" t="s">
        <v>1011</v>
      </c>
    </row>
    <row r="296" spans="49:49">
      <c r="AW296" s="192" t="s">
        <v>1011</v>
      </c>
    </row>
    <row r="297" spans="49:49">
      <c r="AW297" s="192" t="s">
        <v>1011</v>
      </c>
    </row>
    <row r="298" spans="49:49">
      <c r="AW298" s="192" t="s">
        <v>1011</v>
      </c>
    </row>
    <row r="299" spans="49:49">
      <c r="AW299" s="192" t="s">
        <v>1011</v>
      </c>
    </row>
    <row r="300" spans="49:49">
      <c r="AW300" s="192" t="s">
        <v>1011</v>
      </c>
    </row>
    <row r="301" spans="49:49">
      <c r="AW301" s="192" t="s">
        <v>1011</v>
      </c>
    </row>
    <row r="302" spans="49:49">
      <c r="AW302" s="192" t="s">
        <v>1011</v>
      </c>
    </row>
    <row r="303" spans="49:49">
      <c r="AW303" s="192" t="s">
        <v>1011</v>
      </c>
    </row>
    <row r="304" spans="49:49">
      <c r="AW304" s="192" t="s">
        <v>1011</v>
      </c>
    </row>
    <row r="305" spans="49:49">
      <c r="AW305" s="192" t="s">
        <v>1011</v>
      </c>
    </row>
    <row r="306" spans="49:49">
      <c r="AW306" s="192" t="s">
        <v>1011</v>
      </c>
    </row>
    <row r="307" spans="49:49">
      <c r="AW307" s="192" t="s">
        <v>1011</v>
      </c>
    </row>
    <row r="308" spans="49:49">
      <c r="AW308" s="192" t="s">
        <v>1011</v>
      </c>
    </row>
    <row r="309" spans="49:49">
      <c r="AW309" s="192" t="s">
        <v>1011</v>
      </c>
    </row>
    <row r="310" spans="49:49">
      <c r="AW310" s="192" t="s">
        <v>1011</v>
      </c>
    </row>
    <row r="311" spans="49:49">
      <c r="AW311" s="192" t="s">
        <v>1011</v>
      </c>
    </row>
    <row r="312" spans="49:49">
      <c r="AW312" s="192" t="s">
        <v>1011</v>
      </c>
    </row>
    <row r="313" spans="49:49">
      <c r="AW313" s="192" t="s">
        <v>1011</v>
      </c>
    </row>
    <row r="314" spans="49:49">
      <c r="AW314" s="192" t="s">
        <v>1011</v>
      </c>
    </row>
    <row r="315" spans="49:49">
      <c r="AW315" s="192" t="s">
        <v>1011</v>
      </c>
    </row>
    <row r="316" spans="49:49">
      <c r="AW316" s="192" t="s">
        <v>1011</v>
      </c>
    </row>
    <row r="317" spans="49:49">
      <c r="AW317" s="192" t="s">
        <v>1011</v>
      </c>
    </row>
    <row r="318" spans="49:49">
      <c r="AW318" s="192" t="s">
        <v>1011</v>
      </c>
    </row>
    <row r="319" spans="49:49">
      <c r="AW319" s="192" t="s">
        <v>1011</v>
      </c>
    </row>
    <row r="320" spans="49:49">
      <c r="AW320" s="192" t="s">
        <v>1011</v>
      </c>
    </row>
    <row r="321" spans="49:49">
      <c r="AW321" s="192" t="s">
        <v>1011</v>
      </c>
    </row>
    <row r="322" spans="49:49">
      <c r="AW322" s="192" t="s">
        <v>1011</v>
      </c>
    </row>
    <row r="323" spans="49:49">
      <c r="AW323" s="192" t="s">
        <v>1011</v>
      </c>
    </row>
    <row r="324" spans="49:49">
      <c r="AW324" s="192" t="s">
        <v>1011</v>
      </c>
    </row>
    <row r="325" spans="49:49">
      <c r="AW325" s="192" t="s">
        <v>1011</v>
      </c>
    </row>
    <row r="326" spans="49:49">
      <c r="AW326" s="192" t="s">
        <v>1011</v>
      </c>
    </row>
    <row r="327" spans="49:49">
      <c r="AW327" s="192" t="s">
        <v>1011</v>
      </c>
    </row>
    <row r="328" spans="49:49">
      <c r="AW328" s="192" t="s">
        <v>1011</v>
      </c>
    </row>
    <row r="329" spans="49:49">
      <c r="AW329" s="192" t="s">
        <v>1011</v>
      </c>
    </row>
    <row r="330" spans="49:49">
      <c r="AW330" s="192" t="s">
        <v>1011</v>
      </c>
    </row>
    <row r="331" spans="49:49">
      <c r="AW331" s="192" t="s">
        <v>1011</v>
      </c>
    </row>
    <row r="332" spans="49:49">
      <c r="AW332" s="192" t="s">
        <v>1011</v>
      </c>
    </row>
    <row r="333" spans="49:49">
      <c r="AW333" s="192" t="s">
        <v>1011</v>
      </c>
    </row>
    <row r="334" spans="49:49">
      <c r="AW334" s="192" t="s">
        <v>1011</v>
      </c>
    </row>
    <row r="335" spans="49:49">
      <c r="AW335" s="192" t="s">
        <v>1011</v>
      </c>
    </row>
    <row r="336" spans="49:49">
      <c r="AW336" s="192" t="s">
        <v>1011</v>
      </c>
    </row>
    <row r="337" spans="49:49">
      <c r="AW337" s="192" t="s">
        <v>1011</v>
      </c>
    </row>
    <row r="338" spans="49:49">
      <c r="AW338" s="192" t="s">
        <v>1011</v>
      </c>
    </row>
    <row r="339" spans="49:49">
      <c r="AW339" s="192" t="s">
        <v>1011</v>
      </c>
    </row>
    <row r="340" spans="49:49">
      <c r="AW340" s="192" t="s">
        <v>1011</v>
      </c>
    </row>
    <row r="341" spans="49:49">
      <c r="AW341" s="192" t="s">
        <v>1011</v>
      </c>
    </row>
    <row r="342" spans="49:49">
      <c r="AW342" s="192" t="s">
        <v>1011</v>
      </c>
    </row>
    <row r="343" spans="49:49">
      <c r="AW343" s="192" t="s">
        <v>1011</v>
      </c>
    </row>
    <row r="344" spans="49:49">
      <c r="AW344" s="192" t="s">
        <v>1011</v>
      </c>
    </row>
    <row r="345" spans="49:49">
      <c r="AW345" s="192" t="s">
        <v>1011</v>
      </c>
    </row>
    <row r="346" spans="49:49">
      <c r="AW346" s="192" t="s">
        <v>1011</v>
      </c>
    </row>
    <row r="347" spans="49:49">
      <c r="AW347" s="192" t="s">
        <v>1011</v>
      </c>
    </row>
    <row r="348" spans="49:49">
      <c r="AW348" s="192" t="s">
        <v>1011</v>
      </c>
    </row>
    <row r="349" spans="49:49">
      <c r="AW349" s="192" t="s">
        <v>1011</v>
      </c>
    </row>
    <row r="350" spans="49:49">
      <c r="AW350" s="192" t="s">
        <v>1011</v>
      </c>
    </row>
    <row r="351" spans="49:49">
      <c r="AW351" s="192" t="s">
        <v>1011</v>
      </c>
    </row>
    <row r="352" spans="49:49">
      <c r="AW352" s="192" t="s">
        <v>1011</v>
      </c>
    </row>
    <row r="353" spans="49:49">
      <c r="AW353" s="192" t="s">
        <v>1011</v>
      </c>
    </row>
    <row r="354" spans="49:49">
      <c r="AW354" s="192" t="s">
        <v>1011</v>
      </c>
    </row>
    <row r="355" spans="49:49">
      <c r="AW355" s="192" t="s">
        <v>1011</v>
      </c>
    </row>
    <row r="356" spans="49:49">
      <c r="AW356" s="192" t="s">
        <v>1011</v>
      </c>
    </row>
    <row r="357" spans="49:49">
      <c r="AW357" s="192" t="s">
        <v>1011</v>
      </c>
    </row>
    <row r="358" spans="49:49">
      <c r="AW358" s="192" t="s">
        <v>1011</v>
      </c>
    </row>
    <row r="359" spans="49:49">
      <c r="AW359" s="192" t="s">
        <v>1011</v>
      </c>
    </row>
    <row r="360" spans="49:49">
      <c r="AW360" s="192" t="s">
        <v>1011</v>
      </c>
    </row>
    <row r="361" spans="49:49">
      <c r="AW361" s="192" t="s">
        <v>1011</v>
      </c>
    </row>
    <row r="362" spans="49:49">
      <c r="AW362" s="192" t="s">
        <v>1011</v>
      </c>
    </row>
    <row r="363" spans="49:49">
      <c r="AW363" s="192" t="s">
        <v>1011</v>
      </c>
    </row>
    <row r="364" spans="49:49">
      <c r="AW364" s="192" t="s">
        <v>1011</v>
      </c>
    </row>
    <row r="365" spans="49:49">
      <c r="AW365" s="192" t="s">
        <v>1011</v>
      </c>
    </row>
    <row r="366" spans="49:49">
      <c r="AW366" s="192" t="s">
        <v>1011</v>
      </c>
    </row>
    <row r="367" spans="49:49">
      <c r="AW367" s="192" t="s">
        <v>1011</v>
      </c>
    </row>
    <row r="368" spans="49:49">
      <c r="AW368" s="192" t="s">
        <v>1011</v>
      </c>
    </row>
    <row r="369" spans="49:49">
      <c r="AW369" s="192" t="s">
        <v>1011</v>
      </c>
    </row>
    <row r="370" spans="49:49">
      <c r="AW370" s="192" t="s">
        <v>1011</v>
      </c>
    </row>
    <row r="371" spans="49:49">
      <c r="AW371" s="192" t="s">
        <v>1011</v>
      </c>
    </row>
    <row r="372" spans="49:49">
      <c r="AW372" s="192" t="s">
        <v>1011</v>
      </c>
    </row>
    <row r="373" spans="49:49">
      <c r="AW373" s="192" t="s">
        <v>1011</v>
      </c>
    </row>
    <row r="374" spans="49:49">
      <c r="AW374" s="192" t="s">
        <v>1011</v>
      </c>
    </row>
    <row r="375" spans="49:49">
      <c r="AW375" s="192" t="s">
        <v>1011</v>
      </c>
    </row>
    <row r="376" spans="49:49">
      <c r="AW376" s="192" t="s">
        <v>1011</v>
      </c>
    </row>
    <row r="377" spans="49:49">
      <c r="AW377" s="192" t="s">
        <v>1011</v>
      </c>
    </row>
    <row r="378" spans="49:49">
      <c r="AW378" s="192" t="s">
        <v>1011</v>
      </c>
    </row>
    <row r="379" spans="49:49">
      <c r="AW379" s="192" t="s">
        <v>1011</v>
      </c>
    </row>
    <row r="380" spans="49:49">
      <c r="AW380" s="192" t="s">
        <v>1011</v>
      </c>
    </row>
    <row r="381" spans="49:49">
      <c r="AW381" s="192" t="s">
        <v>1011</v>
      </c>
    </row>
    <row r="382" spans="49:49">
      <c r="AW382" s="192" t="s">
        <v>1011</v>
      </c>
    </row>
    <row r="383" spans="49:49">
      <c r="AW383" s="192" t="s">
        <v>1011</v>
      </c>
    </row>
    <row r="384" spans="49:49">
      <c r="AW384" s="192" t="s">
        <v>1011</v>
      </c>
    </row>
    <row r="385" spans="22:49">
      <c r="AW385" s="192" t="s">
        <v>1011</v>
      </c>
    </row>
    <row r="386" spans="22:49">
      <c r="AW386" s="192" t="s">
        <v>1011</v>
      </c>
    </row>
    <row r="387" spans="22:49">
      <c r="AW387" s="192" t="s">
        <v>1011</v>
      </c>
    </row>
    <row r="388" spans="22:49">
      <c r="AW388" s="192" t="s">
        <v>1011</v>
      </c>
    </row>
    <row r="389" spans="22:49">
      <c r="AW389" s="192" t="s">
        <v>1011</v>
      </c>
    </row>
    <row r="390" spans="22:49">
      <c r="AW390" s="192" t="s">
        <v>1011</v>
      </c>
    </row>
    <row r="391" spans="22:49">
      <c r="AW391" s="192" t="s">
        <v>1011</v>
      </c>
    </row>
    <row r="392" spans="22:49">
      <c r="AW392" s="192" t="s">
        <v>1011</v>
      </c>
    </row>
    <row r="393" spans="22:49">
      <c r="AW393" s="192" t="s">
        <v>1011</v>
      </c>
    </row>
    <row r="394" spans="22:49">
      <c r="AW394" s="192" t="s">
        <v>1011</v>
      </c>
    </row>
    <row r="395" spans="22:49">
      <c r="AW395" s="192" t="s">
        <v>1011</v>
      </c>
    </row>
    <row r="396" spans="22:49">
      <c r="AW396" s="192" t="s">
        <v>1011</v>
      </c>
    </row>
    <row r="397" spans="22:49">
      <c r="AW397" s="192" t="s">
        <v>1011</v>
      </c>
    </row>
    <row r="398" spans="22:49">
      <c r="V398" s="192" t="s">
        <v>1050</v>
      </c>
      <c r="AW398" s="192" t="s">
        <v>1011</v>
      </c>
    </row>
    <row r="399" spans="22:49">
      <c r="AW399" s="192" t="s">
        <v>1011</v>
      </c>
    </row>
    <row r="400" spans="22:49">
      <c r="AW400" s="192" t="s">
        <v>1011</v>
      </c>
    </row>
    <row r="401" spans="49:49">
      <c r="AW401" s="192" t="s">
        <v>1011</v>
      </c>
    </row>
    <row r="402" spans="49:49">
      <c r="AW402" s="192" t="s">
        <v>1011</v>
      </c>
    </row>
    <row r="403" spans="49:49">
      <c r="AW403" s="192" t="s">
        <v>1011</v>
      </c>
    </row>
    <row r="404" spans="49:49">
      <c r="AW404" s="192" t="s">
        <v>1011</v>
      </c>
    </row>
    <row r="405" spans="49:49">
      <c r="AW405" s="192" t="s">
        <v>1011</v>
      </c>
    </row>
    <row r="406" spans="49:49">
      <c r="AW406" s="192" t="s">
        <v>1011</v>
      </c>
    </row>
    <row r="407" spans="49:49">
      <c r="AW407" s="192" t="s">
        <v>1011</v>
      </c>
    </row>
    <row r="408" spans="49:49">
      <c r="AW408" s="192" t="s">
        <v>1011</v>
      </c>
    </row>
    <row r="409" spans="49:49">
      <c r="AW409" s="192" t="s">
        <v>1011</v>
      </c>
    </row>
    <row r="410" spans="49:49">
      <c r="AW410" s="192" t="s">
        <v>1011</v>
      </c>
    </row>
    <row r="411" spans="49:49">
      <c r="AW411" s="192" t="s">
        <v>1011</v>
      </c>
    </row>
    <row r="412" spans="49:49">
      <c r="AW412" s="192" t="s">
        <v>1011</v>
      </c>
    </row>
    <row r="413" spans="49:49">
      <c r="AW413" s="192" t="s">
        <v>1011</v>
      </c>
    </row>
    <row r="414" spans="49:49">
      <c r="AW414" s="192" t="s">
        <v>1011</v>
      </c>
    </row>
    <row r="415" spans="49:49">
      <c r="AW415" s="192" t="s">
        <v>1011</v>
      </c>
    </row>
    <row r="416" spans="49:49">
      <c r="AW416" s="192" t="s">
        <v>1011</v>
      </c>
    </row>
    <row r="417" spans="49:49">
      <c r="AW417" s="192" t="s">
        <v>1011</v>
      </c>
    </row>
    <row r="418" spans="49:49">
      <c r="AW418" s="192" t="s">
        <v>1011</v>
      </c>
    </row>
    <row r="419" spans="49:49">
      <c r="AW419" s="192" t="s">
        <v>1011</v>
      </c>
    </row>
    <row r="420" spans="49:49">
      <c r="AW420" s="192" t="s">
        <v>1011</v>
      </c>
    </row>
    <row r="421" spans="49:49">
      <c r="AW421" s="192" t="s">
        <v>1011</v>
      </c>
    </row>
    <row r="422" spans="49:49">
      <c r="AW422" s="192" t="s">
        <v>1011</v>
      </c>
    </row>
    <row r="423" spans="49:49">
      <c r="AW423" s="192" t="s">
        <v>1011</v>
      </c>
    </row>
    <row r="424" spans="49:49">
      <c r="AW424" s="192" t="s">
        <v>1011</v>
      </c>
    </row>
    <row r="425" spans="49:49">
      <c r="AW425" s="192" t="s">
        <v>1011</v>
      </c>
    </row>
    <row r="426" spans="49:49">
      <c r="AW426" s="192" t="s">
        <v>1011</v>
      </c>
    </row>
    <row r="427" spans="49:49">
      <c r="AW427" s="192" t="s">
        <v>1011</v>
      </c>
    </row>
    <row r="428" spans="49:49">
      <c r="AW428" s="192" t="s">
        <v>1011</v>
      </c>
    </row>
    <row r="429" spans="49:49">
      <c r="AW429" s="192" t="s">
        <v>1011</v>
      </c>
    </row>
    <row r="430" spans="49:49">
      <c r="AW430" s="192" t="s">
        <v>1011</v>
      </c>
    </row>
    <row r="431" spans="49:49">
      <c r="AW431" s="192" t="s">
        <v>1011</v>
      </c>
    </row>
    <row r="432" spans="49:49">
      <c r="AW432" s="192" t="s">
        <v>1011</v>
      </c>
    </row>
    <row r="433" spans="49:49">
      <c r="AW433" s="192" t="s">
        <v>1011</v>
      </c>
    </row>
    <row r="434" spans="49:49">
      <c r="AW434" s="192" t="s">
        <v>1011</v>
      </c>
    </row>
    <row r="435" spans="49:49">
      <c r="AW435" s="192" t="s">
        <v>1011</v>
      </c>
    </row>
    <row r="436" spans="49:49">
      <c r="AW436" s="192" t="s">
        <v>1011</v>
      </c>
    </row>
    <row r="437" spans="49:49">
      <c r="AW437" s="192" t="s">
        <v>1011</v>
      </c>
    </row>
    <row r="438" spans="49:49">
      <c r="AW438" s="192" t="s">
        <v>1011</v>
      </c>
    </row>
    <row r="439" spans="49:49">
      <c r="AW439" s="192" t="s">
        <v>1011</v>
      </c>
    </row>
    <row r="440" spans="49:49">
      <c r="AW440" s="192" t="s">
        <v>1011</v>
      </c>
    </row>
    <row r="441" spans="49:49">
      <c r="AW441" s="192" t="s">
        <v>1011</v>
      </c>
    </row>
    <row r="442" spans="49:49">
      <c r="AW442" s="192" t="s">
        <v>1011</v>
      </c>
    </row>
    <row r="443" spans="49:49">
      <c r="AW443" s="192" t="s">
        <v>1011</v>
      </c>
    </row>
    <row r="444" spans="49:49">
      <c r="AW444" s="192" t="s">
        <v>1011</v>
      </c>
    </row>
    <row r="445" spans="49:49">
      <c r="AW445" s="192" t="s">
        <v>1011</v>
      </c>
    </row>
    <row r="446" spans="49:49">
      <c r="AW446" s="192" t="s">
        <v>1011</v>
      </c>
    </row>
    <row r="447" spans="49:49">
      <c r="AW447" s="192" t="s">
        <v>1011</v>
      </c>
    </row>
    <row r="448" spans="49:49">
      <c r="AW448" s="192" t="s">
        <v>1011</v>
      </c>
    </row>
    <row r="449" spans="49:49">
      <c r="AW449" s="192" t="s">
        <v>1011</v>
      </c>
    </row>
    <row r="450" spans="49:49">
      <c r="AW450" s="192" t="s">
        <v>1011</v>
      </c>
    </row>
    <row r="451" spans="49:49">
      <c r="AW451" s="192" t="s">
        <v>1011</v>
      </c>
    </row>
    <row r="452" spans="49:49">
      <c r="AW452" s="192" t="s">
        <v>1011</v>
      </c>
    </row>
    <row r="453" spans="49:49">
      <c r="AW453" s="192" t="s">
        <v>1011</v>
      </c>
    </row>
    <row r="454" spans="49:49">
      <c r="AW454" s="192" t="s">
        <v>1011</v>
      </c>
    </row>
    <row r="455" spans="49:49">
      <c r="AW455" s="192" t="s">
        <v>1011</v>
      </c>
    </row>
    <row r="456" spans="49:49">
      <c r="AW456" s="192" t="s">
        <v>1011</v>
      </c>
    </row>
    <row r="457" spans="49:49">
      <c r="AW457" s="192" t="s">
        <v>1011</v>
      </c>
    </row>
    <row r="458" spans="49:49">
      <c r="AW458" s="192" t="s">
        <v>1011</v>
      </c>
    </row>
    <row r="459" spans="49:49">
      <c r="AW459" s="192" t="s">
        <v>1011</v>
      </c>
    </row>
    <row r="460" spans="49:49">
      <c r="AW460" s="192" t="s">
        <v>1011</v>
      </c>
    </row>
    <row r="461" spans="49:49">
      <c r="AW461" s="192" t="s">
        <v>1011</v>
      </c>
    </row>
    <row r="462" spans="49:49">
      <c r="AW462" s="192" t="s">
        <v>1011</v>
      </c>
    </row>
    <row r="463" spans="49:49">
      <c r="AW463" s="192" t="s">
        <v>1011</v>
      </c>
    </row>
    <row r="464" spans="49:49">
      <c r="AW464" s="192" t="s">
        <v>1011</v>
      </c>
    </row>
    <row r="465" spans="49:49">
      <c r="AW465" s="192" t="s">
        <v>1011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Metadata/LabelInfo.xml><?xml version="1.0" encoding="utf-8"?>
<clbl:labelList xmlns:clbl="http://schemas.microsoft.com/office/2020/mipLabelMetadata">
  <clbl:label id="{387f406a-379f-47ee-930c-6bec6e76f2a4}" enabled="1" method="Privileged" siteId="{57b8c96e-ac2f-4d78-a149-f1fc6817d3c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2026-10-29T17:03:02Z</dcterms:created>
  <dcterms:modified xsi:type="dcterms:W3CDTF">2026-10-29T19:34:18Z</dcterms:modified>
</cp:coreProperties>
</file>